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vbaProject.bin" ContentType="application/vnd.ms-office.vbaProject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vbaProjectSignature.bin" ContentType="application/vnd.ms-office.vbaProjectSignature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7"/>
  <workbookPr filterPrivacy="1" codeName="ThisWorkbook"/>
  <bookViews>
    <workbookView visibility="veryHidden" xWindow="0" yWindow="0" windowWidth="16050" windowHeight="11990" activeTab="2"/>
  </bookViews>
  <sheets>
    <sheet name="CODE" sheetId="4" r:id="rId1"/>
    <sheet name="RES_fr-FR" sheetId="6" r:id="rId2"/>
    <sheet name="RES_en-US" sheetId="7" r:id="rId3"/>
    <sheet name="RES_cs-CZ" sheetId="8" r:id="rId4"/>
    <sheet name="RES_da-DK" sheetId="9" r:id="rId5"/>
    <sheet name="RES_de-DE" sheetId="10" r:id="rId6"/>
    <sheet name="RES_el-GR" sheetId="11" r:id="rId7"/>
    <sheet name="RES_es-ES" sheetId="12" r:id="rId8"/>
    <sheet name="RES_fi-FI" sheetId="13" r:id="rId9"/>
    <sheet name="RES_hr-HR" sheetId="14" r:id="rId10"/>
    <sheet name="RES_hu-HU" sheetId="15" r:id="rId11"/>
    <sheet name="RES_it-IT" sheetId="16" r:id="rId12"/>
    <sheet name="RES_ja-JP" sheetId="17" r:id="rId13"/>
    <sheet name="RES_ko-KR" sheetId="18" r:id="rId14"/>
    <sheet name="RES_lv-LV" sheetId="19" r:id="rId15"/>
    <sheet name="RES_nb-NO" sheetId="20" r:id="rId16"/>
    <sheet name="RES_nl-NL" sheetId="21" r:id="rId17"/>
    <sheet name="RES_pl-PL" sheetId="22" r:id="rId18"/>
    <sheet name="RES_pt-BR" sheetId="23" r:id="rId19"/>
    <sheet name="RES_pt-PT" sheetId="24" r:id="rId20"/>
    <sheet name="RES_ro-RO" sheetId="25" r:id="rId21"/>
    <sheet name="RES_ru-RU" sheetId="26" r:id="rId22"/>
    <sheet name="RES_sl-SI" sheetId="27" r:id="rId23"/>
    <sheet name="RES_sv-SE" sheetId="28" r:id="rId24"/>
    <sheet name="RES_tr-TR" sheetId="29" r:id="rId25"/>
    <sheet name="RES_zh-CN" sheetId="30" r:id="rId26"/>
    <sheet name="RES_zh-TW" sheetId="31" r:id="rId27"/>
  </sheets>
  <definedNames>
    <definedName name="__Longname" localSheetId="3">'RES_cs-CZ'!$B$2</definedName>
    <definedName name="__Longname" localSheetId="4">'RES_da-DK'!$B$2</definedName>
    <definedName name="__Longname" localSheetId="5">'RES_de-DE'!$B$2</definedName>
    <definedName name="__Longname" localSheetId="6">'RES_el-GR'!$B$2</definedName>
    <definedName name="__Longname" localSheetId="2">'RES_en-US'!$B$2</definedName>
    <definedName name="__Longname" localSheetId="7">'RES_es-ES'!$B$2</definedName>
    <definedName name="__Longname" localSheetId="8">'RES_fi-FI'!$B$2</definedName>
    <definedName name="__Longname" localSheetId="1">'RES_fr-FR'!$B$2</definedName>
    <definedName name="__Longname" localSheetId="9">'RES_hr-HR'!$B$2</definedName>
    <definedName name="__Longname" localSheetId="10">'RES_hu-HU'!$B$2</definedName>
    <definedName name="__Longname" localSheetId="11">'RES_it-IT'!$B$2</definedName>
    <definedName name="__Longname" localSheetId="12">'RES_ja-JP'!$B$2</definedName>
    <definedName name="__Longname" localSheetId="13">'RES_ko-KR'!$B$2</definedName>
    <definedName name="__Longname" localSheetId="14">'RES_lv-LV'!$B$2</definedName>
    <definedName name="__Longname" localSheetId="15">'RES_nb-NO'!$B$2</definedName>
    <definedName name="__Longname" localSheetId="16">'RES_nl-NL'!$B$2</definedName>
    <definedName name="__Longname" localSheetId="17">'RES_pl-PL'!$B$2</definedName>
    <definedName name="__Longname" localSheetId="18">'RES_pt-BR'!$B$2</definedName>
    <definedName name="__Longname" localSheetId="19">'RES_pt-PT'!$B$2</definedName>
    <definedName name="__Longname" localSheetId="20">'RES_ro-RO'!$B$2</definedName>
    <definedName name="__Longname" localSheetId="21">'RES_ru-RU'!$B$2</definedName>
    <definedName name="__Longname" localSheetId="22">'RES_sl-SI'!$B$2</definedName>
    <definedName name="__Longname" localSheetId="23">'RES_sv-SE'!$B$2</definedName>
    <definedName name="__Longname" localSheetId="24">'RES_tr-TR'!$B$2</definedName>
    <definedName name="__Longname" localSheetId="25">'RES_zh-CN'!$B$2</definedName>
    <definedName name="__Longname" localSheetId="26">'RES_zh-TW'!$B$2</definedName>
    <definedName name="ca.Dialogs." localSheetId="3">'RES_cs-CZ'!$X$5:$X$31</definedName>
    <definedName name="ca.Dialogs." localSheetId="4">'RES_da-DK'!$X$5:$X$31</definedName>
    <definedName name="ca.Dialogs." localSheetId="5">'RES_de-DE'!$X$5:$X$31</definedName>
    <definedName name="ca.Dialogs." localSheetId="6">'RES_el-GR'!$X$5:$X$31</definedName>
    <definedName name="ca.Dialogs." localSheetId="2">'RES_en-US'!$X$5:$X$31</definedName>
    <definedName name="ca.Dialogs." localSheetId="7">'RES_es-ES'!$X$5:$X$31</definedName>
    <definedName name="ca.Dialogs." localSheetId="8">'RES_fi-FI'!$X$5:$X$31</definedName>
    <definedName name="ca.Dialogs." localSheetId="1">'RES_fr-FR'!$X$5:$X$31</definedName>
    <definedName name="ca.Dialogs." localSheetId="9">'RES_hr-HR'!$X$5:$X$31</definedName>
    <definedName name="ca.Dialogs." localSheetId="10">'RES_hu-HU'!$X$5:$X$31</definedName>
    <definedName name="ca.Dialogs." localSheetId="11">'RES_it-IT'!$X$5:$X$31</definedName>
    <definedName name="ca.Dialogs." localSheetId="12">'RES_ja-JP'!$X$5:$X$31</definedName>
    <definedName name="ca.Dialogs." localSheetId="13">'RES_ko-KR'!$X$5:$X$31</definedName>
    <definedName name="ca.Dialogs." localSheetId="14">'RES_lv-LV'!$X$5:$X$31</definedName>
    <definedName name="ca.Dialogs." localSheetId="15">'RES_nb-NO'!$X$5:$X$31</definedName>
    <definedName name="ca.Dialogs." localSheetId="16">'RES_nl-NL'!$X$5:$X$31</definedName>
    <definedName name="ca.Dialogs." localSheetId="17">'RES_pl-PL'!$X$5:$X$31</definedName>
    <definedName name="ca.Dialogs." localSheetId="18">'RES_pt-BR'!$X$5:$X$31</definedName>
    <definedName name="ca.Dialogs." localSheetId="19">'RES_pt-PT'!$X$5:$X$31</definedName>
    <definedName name="ca.Dialogs." localSheetId="20">'RES_ro-RO'!$X$5:$X$31</definedName>
    <definedName name="ca.Dialogs." localSheetId="21">'RES_ru-RU'!$X$5:$X$31</definedName>
    <definedName name="ca.Dialogs." localSheetId="22">'RES_sl-SI'!$X$5:$X$31</definedName>
    <definedName name="ca.Dialogs." localSheetId="23">'RES_sv-SE'!$X$5:$X$31</definedName>
    <definedName name="ca.Dialogs." localSheetId="24">'RES_tr-TR'!$X$5:$X$31</definedName>
    <definedName name="ca.Dialogs." localSheetId="25">'RES_zh-CN'!$X$5:$X$31</definedName>
    <definedName name="ca.Dialogs." localSheetId="26">'RES_zh-TW'!$X$5:$X$31</definedName>
    <definedName name="ca.StringTable." localSheetId="3">'RES_cs-CZ'!$B$8:$B$276</definedName>
    <definedName name="ca.StringTable." localSheetId="4">'RES_da-DK'!$B$8:$B$276</definedName>
    <definedName name="ca.StringTable." localSheetId="5">'RES_de-DE'!$B$8:$B$276</definedName>
    <definedName name="ca.StringTable." localSheetId="6">'RES_el-GR'!$B$8:$B$276</definedName>
    <definedName name="ca.StringTable." localSheetId="2">'RES_en-US'!$B$8:$B$276</definedName>
    <definedName name="ca.StringTable." localSheetId="7">'RES_es-ES'!$B$8:$B$276</definedName>
    <definedName name="ca.StringTable." localSheetId="8">'RES_fi-FI'!$B$8:$B$276</definedName>
    <definedName name="ca.StringTable." localSheetId="1">'RES_fr-FR'!$B$8:$B$276</definedName>
    <definedName name="ca.StringTable." localSheetId="9">'RES_hr-HR'!$B$8:$B$276</definedName>
    <definedName name="ca.StringTable." localSheetId="10">'RES_hu-HU'!$B$8:$B$276</definedName>
    <definedName name="ca.StringTable." localSheetId="11">'RES_it-IT'!$B$8:$B$276</definedName>
    <definedName name="ca.StringTable." localSheetId="12">'RES_ja-JP'!$B$8:$B$276</definedName>
    <definedName name="ca.StringTable." localSheetId="13">'RES_ko-KR'!$B$8:$B$276</definedName>
    <definedName name="ca.StringTable." localSheetId="14">'RES_lv-LV'!$B$8:$B$276</definedName>
    <definedName name="ca.StringTable." localSheetId="15">'RES_nb-NO'!$B$8:$B$276</definedName>
    <definedName name="ca.StringTable." localSheetId="16">'RES_nl-NL'!$B$8:$B$276</definedName>
    <definedName name="ca.StringTable." localSheetId="17">'RES_pl-PL'!$B$8:$B$276</definedName>
    <definedName name="ca.StringTable." localSheetId="18">'RES_pt-BR'!$B$8:$B$276</definedName>
    <definedName name="ca.StringTable." localSheetId="19">'RES_pt-PT'!$B$8:$B$276</definedName>
    <definedName name="ca.StringTable." localSheetId="20">'RES_ro-RO'!$B$8:$B$276</definedName>
    <definedName name="ca.StringTable." localSheetId="21">'RES_ru-RU'!$B$8:$B$276</definedName>
    <definedName name="ca.StringTable." localSheetId="22">'RES_sl-SI'!$B$8:$B$276</definedName>
    <definedName name="ca.StringTable." localSheetId="23">'RES_sv-SE'!$B$8:$B$276</definedName>
    <definedName name="ca.StringTable." localSheetId="24">'RES_tr-TR'!$B$8:$B$276</definedName>
    <definedName name="ca.StringTable." localSheetId="25">'RES_zh-CN'!$B$8:$B$276</definedName>
    <definedName name="ca.StringTable." localSheetId="26">'RES_zh-TW'!$B$8:$B$276</definedName>
    <definedName name="dbAnalysis" localSheetId="3">'RES_cs-CZ'!$Z$2:$AF$7</definedName>
    <definedName name="dbAnalysis" localSheetId="4">'RES_da-DK'!$Z$2:$AF$7</definedName>
    <definedName name="dbAnalysis" localSheetId="5">'RES_de-DE'!$Z$2:$AF$7</definedName>
    <definedName name="dbAnalysis" localSheetId="6">'RES_el-GR'!$Z$2:$AF$7</definedName>
    <definedName name="dbAnalysis" localSheetId="2">'RES_en-US'!$Z$2:$AF$7</definedName>
    <definedName name="dbAnalysis" localSheetId="7">'RES_es-ES'!$Z$2:$AF$7</definedName>
    <definedName name="dbAnalysis" localSheetId="8">'RES_fi-FI'!$Z$2:$AF$7</definedName>
    <definedName name="dbAnalysis" localSheetId="1">'RES_fr-FR'!$Z$2:$AF$7</definedName>
    <definedName name="dbAnalysis" localSheetId="9">'RES_hr-HR'!$Z$2:$AF$7</definedName>
    <definedName name="dbAnalysis" localSheetId="10">'RES_hu-HU'!$Z$2:$AF$7</definedName>
    <definedName name="dbAnalysis" localSheetId="11">'RES_it-IT'!$Z$2:$AF$7</definedName>
    <definedName name="dbAnalysis" localSheetId="12">'RES_ja-JP'!$Z$2:$AF$7</definedName>
    <definedName name="dbAnalysis" localSheetId="13">'RES_ko-KR'!$Z$2:$AF$7</definedName>
    <definedName name="dbAnalysis" localSheetId="14">'RES_lv-LV'!$Z$2:$AF$7</definedName>
    <definedName name="dbAnalysis" localSheetId="15">'RES_nb-NO'!$Z$2:$AF$7</definedName>
    <definedName name="dbAnalysis" localSheetId="16">'RES_nl-NL'!$Z$2:$AF$7</definedName>
    <definedName name="dbAnalysis" localSheetId="17">'RES_pl-PL'!$Z$2:$AF$7</definedName>
    <definedName name="dbAnalysis" localSheetId="18">'RES_pt-BR'!$Z$2:$AF$7</definedName>
    <definedName name="dbAnalysis" localSheetId="19">'RES_pt-PT'!$Z$2:$AF$7</definedName>
    <definedName name="dbAnalysis" localSheetId="20">'RES_ro-RO'!$Z$2:$AF$7</definedName>
    <definedName name="dbAnalysis" localSheetId="21">'RES_ru-RU'!$Z$2:$AF$7</definedName>
    <definedName name="dbAnalysis" localSheetId="22">'RES_sl-SI'!$Z$2:$AF$7</definedName>
    <definedName name="dbAnalysis" localSheetId="23">'RES_sv-SE'!$Z$2:$AF$7</definedName>
    <definedName name="dbAnalysis" localSheetId="24">'RES_tr-TR'!$Z$2:$AF$7</definedName>
    <definedName name="dbAnalysis" localSheetId="25">'RES_zh-CN'!$Z$2:$AF$7</definedName>
    <definedName name="dbAnalysis" localSheetId="26">'RES_zh-TW'!$Z$2:$AF$7</definedName>
    <definedName name="dbAnalysis_ListSelect" localSheetId="3">'RES_cs-CZ'!$AF$6</definedName>
    <definedName name="dbAnalysis_ListSelect" localSheetId="4">'RES_da-DK'!$AF$6</definedName>
    <definedName name="dbAnalysis_ListSelect" localSheetId="5">'RES_de-DE'!$AF$6</definedName>
    <definedName name="dbAnalysis_ListSelect" localSheetId="6">'RES_el-GR'!$AF$6</definedName>
    <definedName name="dbAnalysis_ListSelect" localSheetId="2">'RES_en-US'!$AF$6</definedName>
    <definedName name="dbAnalysis_ListSelect" localSheetId="7">'RES_es-ES'!$AF$6</definedName>
    <definedName name="dbAnalysis_ListSelect" localSheetId="8">'RES_fi-FI'!$AF$6</definedName>
    <definedName name="dbAnalysis_ListSelect" localSheetId="1">'RES_fr-FR'!$AF$6</definedName>
    <definedName name="dbAnalysis_ListSelect" localSheetId="9">'RES_hr-HR'!$AF$6</definedName>
    <definedName name="dbAnalysis_ListSelect" localSheetId="10">'RES_hu-HU'!$AF$6</definedName>
    <definedName name="dbAnalysis_ListSelect" localSheetId="11">'RES_it-IT'!$AF$6</definedName>
    <definedName name="dbAnalysis_ListSelect" localSheetId="12">'RES_ja-JP'!$AF$6</definedName>
    <definedName name="dbAnalysis_ListSelect" localSheetId="13">'RES_ko-KR'!$AF$6</definedName>
    <definedName name="dbAnalysis_ListSelect" localSheetId="14">'RES_lv-LV'!$AF$6</definedName>
    <definedName name="dbAnalysis_ListSelect" localSheetId="15">'RES_nb-NO'!$AF$6</definedName>
    <definedName name="dbAnalysis_ListSelect" localSheetId="16">'RES_nl-NL'!$AF$6</definedName>
    <definedName name="dbAnalysis_ListSelect" localSheetId="17">'RES_pl-PL'!$AF$6</definedName>
    <definedName name="dbAnalysis_ListSelect" localSheetId="18">'RES_pt-BR'!$AF$6</definedName>
    <definedName name="dbAnalysis_ListSelect" localSheetId="19">'RES_pt-PT'!$AF$6</definedName>
    <definedName name="dbAnalysis_ListSelect" localSheetId="20">'RES_ro-RO'!$AF$6</definedName>
    <definedName name="dbAnalysis_ListSelect" localSheetId="21">'RES_ru-RU'!$AF$6</definedName>
    <definedName name="dbAnalysis_ListSelect" localSheetId="22">'RES_sl-SI'!$AF$6</definedName>
    <definedName name="dbAnalysis_ListSelect" localSheetId="23">'RES_sv-SE'!$AF$6</definedName>
    <definedName name="dbAnalysis_ListSelect" localSheetId="24">'RES_tr-TR'!$AF$6</definedName>
    <definedName name="dbAnalysis_ListSelect" localSheetId="25">'RES_zh-CN'!$AF$6</definedName>
    <definedName name="dbAnalysis_ListSelect" localSheetId="26">'RES_zh-TW'!$AF$6</definedName>
    <definedName name="dbAnova1" localSheetId="3">'RES_cs-CZ'!$AH$2:$AN$22</definedName>
    <definedName name="dbAnova1" localSheetId="4">'RES_da-DK'!$AH$2:$AN$22</definedName>
    <definedName name="dbAnova1" localSheetId="5">'RES_de-DE'!$AH$2:$AN$22</definedName>
    <definedName name="dbAnova1" localSheetId="6">'RES_el-GR'!$AH$2:$AN$22</definedName>
    <definedName name="dbAnova1" localSheetId="2">'RES_en-US'!$AH$2:$AN$22</definedName>
    <definedName name="dbAnova1" localSheetId="7">'RES_es-ES'!$AH$2:$AN$22</definedName>
    <definedName name="dbAnova1" localSheetId="8">'RES_fi-FI'!$AH$2:$AN$22</definedName>
    <definedName name="dbAnova1" localSheetId="1">'RES_fr-FR'!$AH$2:$AN$22</definedName>
    <definedName name="dbAnova1" localSheetId="9">'RES_hr-HR'!$AH$2:$AN$22</definedName>
    <definedName name="dbAnova1" localSheetId="10">'RES_hu-HU'!$AH$2:$AN$22</definedName>
    <definedName name="dbAnova1" localSheetId="11">'RES_it-IT'!$AH$2:$AN$22</definedName>
    <definedName name="dbAnova1" localSheetId="12">'RES_ja-JP'!$AH$2:$AN$22</definedName>
    <definedName name="dbAnova1" localSheetId="13">'RES_ko-KR'!$AH$2:$AN$22</definedName>
    <definedName name="dbAnova1" localSheetId="14">'RES_lv-LV'!$AH$2:$AN$22</definedName>
    <definedName name="dbAnova1" localSheetId="15">'RES_nb-NO'!$AH$2:$AN$22</definedName>
    <definedName name="dbAnova1" localSheetId="16">'RES_nl-NL'!$AH$2:$AN$22</definedName>
    <definedName name="dbAnova1" localSheetId="17">'RES_pl-PL'!$AH$2:$AN$22</definedName>
    <definedName name="dbAnova1" localSheetId="18">'RES_pt-BR'!$AH$2:$AN$22</definedName>
    <definedName name="dbAnova1" localSheetId="19">'RES_pt-PT'!$AH$2:$AN$22</definedName>
    <definedName name="dbAnova1" localSheetId="20">'RES_ro-RO'!$AH$2:$AN$22</definedName>
    <definedName name="dbAnova1" localSheetId="21">'RES_ru-RU'!$AH$2:$AN$22</definedName>
    <definedName name="dbAnova1" localSheetId="22">'RES_sl-SI'!$AH$2:$AN$22</definedName>
    <definedName name="dbAnova1" localSheetId="23">'RES_sv-SE'!$AH$2:$AN$22</definedName>
    <definedName name="dbAnova1" localSheetId="24">'RES_tr-TR'!$AH$2:$AN$22</definedName>
    <definedName name="dbAnova1" localSheetId="25">'RES_zh-CN'!$AH$2:$AN$22</definedName>
    <definedName name="dbAnova1" localSheetId="26">'RES_zh-TW'!$AH$2:$AN$22</definedName>
    <definedName name="dbAnova1_AlphaValue" localSheetId="3">'RES_cs-CZ'!$AN$14</definedName>
    <definedName name="dbAnova1_AlphaValue" localSheetId="4">'RES_da-DK'!$AN$14</definedName>
    <definedName name="dbAnova1_AlphaValue" localSheetId="5">'RES_de-DE'!$AN$14</definedName>
    <definedName name="dbAnova1_AlphaValue" localSheetId="6">'RES_el-GR'!$AN$14</definedName>
    <definedName name="dbAnova1_AlphaValue" localSheetId="2">'RES_en-US'!$AN$14</definedName>
    <definedName name="dbAnova1_AlphaValue" localSheetId="7">'RES_es-ES'!$AN$14</definedName>
    <definedName name="dbAnova1_AlphaValue" localSheetId="8">'RES_fi-FI'!$AN$14</definedName>
    <definedName name="dbAnova1_AlphaValue" localSheetId="1">'RES_fr-FR'!$AN$14</definedName>
    <definedName name="dbAnova1_AlphaValue" localSheetId="9">'RES_hr-HR'!$AN$14</definedName>
    <definedName name="dbAnova1_AlphaValue" localSheetId="10">'RES_hu-HU'!$AN$14</definedName>
    <definedName name="dbAnova1_AlphaValue" localSheetId="11">'RES_it-IT'!$AN$14</definedName>
    <definedName name="dbAnova1_AlphaValue" localSheetId="12">'RES_ja-JP'!$AN$14</definedName>
    <definedName name="dbAnova1_AlphaValue" localSheetId="13">'RES_ko-KR'!$AN$14</definedName>
    <definedName name="dbAnova1_AlphaValue" localSheetId="14">'RES_lv-LV'!$AN$14</definedName>
    <definedName name="dbAnova1_AlphaValue" localSheetId="15">'RES_nb-NO'!$AN$14</definedName>
    <definedName name="dbAnova1_AlphaValue" localSheetId="16">'RES_nl-NL'!$AN$14</definedName>
    <definedName name="dbAnova1_AlphaValue" localSheetId="17">'RES_pl-PL'!$AN$14</definedName>
    <definedName name="dbAnova1_AlphaValue" localSheetId="18">'RES_pt-BR'!$AN$14</definedName>
    <definedName name="dbAnova1_AlphaValue" localSheetId="19">'RES_pt-PT'!$AN$14</definedName>
    <definedName name="dbAnova1_AlphaValue" localSheetId="20">'RES_ro-RO'!$AN$14</definedName>
    <definedName name="dbAnova1_AlphaValue" localSheetId="21">'RES_ru-RU'!$AN$14</definedName>
    <definedName name="dbAnova1_AlphaValue" localSheetId="22">'RES_sl-SI'!$AN$14</definedName>
    <definedName name="dbAnova1_AlphaValue" localSheetId="23">'RES_sv-SE'!$AN$14</definedName>
    <definedName name="dbAnova1_AlphaValue" localSheetId="24">'RES_tr-TR'!$AN$14</definedName>
    <definedName name="dbAnova1_AlphaValue" localSheetId="25">'RES_zh-CN'!$AN$14</definedName>
    <definedName name="dbAnova1_AlphaValue" localSheetId="26">'RES_zh-TW'!$AN$14</definedName>
    <definedName name="dbAnova1_InRange" localSheetId="3">'RES_cs-CZ'!$AN$7</definedName>
    <definedName name="dbAnova1_InRange" localSheetId="4">'RES_da-DK'!$AN$7</definedName>
    <definedName name="dbAnova1_InRange" localSheetId="5">'RES_de-DE'!$AN$7</definedName>
    <definedName name="dbAnova1_InRange" localSheetId="6">'RES_el-GR'!$AN$7</definedName>
    <definedName name="dbAnova1_InRange" localSheetId="2">'RES_en-US'!$AN$7</definedName>
    <definedName name="dbAnova1_InRange" localSheetId="7">'RES_es-ES'!$AN$7</definedName>
    <definedName name="dbAnova1_InRange" localSheetId="8">'RES_fi-FI'!$AN$7</definedName>
    <definedName name="dbAnova1_InRange" localSheetId="1">'RES_fr-FR'!$AN$7</definedName>
    <definedName name="dbAnova1_InRange" localSheetId="9">'RES_hr-HR'!$AN$7</definedName>
    <definedName name="dbAnova1_InRange" localSheetId="10">'RES_hu-HU'!$AN$7</definedName>
    <definedName name="dbAnova1_InRange" localSheetId="11">'RES_it-IT'!$AN$7</definedName>
    <definedName name="dbAnova1_InRange" localSheetId="12">'RES_ja-JP'!$AN$7</definedName>
    <definedName name="dbAnova1_InRange" localSheetId="13">'RES_ko-KR'!$AN$7</definedName>
    <definedName name="dbAnova1_InRange" localSheetId="14">'RES_lv-LV'!$AN$7</definedName>
    <definedName name="dbAnova1_InRange" localSheetId="15">'RES_nb-NO'!$AN$7</definedName>
    <definedName name="dbAnova1_InRange" localSheetId="16">'RES_nl-NL'!$AN$7</definedName>
    <definedName name="dbAnova1_InRange" localSheetId="17">'RES_pl-PL'!$AN$7</definedName>
    <definedName name="dbAnova1_InRange" localSheetId="18">'RES_pt-BR'!$AN$7</definedName>
    <definedName name="dbAnova1_InRange" localSheetId="19">'RES_pt-PT'!$AN$7</definedName>
    <definedName name="dbAnova1_InRange" localSheetId="20">'RES_ro-RO'!$AN$7</definedName>
    <definedName name="dbAnova1_InRange" localSheetId="21">'RES_ru-RU'!$AN$7</definedName>
    <definedName name="dbAnova1_InRange" localSheetId="22">'RES_sl-SI'!$AN$7</definedName>
    <definedName name="dbAnova1_InRange" localSheetId="23">'RES_sv-SE'!$AN$7</definedName>
    <definedName name="dbAnova1_InRange" localSheetId="24">'RES_tr-TR'!$AN$7</definedName>
    <definedName name="dbAnova1_InRange" localSheetId="25">'RES_zh-CN'!$AN$7</definedName>
    <definedName name="dbAnova1_InRange" localSheetId="26">'RES_zh-TW'!$AN$7</definedName>
    <definedName name="dbAnova1_LabelText" localSheetId="3">'RES_cs-CZ'!$AM$12</definedName>
    <definedName name="dbAnova1_LabelText" localSheetId="4">'RES_da-DK'!$AM$12</definedName>
    <definedName name="dbAnova1_LabelText" localSheetId="5">'RES_de-DE'!$AM$12</definedName>
    <definedName name="dbAnova1_LabelText" localSheetId="6">'RES_el-GR'!$AM$12</definedName>
    <definedName name="dbAnova1_LabelText" localSheetId="2">'RES_en-US'!$AM$12</definedName>
    <definedName name="dbAnova1_LabelText" localSheetId="7">'RES_es-ES'!$AM$12</definedName>
    <definedName name="dbAnova1_LabelText" localSheetId="8">'RES_fi-FI'!$AM$12</definedName>
    <definedName name="dbAnova1_LabelText" localSheetId="1">'RES_fr-FR'!$AM$12</definedName>
    <definedName name="dbAnova1_LabelText" localSheetId="9">'RES_hr-HR'!$AM$12</definedName>
    <definedName name="dbAnova1_LabelText" localSheetId="10">'RES_hu-HU'!$AM$12</definedName>
    <definedName name="dbAnova1_LabelText" localSheetId="11">'RES_it-IT'!$AM$12</definedName>
    <definedName name="dbAnova1_LabelText" localSheetId="12">'RES_ja-JP'!$AM$12</definedName>
    <definedName name="dbAnova1_LabelText" localSheetId="13">'RES_ko-KR'!$AM$12</definedName>
    <definedName name="dbAnova1_LabelText" localSheetId="14">'RES_lv-LV'!$AM$12</definedName>
    <definedName name="dbAnova1_LabelText" localSheetId="15">'RES_nb-NO'!$AM$12</definedName>
    <definedName name="dbAnova1_LabelText" localSheetId="16">'RES_nl-NL'!$AM$12</definedName>
    <definedName name="dbAnova1_LabelText" localSheetId="17">'RES_pl-PL'!$AM$12</definedName>
    <definedName name="dbAnova1_LabelText" localSheetId="18">'RES_pt-BR'!$AM$12</definedName>
    <definedName name="dbAnova1_LabelText" localSheetId="19">'RES_pt-PT'!$AM$12</definedName>
    <definedName name="dbAnova1_LabelText" localSheetId="20">'RES_ro-RO'!$AM$12</definedName>
    <definedName name="dbAnova1_LabelText" localSheetId="21">'RES_ru-RU'!$AM$12</definedName>
    <definedName name="dbAnova1_LabelText" localSheetId="22">'RES_sl-SI'!$AM$12</definedName>
    <definedName name="dbAnova1_LabelText" localSheetId="23">'RES_sv-SE'!$AM$12</definedName>
    <definedName name="dbAnova1_LabelText" localSheetId="24">'RES_tr-TR'!$AM$12</definedName>
    <definedName name="dbAnova1_LabelText" localSheetId="25">'RES_zh-CN'!$AM$12</definedName>
    <definedName name="dbAnova1_LabelText" localSheetId="26">'RES_zh-TW'!$AM$12</definedName>
    <definedName name="dbAnova1_LblChkBox" localSheetId="3">'RES_cs-CZ'!$AN$12</definedName>
    <definedName name="dbAnova1_LblChkBox" localSheetId="4">'RES_da-DK'!$AN$12</definedName>
    <definedName name="dbAnova1_LblChkBox" localSheetId="5">'RES_de-DE'!$AN$12</definedName>
    <definedName name="dbAnova1_LblChkBox" localSheetId="6">'RES_el-GR'!$AN$12</definedName>
    <definedName name="dbAnova1_LblChkBox" localSheetId="2">'RES_en-US'!$AN$12</definedName>
    <definedName name="dbAnova1_LblChkBox" localSheetId="7">'RES_es-ES'!$AN$12</definedName>
    <definedName name="dbAnova1_LblChkBox" localSheetId="8">'RES_fi-FI'!$AN$12</definedName>
    <definedName name="dbAnova1_LblChkBox" localSheetId="1">'RES_fr-FR'!$AN$12</definedName>
    <definedName name="dbAnova1_LblChkBox" localSheetId="9">'RES_hr-HR'!$AN$12</definedName>
    <definedName name="dbAnova1_LblChkBox" localSheetId="10">'RES_hu-HU'!$AN$12</definedName>
    <definedName name="dbAnova1_LblChkBox" localSheetId="11">'RES_it-IT'!$AN$12</definedName>
    <definedName name="dbAnova1_LblChkBox" localSheetId="12">'RES_ja-JP'!$AN$12</definedName>
    <definedName name="dbAnova1_LblChkBox" localSheetId="13">'RES_ko-KR'!$AN$12</definedName>
    <definedName name="dbAnova1_LblChkBox" localSheetId="14">'RES_lv-LV'!$AN$12</definedName>
    <definedName name="dbAnova1_LblChkBox" localSheetId="15">'RES_nb-NO'!$AN$12</definedName>
    <definedName name="dbAnova1_LblChkBox" localSheetId="16">'RES_nl-NL'!$AN$12</definedName>
    <definedName name="dbAnova1_LblChkBox" localSheetId="17">'RES_pl-PL'!$AN$12</definedName>
    <definedName name="dbAnova1_LblChkBox" localSheetId="18">'RES_pt-BR'!$AN$12</definedName>
    <definedName name="dbAnova1_LblChkBox" localSheetId="19">'RES_pt-PT'!$AN$12</definedName>
    <definedName name="dbAnova1_LblChkBox" localSheetId="20">'RES_ro-RO'!$AN$12</definedName>
    <definedName name="dbAnova1_LblChkBox" localSheetId="21">'RES_ru-RU'!$AN$12</definedName>
    <definedName name="dbAnova1_LblChkBox" localSheetId="22">'RES_sl-SI'!$AN$12</definedName>
    <definedName name="dbAnova1_LblChkBox" localSheetId="23">'RES_sv-SE'!$AN$12</definedName>
    <definedName name="dbAnova1_LblChkBox" localSheetId="24">'RES_tr-TR'!$AN$12</definedName>
    <definedName name="dbAnova1_LblChkBox" localSheetId="25">'RES_zh-CN'!$AN$12</definedName>
    <definedName name="dbAnova1_LblChkBox" localSheetId="26">'RES_zh-TW'!$AN$12</definedName>
    <definedName name="dbAnova1_OutOption" localSheetId="3">'RES_cs-CZ'!$AN$16</definedName>
    <definedName name="dbAnova1_OutOption" localSheetId="4">'RES_da-DK'!$AN$16</definedName>
    <definedName name="dbAnova1_OutOption" localSheetId="5">'RES_de-DE'!$AN$16</definedName>
    <definedName name="dbAnova1_OutOption" localSheetId="6">'RES_el-GR'!$AN$16</definedName>
    <definedName name="dbAnova1_OutOption" localSheetId="2">'RES_en-US'!$AN$16</definedName>
    <definedName name="dbAnova1_OutOption" localSheetId="7">'RES_es-ES'!$AN$16</definedName>
    <definedName name="dbAnova1_OutOption" localSheetId="8">'RES_fi-FI'!$AN$16</definedName>
    <definedName name="dbAnova1_OutOption" localSheetId="1">'RES_fr-FR'!$AN$16</definedName>
    <definedName name="dbAnova1_OutOption" localSheetId="9">'RES_hr-HR'!$AN$16</definedName>
    <definedName name="dbAnova1_OutOption" localSheetId="10">'RES_hu-HU'!$AN$16</definedName>
    <definedName name="dbAnova1_OutOption" localSheetId="11">'RES_it-IT'!$AN$16</definedName>
    <definedName name="dbAnova1_OutOption" localSheetId="12">'RES_ja-JP'!$AN$16</definedName>
    <definedName name="dbAnova1_OutOption" localSheetId="13">'RES_ko-KR'!$AN$16</definedName>
    <definedName name="dbAnova1_OutOption" localSheetId="14">'RES_lv-LV'!$AN$16</definedName>
    <definedName name="dbAnova1_OutOption" localSheetId="15">'RES_nb-NO'!$AN$16</definedName>
    <definedName name="dbAnova1_OutOption" localSheetId="16">'RES_nl-NL'!$AN$16</definedName>
    <definedName name="dbAnova1_OutOption" localSheetId="17">'RES_pl-PL'!$AN$16</definedName>
    <definedName name="dbAnova1_OutOption" localSheetId="18">'RES_pt-BR'!$AN$16</definedName>
    <definedName name="dbAnova1_OutOption" localSheetId="19">'RES_pt-PT'!$AN$16</definedName>
    <definedName name="dbAnova1_OutOption" localSheetId="20">'RES_ro-RO'!$AN$16</definedName>
    <definedName name="dbAnova1_OutOption" localSheetId="21">'RES_ru-RU'!$AN$16</definedName>
    <definedName name="dbAnova1_OutOption" localSheetId="22">'RES_sl-SI'!$AN$16</definedName>
    <definedName name="dbAnova1_OutOption" localSheetId="23">'RES_sv-SE'!$AN$16</definedName>
    <definedName name="dbAnova1_OutOption" localSheetId="24">'RES_tr-TR'!$AN$16</definedName>
    <definedName name="dbAnova1_OutOption" localSheetId="25">'RES_zh-CN'!$AN$16</definedName>
    <definedName name="dbAnova1_OutOption" localSheetId="26">'RES_zh-TW'!$AN$16</definedName>
    <definedName name="dbAnova1_PlyInpFld" localSheetId="3">'RES_cs-CZ'!$AH$21</definedName>
    <definedName name="dbAnova1_PlyInpFld" localSheetId="4">'RES_da-DK'!$AH$21</definedName>
    <definedName name="dbAnova1_PlyInpFld" localSheetId="5">'RES_de-DE'!$AH$21</definedName>
    <definedName name="dbAnova1_PlyInpFld" localSheetId="6">'RES_el-GR'!$AH$21</definedName>
    <definedName name="dbAnova1_PlyInpFld" localSheetId="2">'RES_en-US'!$AH$21</definedName>
    <definedName name="dbAnova1_PlyInpFld" localSheetId="7">'RES_es-ES'!$AH$21</definedName>
    <definedName name="dbAnova1_PlyInpFld" localSheetId="8">'RES_fi-FI'!$AH$21</definedName>
    <definedName name="dbAnova1_PlyInpFld" localSheetId="1">'RES_fr-FR'!$AH$21</definedName>
    <definedName name="dbAnova1_PlyInpFld" localSheetId="9">'RES_hr-HR'!$AH$21</definedName>
    <definedName name="dbAnova1_PlyInpFld" localSheetId="10">'RES_hu-HU'!$AH$21</definedName>
    <definedName name="dbAnova1_PlyInpFld" localSheetId="11">'RES_it-IT'!$AH$21</definedName>
    <definedName name="dbAnova1_PlyInpFld" localSheetId="12">'RES_ja-JP'!$AH$21</definedName>
    <definedName name="dbAnova1_PlyInpFld" localSheetId="13">'RES_ko-KR'!$AH$21</definedName>
    <definedName name="dbAnova1_PlyInpFld" localSheetId="14">'RES_lv-LV'!$AH$21</definedName>
    <definedName name="dbAnova1_PlyInpFld" localSheetId="15">'RES_nb-NO'!$AH$21</definedName>
    <definedName name="dbAnova1_PlyInpFld" localSheetId="16">'RES_nl-NL'!$AH$21</definedName>
    <definedName name="dbAnova1_PlyInpFld" localSheetId="17">'RES_pl-PL'!$AH$21</definedName>
    <definedName name="dbAnova1_PlyInpFld" localSheetId="18">'RES_pt-BR'!$AH$21</definedName>
    <definedName name="dbAnova1_PlyInpFld" localSheetId="19">'RES_pt-PT'!$AH$21</definedName>
    <definedName name="dbAnova1_PlyInpFld" localSheetId="20">'RES_ro-RO'!$AH$21</definedName>
    <definedName name="dbAnova1_PlyInpFld" localSheetId="21">'RES_ru-RU'!$AH$21</definedName>
    <definedName name="dbAnova1_PlyInpFld" localSheetId="22">'RES_sl-SI'!$AH$21</definedName>
    <definedName name="dbAnova1_PlyInpFld" localSheetId="23">'RES_sv-SE'!$AH$21</definedName>
    <definedName name="dbAnova1_PlyInpFld" localSheetId="24">'RES_tr-TR'!$AH$21</definedName>
    <definedName name="dbAnova1_PlyInpFld" localSheetId="25">'RES_zh-CN'!$AH$21</definedName>
    <definedName name="dbAnova1_PlyInpFld" localSheetId="26">'RES_zh-TW'!$AH$21</definedName>
    <definedName name="dbAnova1_PlyName" localSheetId="3">'RES_cs-CZ'!$AN$21</definedName>
    <definedName name="dbAnova1_PlyName" localSheetId="4">'RES_da-DK'!$AN$21</definedName>
    <definedName name="dbAnova1_PlyName" localSheetId="5">'RES_de-DE'!$AN$21</definedName>
    <definedName name="dbAnova1_PlyName" localSheetId="6">'RES_el-GR'!$AN$21</definedName>
    <definedName name="dbAnova1_PlyName" localSheetId="2">'RES_en-US'!$AN$21</definedName>
    <definedName name="dbAnova1_PlyName" localSheetId="7">'RES_es-ES'!$AN$21</definedName>
    <definedName name="dbAnova1_PlyName" localSheetId="8">'RES_fi-FI'!$AN$21</definedName>
    <definedName name="dbAnova1_PlyName" localSheetId="1">'RES_fr-FR'!$AN$21</definedName>
    <definedName name="dbAnova1_PlyName" localSheetId="9">'RES_hr-HR'!$AN$21</definedName>
    <definedName name="dbAnova1_PlyName" localSheetId="10">'RES_hu-HU'!$AN$21</definedName>
    <definedName name="dbAnova1_PlyName" localSheetId="11">'RES_it-IT'!$AN$21</definedName>
    <definedName name="dbAnova1_PlyName" localSheetId="12">'RES_ja-JP'!$AN$21</definedName>
    <definedName name="dbAnova1_PlyName" localSheetId="13">'RES_ko-KR'!$AN$21</definedName>
    <definedName name="dbAnova1_PlyName" localSheetId="14">'RES_lv-LV'!$AN$21</definedName>
    <definedName name="dbAnova1_PlyName" localSheetId="15">'RES_nb-NO'!$AN$21</definedName>
    <definedName name="dbAnova1_PlyName" localSheetId="16">'RES_nl-NL'!$AN$21</definedName>
    <definedName name="dbAnova1_PlyName" localSheetId="17">'RES_pl-PL'!$AN$21</definedName>
    <definedName name="dbAnova1_PlyName" localSheetId="18">'RES_pt-BR'!$AN$21</definedName>
    <definedName name="dbAnova1_PlyName" localSheetId="19">'RES_pt-PT'!$AN$21</definedName>
    <definedName name="dbAnova1_PlyName" localSheetId="20">'RES_ro-RO'!$AN$21</definedName>
    <definedName name="dbAnova1_PlyName" localSheetId="21">'RES_ru-RU'!$AN$21</definedName>
    <definedName name="dbAnova1_PlyName" localSheetId="22">'RES_sl-SI'!$AN$21</definedName>
    <definedName name="dbAnova1_PlyName" localSheetId="23">'RES_sv-SE'!$AN$21</definedName>
    <definedName name="dbAnova1_PlyName" localSheetId="24">'RES_tr-TR'!$AN$21</definedName>
    <definedName name="dbAnova1_PlyName" localSheetId="25">'RES_zh-CN'!$AN$21</definedName>
    <definedName name="dbAnova1_PlyName" localSheetId="26">'RES_zh-TW'!$AN$21</definedName>
    <definedName name="dbAnova1_RangeInpFld" localSheetId="3">'RES_cs-CZ'!$AH$20</definedName>
    <definedName name="dbAnova1_RangeInpFld" localSheetId="4">'RES_da-DK'!$AH$20</definedName>
    <definedName name="dbAnova1_RangeInpFld" localSheetId="5">'RES_de-DE'!$AH$20</definedName>
    <definedName name="dbAnova1_RangeInpFld" localSheetId="6">'RES_el-GR'!$AH$20</definedName>
    <definedName name="dbAnova1_RangeInpFld" localSheetId="2">'RES_en-US'!$AH$20</definedName>
    <definedName name="dbAnova1_RangeInpFld" localSheetId="7">'RES_es-ES'!$AH$20</definedName>
    <definedName name="dbAnova1_RangeInpFld" localSheetId="8">'RES_fi-FI'!$AH$20</definedName>
    <definedName name="dbAnova1_RangeInpFld" localSheetId="1">'RES_fr-FR'!$AH$20</definedName>
    <definedName name="dbAnova1_RangeInpFld" localSheetId="9">'RES_hr-HR'!$AH$20</definedName>
    <definedName name="dbAnova1_RangeInpFld" localSheetId="10">'RES_hu-HU'!$AH$20</definedName>
    <definedName name="dbAnova1_RangeInpFld" localSheetId="11">'RES_it-IT'!$AH$20</definedName>
    <definedName name="dbAnova1_RangeInpFld" localSheetId="12">'RES_ja-JP'!$AH$20</definedName>
    <definedName name="dbAnova1_RangeInpFld" localSheetId="13">'RES_ko-KR'!$AH$20</definedName>
    <definedName name="dbAnova1_RangeInpFld" localSheetId="14">'RES_lv-LV'!$AH$20</definedName>
    <definedName name="dbAnova1_RangeInpFld" localSheetId="15">'RES_nb-NO'!$AH$20</definedName>
    <definedName name="dbAnova1_RangeInpFld" localSheetId="16">'RES_nl-NL'!$AH$20</definedName>
    <definedName name="dbAnova1_RangeInpFld" localSheetId="17">'RES_pl-PL'!$AH$20</definedName>
    <definedName name="dbAnova1_RangeInpFld" localSheetId="18">'RES_pt-BR'!$AH$20</definedName>
    <definedName name="dbAnova1_RangeInpFld" localSheetId="19">'RES_pt-PT'!$AH$20</definedName>
    <definedName name="dbAnova1_RangeInpFld" localSheetId="20">'RES_ro-RO'!$AH$20</definedName>
    <definedName name="dbAnova1_RangeInpFld" localSheetId="21">'RES_ru-RU'!$AH$20</definedName>
    <definedName name="dbAnova1_RangeInpFld" localSheetId="22">'RES_sl-SI'!$AH$20</definedName>
    <definedName name="dbAnova1_RangeInpFld" localSheetId="23">'RES_sv-SE'!$AH$20</definedName>
    <definedName name="dbAnova1_RangeInpFld" localSheetId="24">'RES_tr-TR'!$AH$20</definedName>
    <definedName name="dbAnova1_RangeInpFld" localSheetId="25">'RES_zh-CN'!$AH$20</definedName>
    <definedName name="dbAnova1_RangeInpFld" localSheetId="26">'RES_zh-TW'!$AH$20</definedName>
    <definedName name="dbAnova1_RangeRef" localSheetId="3">'RES_cs-CZ'!$AN$20</definedName>
    <definedName name="dbAnova1_RangeRef" localSheetId="4">'RES_da-DK'!$AN$20</definedName>
    <definedName name="dbAnova1_RangeRef" localSheetId="5">'RES_de-DE'!$AN$20</definedName>
    <definedName name="dbAnova1_RangeRef" localSheetId="6">'RES_el-GR'!$AN$20</definedName>
    <definedName name="dbAnova1_RangeRef" localSheetId="2">'RES_en-US'!$AN$20</definedName>
    <definedName name="dbAnova1_RangeRef" localSheetId="7">'RES_es-ES'!$AN$20</definedName>
    <definedName name="dbAnova1_RangeRef" localSheetId="8">'RES_fi-FI'!$AN$20</definedName>
    <definedName name="dbAnova1_RangeRef" localSheetId="1">'RES_fr-FR'!$AN$20</definedName>
    <definedName name="dbAnova1_RangeRef" localSheetId="9">'RES_hr-HR'!$AN$20</definedName>
    <definedName name="dbAnova1_RangeRef" localSheetId="10">'RES_hu-HU'!$AN$20</definedName>
    <definedName name="dbAnova1_RangeRef" localSheetId="11">'RES_it-IT'!$AN$20</definedName>
    <definedName name="dbAnova1_RangeRef" localSheetId="12">'RES_ja-JP'!$AN$20</definedName>
    <definedName name="dbAnova1_RangeRef" localSheetId="13">'RES_ko-KR'!$AN$20</definedName>
    <definedName name="dbAnova1_RangeRef" localSheetId="14">'RES_lv-LV'!$AN$20</definedName>
    <definedName name="dbAnova1_RangeRef" localSheetId="15">'RES_nb-NO'!$AN$20</definedName>
    <definedName name="dbAnova1_RangeRef" localSheetId="16">'RES_nl-NL'!$AN$20</definedName>
    <definedName name="dbAnova1_RangeRef" localSheetId="17">'RES_pl-PL'!$AN$20</definedName>
    <definedName name="dbAnova1_RangeRef" localSheetId="18">'RES_pt-BR'!$AN$20</definedName>
    <definedName name="dbAnova1_RangeRef" localSheetId="19">'RES_pt-PT'!$AN$20</definedName>
    <definedName name="dbAnova1_RangeRef" localSheetId="20">'RES_ro-RO'!$AN$20</definedName>
    <definedName name="dbAnova1_RangeRef" localSheetId="21">'RES_ru-RU'!$AN$20</definedName>
    <definedName name="dbAnova1_RangeRef" localSheetId="22">'RES_sl-SI'!$AN$20</definedName>
    <definedName name="dbAnova1_RangeRef" localSheetId="23">'RES_sv-SE'!$AN$20</definedName>
    <definedName name="dbAnova1_RangeRef" localSheetId="24">'RES_tr-TR'!$AN$20</definedName>
    <definedName name="dbAnova1_RangeRef" localSheetId="25">'RES_zh-CN'!$AN$20</definedName>
    <definedName name="dbAnova1_RangeRef" localSheetId="26">'RES_zh-TW'!$AN$20</definedName>
    <definedName name="dbAnova1_RCSelect" localSheetId="3">'RES_cs-CZ'!$AN$9</definedName>
    <definedName name="dbAnova1_RCSelect" localSheetId="4">'RES_da-DK'!$AN$9</definedName>
    <definedName name="dbAnova1_RCSelect" localSheetId="5">'RES_de-DE'!$AN$9</definedName>
    <definedName name="dbAnova1_RCSelect" localSheetId="6">'RES_el-GR'!$AN$9</definedName>
    <definedName name="dbAnova1_RCSelect" localSheetId="2">'RES_en-US'!$AN$9</definedName>
    <definedName name="dbAnova1_RCSelect" localSheetId="7">'RES_es-ES'!$AN$9</definedName>
    <definedName name="dbAnova1_RCSelect" localSheetId="8">'RES_fi-FI'!$AN$9</definedName>
    <definedName name="dbAnova1_RCSelect" localSheetId="1">'RES_fr-FR'!$AN$9</definedName>
    <definedName name="dbAnova1_RCSelect" localSheetId="9">'RES_hr-HR'!$AN$9</definedName>
    <definedName name="dbAnova1_RCSelect" localSheetId="10">'RES_hu-HU'!$AN$9</definedName>
    <definedName name="dbAnova1_RCSelect" localSheetId="11">'RES_it-IT'!$AN$9</definedName>
    <definedName name="dbAnova1_RCSelect" localSheetId="12">'RES_ja-JP'!$AN$9</definedName>
    <definedName name="dbAnova1_RCSelect" localSheetId="13">'RES_ko-KR'!$AN$9</definedName>
    <definedName name="dbAnova1_RCSelect" localSheetId="14">'RES_lv-LV'!$AN$9</definedName>
    <definedName name="dbAnova1_RCSelect" localSheetId="15">'RES_nb-NO'!$AN$9</definedName>
    <definedName name="dbAnova1_RCSelect" localSheetId="16">'RES_nl-NL'!$AN$9</definedName>
    <definedName name="dbAnova1_RCSelect" localSheetId="17">'RES_pl-PL'!$AN$9</definedName>
    <definedName name="dbAnova1_RCSelect" localSheetId="18">'RES_pt-BR'!$AN$9</definedName>
    <definedName name="dbAnova1_RCSelect" localSheetId="19">'RES_pt-PT'!$AN$9</definedName>
    <definedName name="dbAnova1_RCSelect" localSheetId="20">'RES_ro-RO'!$AN$9</definedName>
    <definedName name="dbAnova1_RCSelect" localSheetId="21">'RES_ru-RU'!$AN$9</definedName>
    <definedName name="dbAnova1_RCSelect" localSheetId="22">'RES_sl-SI'!$AN$9</definedName>
    <definedName name="dbAnova1_RCSelect" localSheetId="23">'RES_sv-SE'!$AN$9</definedName>
    <definedName name="dbAnova1_RCSelect" localSheetId="24">'RES_tr-TR'!$AN$9</definedName>
    <definedName name="dbAnova1_RCSelect" localSheetId="25">'RES_zh-CN'!$AN$9</definedName>
    <definedName name="dbAnova1_RCSelect" localSheetId="26">'RES_zh-TW'!$AN$9</definedName>
    <definedName name="dbAnova1Title" localSheetId="3">'RES_cs-CZ'!$AM$2</definedName>
    <definedName name="dbAnova1Title" localSheetId="4">'RES_da-DK'!$AM$2</definedName>
    <definedName name="dbAnova1Title" localSheetId="5">'RES_de-DE'!$AM$2</definedName>
    <definedName name="dbAnova1Title" localSheetId="6">'RES_el-GR'!$AM$2</definedName>
    <definedName name="dbAnova1Title" localSheetId="2">'RES_en-US'!$AM$2</definedName>
    <definedName name="dbAnova1Title" localSheetId="7">'RES_es-ES'!$AM$2</definedName>
    <definedName name="dbAnova1Title" localSheetId="8">'RES_fi-FI'!$AM$2</definedName>
    <definedName name="dbAnova1Title" localSheetId="1">'RES_fr-FR'!$AM$2</definedName>
    <definedName name="dbAnova1Title" localSheetId="9">'RES_hr-HR'!$AM$2</definedName>
    <definedName name="dbAnova1Title" localSheetId="10">'RES_hu-HU'!$AM$2</definedName>
    <definedName name="dbAnova1Title" localSheetId="11">'RES_it-IT'!$AM$2</definedName>
    <definedName name="dbAnova1Title" localSheetId="12">'RES_ja-JP'!$AM$2</definedName>
    <definedName name="dbAnova1Title" localSheetId="13">'RES_ko-KR'!$AM$2</definedName>
    <definedName name="dbAnova1Title" localSheetId="14">'RES_lv-LV'!$AM$2</definedName>
    <definedName name="dbAnova1Title" localSheetId="15">'RES_nb-NO'!$AM$2</definedName>
    <definedName name="dbAnova1Title" localSheetId="16">'RES_nl-NL'!$AM$2</definedName>
    <definedName name="dbAnova1Title" localSheetId="17">'RES_pl-PL'!$AM$2</definedName>
    <definedName name="dbAnova1Title" localSheetId="18">'RES_pt-BR'!$AM$2</definedName>
    <definedName name="dbAnova1Title" localSheetId="19">'RES_pt-PT'!$AM$2</definedName>
    <definedName name="dbAnova1Title" localSheetId="20">'RES_ro-RO'!$AM$2</definedName>
    <definedName name="dbAnova1Title" localSheetId="21">'RES_ru-RU'!$AM$2</definedName>
    <definedName name="dbAnova1Title" localSheetId="22">'RES_sl-SI'!$AM$2</definedName>
    <definedName name="dbAnova1Title" localSheetId="23">'RES_sv-SE'!$AM$2</definedName>
    <definedName name="dbAnova1Title" localSheetId="24">'RES_tr-TR'!$AM$2</definedName>
    <definedName name="dbAnova1Title" localSheetId="25">'RES_zh-CN'!$AM$2</definedName>
    <definedName name="dbAnova1Title" localSheetId="26">'RES_zh-TW'!$AM$2</definedName>
    <definedName name="dbAnova2" localSheetId="3">'RES_cs-CZ'!$AH$26:$AN$43</definedName>
    <definedName name="dbAnova2" localSheetId="4">'RES_da-DK'!$AH$26:$AN$43</definedName>
    <definedName name="dbAnova2" localSheetId="5">'RES_de-DE'!$AH$26:$AN$43</definedName>
    <definedName name="dbAnova2" localSheetId="6">'RES_el-GR'!$AH$26:$AN$43</definedName>
    <definedName name="dbAnova2" localSheetId="2">'RES_en-US'!$AH$26:$AN$43</definedName>
    <definedName name="dbAnova2" localSheetId="7">'RES_es-ES'!$AH$26:$AN$43</definedName>
    <definedName name="dbAnova2" localSheetId="8">'RES_fi-FI'!$AH$26:$AN$43</definedName>
    <definedName name="dbAnova2" localSheetId="1">'RES_fr-FR'!$AH$26:$AN$43</definedName>
    <definedName name="dbAnova2" localSheetId="9">'RES_hr-HR'!$AH$26:$AN$43</definedName>
    <definedName name="dbAnova2" localSheetId="10">'RES_hu-HU'!$AH$26:$AN$43</definedName>
    <definedName name="dbAnova2" localSheetId="11">'RES_it-IT'!$AH$26:$AN$43</definedName>
    <definedName name="dbAnova2" localSheetId="12">'RES_ja-JP'!$AH$26:$AN$43</definedName>
    <definedName name="dbAnova2" localSheetId="13">'RES_ko-KR'!$AH$26:$AN$43</definedName>
    <definedName name="dbAnova2" localSheetId="14">'RES_lv-LV'!$AH$26:$AN$43</definedName>
    <definedName name="dbAnova2" localSheetId="15">'RES_nb-NO'!$AH$26:$AN$43</definedName>
    <definedName name="dbAnova2" localSheetId="16">'RES_nl-NL'!$AH$26:$AN$43</definedName>
    <definedName name="dbAnova2" localSheetId="17">'RES_pl-PL'!$AH$26:$AN$43</definedName>
    <definedName name="dbAnova2" localSheetId="18">'RES_pt-BR'!$AH$26:$AN$43</definedName>
    <definedName name="dbAnova2" localSheetId="19">'RES_pt-PT'!$AH$26:$AN$43</definedName>
    <definedName name="dbAnova2" localSheetId="20">'RES_ro-RO'!$AH$26:$AN$43</definedName>
    <definedName name="dbAnova2" localSheetId="21">'RES_ru-RU'!$AH$26:$AN$43</definedName>
    <definedName name="dbAnova2" localSheetId="22">'RES_sl-SI'!$AH$26:$AN$43</definedName>
    <definedName name="dbAnova2" localSheetId="23">'RES_sv-SE'!$AH$26:$AN$43</definedName>
    <definedName name="dbAnova2" localSheetId="24">'RES_tr-TR'!$AH$26:$AN$43</definedName>
    <definedName name="dbAnova2" localSheetId="25">'RES_zh-CN'!$AH$26:$AN$43</definedName>
    <definedName name="dbAnova2" localSheetId="26">'RES_zh-TW'!$AH$26:$AN$43</definedName>
    <definedName name="dbAnova2_AlphaValue" localSheetId="3">'RES_cs-CZ'!$AN$35</definedName>
    <definedName name="dbAnova2_AlphaValue" localSheetId="4">'RES_da-DK'!$AN$35</definedName>
    <definedName name="dbAnova2_AlphaValue" localSheetId="5">'RES_de-DE'!$AN$35</definedName>
    <definedName name="dbAnova2_AlphaValue" localSheetId="6">'RES_el-GR'!$AN$35</definedName>
    <definedName name="dbAnova2_AlphaValue" localSheetId="2">'RES_en-US'!$AN$35</definedName>
    <definedName name="dbAnova2_AlphaValue" localSheetId="7">'RES_es-ES'!$AN$35</definedName>
    <definedName name="dbAnova2_AlphaValue" localSheetId="8">'RES_fi-FI'!$AN$35</definedName>
    <definedName name="dbAnova2_AlphaValue" localSheetId="1">'RES_fr-FR'!$AN$35</definedName>
    <definedName name="dbAnova2_AlphaValue" localSheetId="9">'RES_hr-HR'!$AN$35</definedName>
    <definedName name="dbAnova2_AlphaValue" localSheetId="10">'RES_hu-HU'!$AN$35</definedName>
    <definedName name="dbAnova2_AlphaValue" localSheetId="11">'RES_it-IT'!$AN$35</definedName>
    <definedName name="dbAnova2_AlphaValue" localSheetId="12">'RES_ja-JP'!$AN$35</definedName>
    <definedName name="dbAnova2_AlphaValue" localSheetId="13">'RES_ko-KR'!$AN$35</definedName>
    <definedName name="dbAnova2_AlphaValue" localSheetId="14">'RES_lv-LV'!$AN$35</definedName>
    <definedName name="dbAnova2_AlphaValue" localSheetId="15">'RES_nb-NO'!$AN$35</definedName>
    <definedName name="dbAnova2_AlphaValue" localSheetId="16">'RES_nl-NL'!$AN$35</definedName>
    <definedName name="dbAnova2_AlphaValue" localSheetId="17">'RES_pl-PL'!$AN$35</definedName>
    <definedName name="dbAnova2_AlphaValue" localSheetId="18">'RES_pt-BR'!$AN$35</definedName>
    <definedName name="dbAnova2_AlphaValue" localSheetId="19">'RES_pt-PT'!$AN$35</definedName>
    <definedName name="dbAnova2_AlphaValue" localSheetId="20">'RES_ro-RO'!$AN$35</definedName>
    <definedName name="dbAnova2_AlphaValue" localSheetId="21">'RES_ru-RU'!$AN$35</definedName>
    <definedName name="dbAnova2_AlphaValue" localSheetId="22">'RES_sl-SI'!$AN$35</definedName>
    <definedName name="dbAnova2_AlphaValue" localSheetId="23">'RES_sv-SE'!$AN$35</definedName>
    <definedName name="dbAnova2_AlphaValue" localSheetId="24">'RES_tr-TR'!$AN$35</definedName>
    <definedName name="dbAnova2_AlphaValue" localSheetId="25">'RES_zh-CN'!$AN$35</definedName>
    <definedName name="dbAnova2_AlphaValue" localSheetId="26">'RES_zh-TW'!$AN$35</definedName>
    <definedName name="dbAnova2_InRange" localSheetId="3">'RES_cs-CZ'!$AN$31</definedName>
    <definedName name="dbAnova2_InRange" localSheetId="4">'RES_da-DK'!$AN$31</definedName>
    <definedName name="dbAnova2_InRange" localSheetId="5">'RES_de-DE'!$AN$31</definedName>
    <definedName name="dbAnova2_InRange" localSheetId="6">'RES_el-GR'!$AN$31</definedName>
    <definedName name="dbAnova2_InRange" localSheetId="2">'RES_en-US'!$AN$31</definedName>
    <definedName name="dbAnova2_InRange" localSheetId="7">'RES_es-ES'!$AN$31</definedName>
    <definedName name="dbAnova2_InRange" localSheetId="8">'RES_fi-FI'!$AN$31</definedName>
    <definedName name="dbAnova2_InRange" localSheetId="1">'RES_fr-FR'!$AN$31</definedName>
    <definedName name="dbAnova2_InRange" localSheetId="9">'RES_hr-HR'!$AN$31</definedName>
    <definedName name="dbAnova2_InRange" localSheetId="10">'RES_hu-HU'!$AN$31</definedName>
    <definedName name="dbAnova2_InRange" localSheetId="11">'RES_it-IT'!$AN$31</definedName>
    <definedName name="dbAnova2_InRange" localSheetId="12">'RES_ja-JP'!$AN$31</definedName>
    <definedName name="dbAnova2_InRange" localSheetId="13">'RES_ko-KR'!$AN$31</definedName>
    <definedName name="dbAnova2_InRange" localSheetId="14">'RES_lv-LV'!$AN$31</definedName>
    <definedName name="dbAnova2_InRange" localSheetId="15">'RES_nb-NO'!$AN$31</definedName>
    <definedName name="dbAnova2_InRange" localSheetId="16">'RES_nl-NL'!$AN$31</definedName>
    <definedName name="dbAnova2_InRange" localSheetId="17">'RES_pl-PL'!$AN$31</definedName>
    <definedName name="dbAnova2_InRange" localSheetId="18">'RES_pt-BR'!$AN$31</definedName>
    <definedName name="dbAnova2_InRange" localSheetId="19">'RES_pt-PT'!$AN$31</definedName>
    <definedName name="dbAnova2_InRange" localSheetId="20">'RES_ro-RO'!$AN$31</definedName>
    <definedName name="dbAnova2_InRange" localSheetId="21">'RES_ru-RU'!$AN$31</definedName>
    <definedName name="dbAnova2_InRange" localSheetId="22">'RES_sl-SI'!$AN$31</definedName>
    <definedName name="dbAnova2_InRange" localSheetId="23">'RES_sv-SE'!$AN$31</definedName>
    <definedName name="dbAnova2_InRange" localSheetId="24">'RES_tr-TR'!$AN$31</definedName>
    <definedName name="dbAnova2_InRange" localSheetId="25">'RES_zh-CN'!$AN$31</definedName>
    <definedName name="dbAnova2_InRange" localSheetId="26">'RES_zh-TW'!$AN$31</definedName>
    <definedName name="dbAnova2_OutOption" localSheetId="3">'RES_cs-CZ'!$AN$37</definedName>
    <definedName name="dbAnova2_OutOption" localSheetId="4">'RES_da-DK'!$AN$37</definedName>
    <definedName name="dbAnova2_OutOption" localSheetId="5">'RES_de-DE'!$AN$37</definedName>
    <definedName name="dbAnova2_OutOption" localSheetId="6">'RES_el-GR'!$AN$37</definedName>
    <definedName name="dbAnova2_OutOption" localSheetId="2">'RES_en-US'!$AN$37</definedName>
    <definedName name="dbAnova2_OutOption" localSheetId="7">'RES_es-ES'!$AN$37</definedName>
    <definedName name="dbAnova2_OutOption" localSheetId="8">'RES_fi-FI'!$AN$37</definedName>
    <definedName name="dbAnova2_OutOption" localSheetId="1">'RES_fr-FR'!$AN$37</definedName>
    <definedName name="dbAnova2_OutOption" localSheetId="9">'RES_hr-HR'!$AN$37</definedName>
    <definedName name="dbAnova2_OutOption" localSheetId="10">'RES_hu-HU'!$AN$37</definedName>
    <definedName name="dbAnova2_OutOption" localSheetId="11">'RES_it-IT'!$AN$37</definedName>
    <definedName name="dbAnova2_OutOption" localSheetId="12">'RES_ja-JP'!$AN$37</definedName>
    <definedName name="dbAnova2_OutOption" localSheetId="13">'RES_ko-KR'!$AN$37</definedName>
    <definedName name="dbAnova2_OutOption" localSheetId="14">'RES_lv-LV'!$AN$37</definedName>
    <definedName name="dbAnova2_OutOption" localSheetId="15">'RES_nb-NO'!$AN$37</definedName>
    <definedName name="dbAnova2_OutOption" localSheetId="16">'RES_nl-NL'!$AN$37</definedName>
    <definedName name="dbAnova2_OutOption" localSheetId="17">'RES_pl-PL'!$AN$37</definedName>
    <definedName name="dbAnova2_OutOption" localSheetId="18">'RES_pt-BR'!$AN$37</definedName>
    <definedName name="dbAnova2_OutOption" localSheetId="19">'RES_pt-PT'!$AN$37</definedName>
    <definedName name="dbAnova2_OutOption" localSheetId="20">'RES_ro-RO'!$AN$37</definedName>
    <definedName name="dbAnova2_OutOption" localSheetId="21">'RES_ru-RU'!$AN$37</definedName>
    <definedName name="dbAnova2_OutOption" localSheetId="22">'RES_sl-SI'!$AN$37</definedName>
    <definedName name="dbAnova2_OutOption" localSheetId="23">'RES_sv-SE'!$AN$37</definedName>
    <definedName name="dbAnova2_OutOption" localSheetId="24">'RES_tr-TR'!$AN$37</definedName>
    <definedName name="dbAnova2_OutOption" localSheetId="25">'RES_zh-CN'!$AN$37</definedName>
    <definedName name="dbAnova2_OutOption" localSheetId="26">'RES_zh-TW'!$AN$37</definedName>
    <definedName name="dbAnova2_PlyInpFld" localSheetId="3">'RES_cs-CZ'!$AH$42</definedName>
    <definedName name="dbAnova2_PlyInpFld" localSheetId="4">'RES_da-DK'!$AH$42</definedName>
    <definedName name="dbAnova2_PlyInpFld" localSheetId="5">'RES_de-DE'!$AH$42</definedName>
    <definedName name="dbAnova2_PlyInpFld" localSheetId="6">'RES_el-GR'!$AH$42</definedName>
    <definedName name="dbAnova2_PlyInpFld" localSheetId="2">'RES_en-US'!$AH$42</definedName>
    <definedName name="dbAnova2_PlyInpFld" localSheetId="7">'RES_es-ES'!$AH$42</definedName>
    <definedName name="dbAnova2_PlyInpFld" localSheetId="8">'RES_fi-FI'!$AH$42</definedName>
    <definedName name="dbAnova2_PlyInpFld" localSheetId="1">'RES_fr-FR'!$AH$42</definedName>
    <definedName name="dbAnova2_PlyInpFld" localSheetId="9">'RES_hr-HR'!$AH$42</definedName>
    <definedName name="dbAnova2_PlyInpFld" localSheetId="10">'RES_hu-HU'!$AH$42</definedName>
    <definedName name="dbAnova2_PlyInpFld" localSheetId="11">'RES_it-IT'!$AH$42</definedName>
    <definedName name="dbAnova2_PlyInpFld" localSheetId="12">'RES_ja-JP'!$AH$42</definedName>
    <definedName name="dbAnova2_PlyInpFld" localSheetId="13">'RES_ko-KR'!$AH$42</definedName>
    <definedName name="dbAnova2_PlyInpFld" localSheetId="14">'RES_lv-LV'!$AH$42</definedName>
    <definedName name="dbAnova2_PlyInpFld" localSheetId="15">'RES_nb-NO'!$AH$42</definedName>
    <definedName name="dbAnova2_PlyInpFld" localSheetId="16">'RES_nl-NL'!$AH$42</definedName>
    <definedName name="dbAnova2_PlyInpFld" localSheetId="17">'RES_pl-PL'!$AH$42</definedName>
    <definedName name="dbAnova2_PlyInpFld" localSheetId="18">'RES_pt-BR'!$AH$42</definedName>
    <definedName name="dbAnova2_PlyInpFld" localSheetId="19">'RES_pt-PT'!$AH$42</definedName>
    <definedName name="dbAnova2_PlyInpFld" localSheetId="20">'RES_ro-RO'!$AH$42</definedName>
    <definedName name="dbAnova2_PlyInpFld" localSheetId="21">'RES_ru-RU'!$AH$42</definedName>
    <definedName name="dbAnova2_PlyInpFld" localSheetId="22">'RES_sl-SI'!$AH$42</definedName>
    <definedName name="dbAnova2_PlyInpFld" localSheetId="23">'RES_sv-SE'!$AH$42</definedName>
    <definedName name="dbAnova2_PlyInpFld" localSheetId="24">'RES_tr-TR'!$AH$42</definedName>
    <definedName name="dbAnova2_PlyInpFld" localSheetId="25">'RES_zh-CN'!$AH$42</definedName>
    <definedName name="dbAnova2_PlyInpFld" localSheetId="26">'RES_zh-TW'!$AH$42</definedName>
    <definedName name="dbAnova2_PlyName" localSheetId="3">'RES_cs-CZ'!$AN$42</definedName>
    <definedName name="dbAnova2_PlyName" localSheetId="4">'RES_da-DK'!$AN$42</definedName>
    <definedName name="dbAnova2_PlyName" localSheetId="5">'RES_de-DE'!$AN$42</definedName>
    <definedName name="dbAnova2_PlyName" localSheetId="6">'RES_el-GR'!$AN$42</definedName>
    <definedName name="dbAnova2_PlyName" localSheetId="2">'RES_en-US'!$AN$42</definedName>
    <definedName name="dbAnova2_PlyName" localSheetId="7">'RES_es-ES'!$AN$42</definedName>
    <definedName name="dbAnova2_PlyName" localSheetId="8">'RES_fi-FI'!$AN$42</definedName>
    <definedName name="dbAnova2_PlyName" localSheetId="1">'RES_fr-FR'!$AN$42</definedName>
    <definedName name="dbAnova2_PlyName" localSheetId="9">'RES_hr-HR'!$AN$42</definedName>
    <definedName name="dbAnova2_PlyName" localSheetId="10">'RES_hu-HU'!$AN$42</definedName>
    <definedName name="dbAnova2_PlyName" localSheetId="11">'RES_it-IT'!$AN$42</definedName>
    <definedName name="dbAnova2_PlyName" localSheetId="12">'RES_ja-JP'!$AN$42</definedName>
    <definedName name="dbAnova2_PlyName" localSheetId="13">'RES_ko-KR'!$AN$42</definedName>
    <definedName name="dbAnova2_PlyName" localSheetId="14">'RES_lv-LV'!$AN$42</definedName>
    <definedName name="dbAnova2_PlyName" localSheetId="15">'RES_nb-NO'!$AN$42</definedName>
    <definedName name="dbAnova2_PlyName" localSheetId="16">'RES_nl-NL'!$AN$42</definedName>
    <definedName name="dbAnova2_PlyName" localSheetId="17">'RES_pl-PL'!$AN$42</definedName>
    <definedName name="dbAnova2_PlyName" localSheetId="18">'RES_pt-BR'!$AN$42</definedName>
    <definedName name="dbAnova2_PlyName" localSheetId="19">'RES_pt-PT'!$AN$42</definedName>
    <definedName name="dbAnova2_PlyName" localSheetId="20">'RES_ro-RO'!$AN$42</definedName>
    <definedName name="dbAnova2_PlyName" localSheetId="21">'RES_ru-RU'!$AN$42</definedName>
    <definedName name="dbAnova2_PlyName" localSheetId="22">'RES_sl-SI'!$AN$42</definedName>
    <definedName name="dbAnova2_PlyName" localSheetId="23">'RES_sv-SE'!$AN$42</definedName>
    <definedName name="dbAnova2_PlyName" localSheetId="24">'RES_tr-TR'!$AN$42</definedName>
    <definedName name="dbAnova2_PlyName" localSheetId="25">'RES_zh-CN'!$AN$42</definedName>
    <definedName name="dbAnova2_PlyName" localSheetId="26">'RES_zh-TW'!$AN$42</definedName>
    <definedName name="dbAnova2_RangeInpFld" localSheetId="3">'RES_cs-CZ'!$AH$41</definedName>
    <definedName name="dbAnova2_RangeInpFld" localSheetId="4">'RES_da-DK'!$AH$41</definedName>
    <definedName name="dbAnova2_RangeInpFld" localSheetId="5">'RES_de-DE'!$AH$41</definedName>
    <definedName name="dbAnova2_RangeInpFld" localSheetId="6">'RES_el-GR'!$AH$41</definedName>
    <definedName name="dbAnova2_RangeInpFld" localSheetId="2">'RES_en-US'!$AH$41</definedName>
    <definedName name="dbAnova2_RangeInpFld" localSheetId="7">'RES_es-ES'!$AH$41</definedName>
    <definedName name="dbAnova2_RangeInpFld" localSheetId="8">'RES_fi-FI'!$AH$41</definedName>
    <definedName name="dbAnova2_RangeInpFld" localSheetId="1">'RES_fr-FR'!$AH$41</definedName>
    <definedName name="dbAnova2_RangeInpFld" localSheetId="9">'RES_hr-HR'!$AH$41</definedName>
    <definedName name="dbAnova2_RangeInpFld" localSheetId="10">'RES_hu-HU'!$AH$41</definedName>
    <definedName name="dbAnova2_RangeInpFld" localSheetId="11">'RES_it-IT'!$AH$41</definedName>
    <definedName name="dbAnova2_RangeInpFld" localSheetId="12">'RES_ja-JP'!$AH$41</definedName>
    <definedName name="dbAnova2_RangeInpFld" localSheetId="13">'RES_ko-KR'!$AH$41</definedName>
    <definedName name="dbAnova2_RangeInpFld" localSheetId="14">'RES_lv-LV'!$AH$41</definedName>
    <definedName name="dbAnova2_RangeInpFld" localSheetId="15">'RES_nb-NO'!$AH$41</definedName>
    <definedName name="dbAnova2_RangeInpFld" localSheetId="16">'RES_nl-NL'!$AH$41</definedName>
    <definedName name="dbAnova2_RangeInpFld" localSheetId="17">'RES_pl-PL'!$AH$41</definedName>
    <definedName name="dbAnova2_RangeInpFld" localSheetId="18">'RES_pt-BR'!$AH$41</definedName>
    <definedName name="dbAnova2_RangeInpFld" localSheetId="19">'RES_pt-PT'!$AH$41</definedName>
    <definedName name="dbAnova2_RangeInpFld" localSheetId="20">'RES_ro-RO'!$AH$41</definedName>
    <definedName name="dbAnova2_RangeInpFld" localSheetId="21">'RES_ru-RU'!$AH$41</definedName>
    <definedName name="dbAnova2_RangeInpFld" localSheetId="22">'RES_sl-SI'!$AH$41</definedName>
    <definedName name="dbAnova2_RangeInpFld" localSheetId="23">'RES_sv-SE'!$AH$41</definedName>
    <definedName name="dbAnova2_RangeInpFld" localSheetId="24">'RES_tr-TR'!$AH$41</definedName>
    <definedName name="dbAnova2_RangeInpFld" localSheetId="25">'RES_zh-CN'!$AH$41</definedName>
    <definedName name="dbAnova2_RangeInpFld" localSheetId="26">'RES_zh-TW'!$AH$41</definedName>
    <definedName name="dbAnova2_RangeRef" localSheetId="3">'RES_cs-CZ'!$AN$41</definedName>
    <definedName name="dbAnova2_RangeRef" localSheetId="4">'RES_da-DK'!$AN$41</definedName>
    <definedName name="dbAnova2_RangeRef" localSheetId="5">'RES_de-DE'!$AN$41</definedName>
    <definedName name="dbAnova2_RangeRef" localSheetId="6">'RES_el-GR'!$AN$41</definedName>
    <definedName name="dbAnova2_RangeRef" localSheetId="2">'RES_en-US'!$AN$41</definedName>
    <definedName name="dbAnova2_RangeRef" localSheetId="7">'RES_es-ES'!$AN$41</definedName>
    <definedName name="dbAnova2_RangeRef" localSheetId="8">'RES_fi-FI'!$AN$41</definedName>
    <definedName name="dbAnova2_RangeRef" localSheetId="1">'RES_fr-FR'!$AN$41</definedName>
    <definedName name="dbAnova2_RangeRef" localSheetId="9">'RES_hr-HR'!$AN$41</definedName>
    <definedName name="dbAnova2_RangeRef" localSheetId="10">'RES_hu-HU'!$AN$41</definedName>
    <definedName name="dbAnova2_RangeRef" localSheetId="11">'RES_it-IT'!$AN$41</definedName>
    <definedName name="dbAnova2_RangeRef" localSheetId="12">'RES_ja-JP'!$AN$41</definedName>
    <definedName name="dbAnova2_RangeRef" localSheetId="13">'RES_ko-KR'!$AN$41</definedName>
    <definedName name="dbAnova2_RangeRef" localSheetId="14">'RES_lv-LV'!$AN$41</definedName>
    <definedName name="dbAnova2_RangeRef" localSheetId="15">'RES_nb-NO'!$AN$41</definedName>
    <definedName name="dbAnova2_RangeRef" localSheetId="16">'RES_nl-NL'!$AN$41</definedName>
    <definedName name="dbAnova2_RangeRef" localSheetId="17">'RES_pl-PL'!$AN$41</definedName>
    <definedName name="dbAnova2_RangeRef" localSheetId="18">'RES_pt-BR'!$AN$41</definedName>
    <definedName name="dbAnova2_RangeRef" localSheetId="19">'RES_pt-PT'!$AN$41</definedName>
    <definedName name="dbAnova2_RangeRef" localSheetId="20">'RES_ro-RO'!$AN$41</definedName>
    <definedName name="dbAnova2_RangeRef" localSheetId="21">'RES_ru-RU'!$AN$41</definedName>
    <definedName name="dbAnova2_RangeRef" localSheetId="22">'RES_sl-SI'!$AN$41</definedName>
    <definedName name="dbAnova2_RangeRef" localSheetId="23">'RES_sv-SE'!$AN$41</definedName>
    <definedName name="dbAnova2_RangeRef" localSheetId="24">'RES_tr-TR'!$AN$41</definedName>
    <definedName name="dbAnova2_RangeRef" localSheetId="25">'RES_zh-CN'!$AN$41</definedName>
    <definedName name="dbAnova2_RangeRef" localSheetId="26">'RES_zh-TW'!$AN$41</definedName>
    <definedName name="dbAnova2_RowPerSample" localSheetId="3">'RES_cs-CZ'!$AN$33</definedName>
    <definedName name="dbAnova2_RowPerSample" localSheetId="4">'RES_da-DK'!$AN$33</definedName>
    <definedName name="dbAnova2_RowPerSample" localSheetId="5">'RES_de-DE'!$AN$33</definedName>
    <definedName name="dbAnova2_RowPerSample" localSheetId="6">'RES_el-GR'!$AN$33</definedName>
    <definedName name="dbAnova2_RowPerSample" localSheetId="2">'RES_en-US'!$AN$33</definedName>
    <definedName name="dbAnova2_RowPerSample" localSheetId="7">'RES_es-ES'!$AN$33</definedName>
    <definedName name="dbAnova2_RowPerSample" localSheetId="8">'RES_fi-FI'!$AN$33</definedName>
    <definedName name="dbAnova2_RowPerSample" localSheetId="1">'RES_fr-FR'!$AN$33</definedName>
    <definedName name="dbAnova2_RowPerSample" localSheetId="9">'RES_hr-HR'!$AN$33</definedName>
    <definedName name="dbAnova2_RowPerSample" localSheetId="10">'RES_hu-HU'!$AN$33</definedName>
    <definedName name="dbAnova2_RowPerSample" localSheetId="11">'RES_it-IT'!$AN$33</definedName>
    <definedName name="dbAnova2_RowPerSample" localSheetId="12">'RES_ja-JP'!$AN$33</definedName>
    <definedName name="dbAnova2_RowPerSample" localSheetId="13">'RES_ko-KR'!$AN$33</definedName>
    <definedName name="dbAnova2_RowPerSample" localSheetId="14">'RES_lv-LV'!$AN$33</definedName>
    <definedName name="dbAnova2_RowPerSample" localSheetId="15">'RES_nb-NO'!$AN$33</definedName>
    <definedName name="dbAnova2_RowPerSample" localSheetId="16">'RES_nl-NL'!$AN$33</definedName>
    <definedName name="dbAnova2_RowPerSample" localSheetId="17">'RES_pl-PL'!$AN$33</definedName>
    <definedName name="dbAnova2_RowPerSample" localSheetId="18">'RES_pt-BR'!$AN$33</definedName>
    <definedName name="dbAnova2_RowPerSample" localSheetId="19">'RES_pt-PT'!$AN$33</definedName>
    <definedName name="dbAnova2_RowPerSample" localSheetId="20">'RES_ro-RO'!$AN$33</definedName>
    <definedName name="dbAnova2_RowPerSample" localSheetId="21">'RES_ru-RU'!$AN$33</definedName>
    <definedName name="dbAnova2_RowPerSample" localSheetId="22">'RES_sl-SI'!$AN$33</definedName>
    <definedName name="dbAnova2_RowPerSample" localSheetId="23">'RES_sv-SE'!$AN$33</definedName>
    <definedName name="dbAnova2_RowPerSample" localSheetId="24">'RES_tr-TR'!$AN$33</definedName>
    <definedName name="dbAnova2_RowPerSample" localSheetId="25">'RES_zh-CN'!$AN$33</definedName>
    <definedName name="dbAnova2_RowPerSample" localSheetId="26">'RES_zh-TW'!$AN$33</definedName>
    <definedName name="dbAnova2Title" localSheetId="3">'RES_cs-CZ'!$AM$26</definedName>
    <definedName name="dbAnova2Title" localSheetId="4">'RES_da-DK'!$AM$26</definedName>
    <definedName name="dbAnova2Title" localSheetId="5">'RES_de-DE'!$AM$26</definedName>
    <definedName name="dbAnova2Title" localSheetId="6">'RES_el-GR'!$AM$26</definedName>
    <definedName name="dbAnova2Title" localSheetId="2">'RES_en-US'!$AM$26</definedName>
    <definedName name="dbAnova2Title" localSheetId="7">'RES_es-ES'!$AM$26</definedName>
    <definedName name="dbAnova2Title" localSheetId="8">'RES_fi-FI'!$AM$26</definedName>
    <definedName name="dbAnova2Title" localSheetId="1">'RES_fr-FR'!$AM$26</definedName>
    <definedName name="dbAnova2Title" localSheetId="9">'RES_hr-HR'!$AM$26</definedName>
    <definedName name="dbAnova2Title" localSheetId="10">'RES_hu-HU'!$AM$26</definedName>
    <definedName name="dbAnova2Title" localSheetId="11">'RES_it-IT'!$AM$26</definedName>
    <definedName name="dbAnova2Title" localSheetId="12">'RES_ja-JP'!$AM$26</definedName>
    <definedName name="dbAnova2Title" localSheetId="13">'RES_ko-KR'!$AM$26</definedName>
    <definedName name="dbAnova2Title" localSheetId="14">'RES_lv-LV'!$AM$26</definedName>
    <definedName name="dbAnova2Title" localSheetId="15">'RES_nb-NO'!$AM$26</definedName>
    <definedName name="dbAnova2Title" localSheetId="16">'RES_nl-NL'!$AM$26</definedName>
    <definedName name="dbAnova2Title" localSheetId="17">'RES_pl-PL'!$AM$26</definedName>
    <definedName name="dbAnova2Title" localSheetId="18">'RES_pt-BR'!$AM$26</definedName>
    <definedName name="dbAnova2Title" localSheetId="19">'RES_pt-PT'!$AM$26</definedName>
    <definedName name="dbAnova2Title" localSheetId="20">'RES_ro-RO'!$AM$26</definedName>
    <definedName name="dbAnova2Title" localSheetId="21">'RES_ru-RU'!$AM$26</definedName>
    <definedName name="dbAnova2Title" localSheetId="22">'RES_sl-SI'!$AM$26</definedName>
    <definedName name="dbAnova2Title" localSheetId="23">'RES_sv-SE'!$AM$26</definedName>
    <definedName name="dbAnova2Title" localSheetId="24">'RES_tr-TR'!$AM$26</definedName>
    <definedName name="dbAnova2Title" localSheetId="25">'RES_zh-CN'!$AM$26</definedName>
    <definedName name="dbAnova2Title" localSheetId="26">'RES_zh-TW'!$AM$26</definedName>
    <definedName name="dbAnova3" localSheetId="3">'RES_cs-CZ'!$AH$48:$AN$64</definedName>
    <definedName name="dbAnova3" localSheetId="4">'RES_da-DK'!$AH$48:$AN$64</definedName>
    <definedName name="dbAnova3" localSheetId="5">'RES_de-DE'!$AH$48:$AN$64</definedName>
    <definedName name="dbAnova3" localSheetId="6">'RES_el-GR'!$AH$48:$AN$64</definedName>
    <definedName name="dbAnova3" localSheetId="2">'RES_en-US'!$AH$48:$AN$64</definedName>
    <definedName name="dbAnova3" localSheetId="7">'RES_es-ES'!$AH$48:$AN$64</definedName>
    <definedName name="dbAnova3" localSheetId="8">'RES_fi-FI'!$AH$48:$AN$64</definedName>
    <definedName name="dbAnova3" localSheetId="1">'RES_fr-FR'!$AH$48:$AN$64</definedName>
    <definedName name="dbAnova3" localSheetId="9">'RES_hr-HR'!$AH$48:$AN$64</definedName>
    <definedName name="dbAnova3" localSheetId="10">'RES_hu-HU'!$AH$48:$AN$64</definedName>
    <definedName name="dbAnova3" localSheetId="11">'RES_it-IT'!$AH$48:$AN$64</definedName>
    <definedName name="dbAnova3" localSheetId="12">'RES_ja-JP'!$AH$48:$AN$64</definedName>
    <definedName name="dbAnova3" localSheetId="13">'RES_ko-KR'!$AH$48:$AN$64</definedName>
    <definedName name="dbAnova3" localSheetId="14">'RES_lv-LV'!$AH$48:$AN$64</definedName>
    <definedName name="dbAnova3" localSheetId="15">'RES_nb-NO'!$AH$48:$AN$64</definedName>
    <definedName name="dbAnova3" localSheetId="16">'RES_nl-NL'!$AH$48:$AN$64</definedName>
    <definedName name="dbAnova3" localSheetId="17">'RES_pl-PL'!$AH$48:$AN$64</definedName>
    <definedName name="dbAnova3" localSheetId="18">'RES_pt-BR'!$AH$48:$AN$64</definedName>
    <definedName name="dbAnova3" localSheetId="19">'RES_pt-PT'!$AH$48:$AN$64</definedName>
    <definedName name="dbAnova3" localSheetId="20">'RES_ro-RO'!$AH$48:$AN$64</definedName>
    <definedName name="dbAnova3" localSheetId="21">'RES_ru-RU'!$AH$48:$AN$64</definedName>
    <definedName name="dbAnova3" localSheetId="22">'RES_sl-SI'!$AH$48:$AN$64</definedName>
    <definedName name="dbAnova3" localSheetId="23">'RES_sv-SE'!$AH$48:$AN$64</definedName>
    <definedName name="dbAnova3" localSheetId="24">'RES_tr-TR'!$AH$48:$AN$64</definedName>
    <definedName name="dbAnova3" localSheetId="25">'RES_zh-CN'!$AH$48:$AN$64</definedName>
    <definedName name="dbAnova3" localSheetId="26">'RES_zh-TW'!$AH$48:$AN$64</definedName>
    <definedName name="dbAnova3_AlphaValue" localSheetId="3">'RES_cs-CZ'!$AN$56</definedName>
    <definedName name="dbAnova3_AlphaValue" localSheetId="4">'RES_da-DK'!$AN$56</definedName>
    <definedName name="dbAnova3_AlphaValue" localSheetId="5">'RES_de-DE'!$AN$56</definedName>
    <definedName name="dbAnova3_AlphaValue" localSheetId="6">'RES_el-GR'!$AN$56</definedName>
    <definedName name="dbAnova3_AlphaValue" localSheetId="2">'RES_en-US'!$AN$56</definedName>
    <definedName name="dbAnova3_AlphaValue" localSheetId="7">'RES_es-ES'!$AN$56</definedName>
    <definedName name="dbAnova3_AlphaValue" localSheetId="8">'RES_fi-FI'!$AN$56</definedName>
    <definedName name="dbAnova3_AlphaValue" localSheetId="1">'RES_fr-FR'!$AN$56</definedName>
    <definedName name="dbAnova3_AlphaValue" localSheetId="9">'RES_hr-HR'!$AN$56</definedName>
    <definedName name="dbAnova3_AlphaValue" localSheetId="10">'RES_hu-HU'!$AN$56</definedName>
    <definedName name="dbAnova3_AlphaValue" localSheetId="11">'RES_it-IT'!$AN$56</definedName>
    <definedName name="dbAnova3_AlphaValue" localSheetId="12">'RES_ja-JP'!$AN$56</definedName>
    <definedName name="dbAnova3_AlphaValue" localSheetId="13">'RES_ko-KR'!$AN$56</definedName>
    <definedName name="dbAnova3_AlphaValue" localSheetId="14">'RES_lv-LV'!$AN$56</definedName>
    <definedName name="dbAnova3_AlphaValue" localSheetId="15">'RES_nb-NO'!$AN$56</definedName>
    <definedName name="dbAnova3_AlphaValue" localSheetId="16">'RES_nl-NL'!$AN$56</definedName>
    <definedName name="dbAnova3_AlphaValue" localSheetId="17">'RES_pl-PL'!$AN$56</definedName>
    <definedName name="dbAnova3_AlphaValue" localSheetId="18">'RES_pt-BR'!$AN$56</definedName>
    <definedName name="dbAnova3_AlphaValue" localSheetId="19">'RES_pt-PT'!$AN$56</definedName>
    <definedName name="dbAnova3_AlphaValue" localSheetId="20">'RES_ro-RO'!$AN$56</definedName>
    <definedName name="dbAnova3_AlphaValue" localSheetId="21">'RES_ru-RU'!$AN$56</definedName>
    <definedName name="dbAnova3_AlphaValue" localSheetId="22">'RES_sl-SI'!$AN$56</definedName>
    <definedName name="dbAnova3_AlphaValue" localSheetId="23">'RES_sv-SE'!$AN$56</definedName>
    <definedName name="dbAnova3_AlphaValue" localSheetId="24">'RES_tr-TR'!$AN$56</definedName>
    <definedName name="dbAnova3_AlphaValue" localSheetId="25">'RES_zh-CN'!$AN$56</definedName>
    <definedName name="dbAnova3_AlphaValue" localSheetId="26">'RES_zh-TW'!$AN$56</definedName>
    <definedName name="dbAnova3_InRange" localSheetId="3">'RES_cs-CZ'!$AN$53</definedName>
    <definedName name="dbAnova3_InRange" localSheetId="4">'RES_da-DK'!$AN$53</definedName>
    <definedName name="dbAnova3_InRange" localSheetId="5">'RES_de-DE'!$AN$53</definedName>
    <definedName name="dbAnova3_InRange" localSheetId="6">'RES_el-GR'!$AN$53</definedName>
    <definedName name="dbAnova3_InRange" localSheetId="2">'RES_en-US'!$AN$53</definedName>
    <definedName name="dbAnova3_InRange" localSheetId="7">'RES_es-ES'!$AN$53</definedName>
    <definedName name="dbAnova3_InRange" localSheetId="8">'RES_fi-FI'!$AN$53</definedName>
    <definedName name="dbAnova3_InRange" localSheetId="1">'RES_fr-FR'!$AN$53</definedName>
    <definedName name="dbAnova3_InRange" localSheetId="9">'RES_hr-HR'!$AN$53</definedName>
    <definedName name="dbAnova3_InRange" localSheetId="10">'RES_hu-HU'!$AN$53</definedName>
    <definedName name="dbAnova3_InRange" localSheetId="11">'RES_it-IT'!$AN$53</definedName>
    <definedName name="dbAnova3_InRange" localSheetId="12">'RES_ja-JP'!$AN$53</definedName>
    <definedName name="dbAnova3_InRange" localSheetId="13">'RES_ko-KR'!$AN$53</definedName>
    <definedName name="dbAnova3_InRange" localSheetId="14">'RES_lv-LV'!$AN$53</definedName>
    <definedName name="dbAnova3_InRange" localSheetId="15">'RES_nb-NO'!$AN$53</definedName>
    <definedName name="dbAnova3_InRange" localSheetId="16">'RES_nl-NL'!$AN$53</definedName>
    <definedName name="dbAnova3_InRange" localSheetId="17">'RES_pl-PL'!$AN$53</definedName>
    <definedName name="dbAnova3_InRange" localSheetId="18">'RES_pt-BR'!$AN$53</definedName>
    <definedName name="dbAnova3_InRange" localSheetId="19">'RES_pt-PT'!$AN$53</definedName>
    <definedName name="dbAnova3_InRange" localSheetId="20">'RES_ro-RO'!$AN$53</definedName>
    <definedName name="dbAnova3_InRange" localSheetId="21">'RES_ru-RU'!$AN$53</definedName>
    <definedName name="dbAnova3_InRange" localSheetId="22">'RES_sl-SI'!$AN$53</definedName>
    <definedName name="dbAnova3_InRange" localSheetId="23">'RES_sv-SE'!$AN$53</definedName>
    <definedName name="dbAnova3_InRange" localSheetId="24">'RES_tr-TR'!$AN$53</definedName>
    <definedName name="dbAnova3_InRange" localSheetId="25">'RES_zh-CN'!$AN$53</definedName>
    <definedName name="dbAnova3_InRange" localSheetId="26">'RES_zh-TW'!$AN$53</definedName>
    <definedName name="dbAnova3_LabelFlag" localSheetId="3">'RES_cs-CZ'!$AM$54</definedName>
    <definedName name="dbAnova3_LabelFlag" localSheetId="4">'RES_da-DK'!$AM$54</definedName>
    <definedName name="dbAnova3_LabelFlag" localSheetId="5">'RES_de-DE'!$AM$54</definedName>
    <definedName name="dbAnova3_LabelFlag" localSheetId="6">'RES_el-GR'!$AM$54</definedName>
    <definedName name="dbAnova3_LabelFlag" localSheetId="2">'RES_en-US'!$AM$54</definedName>
    <definedName name="dbAnova3_LabelFlag" localSheetId="7">'RES_es-ES'!$AM$54</definedName>
    <definedName name="dbAnova3_LabelFlag" localSheetId="8">'RES_fi-FI'!$AM$54</definedName>
    <definedName name="dbAnova3_LabelFlag" localSheetId="1">'RES_fr-FR'!$AM$54</definedName>
    <definedName name="dbAnova3_LabelFlag" localSheetId="9">'RES_hr-HR'!$AM$54</definedName>
    <definedName name="dbAnova3_LabelFlag" localSheetId="10">'RES_hu-HU'!$AM$54</definedName>
    <definedName name="dbAnova3_LabelFlag" localSheetId="11">'RES_it-IT'!$AM$54</definedName>
    <definedName name="dbAnova3_LabelFlag" localSheetId="12">'RES_ja-JP'!$AM$54</definedName>
    <definedName name="dbAnova3_LabelFlag" localSheetId="13">'RES_ko-KR'!$AM$54</definedName>
    <definedName name="dbAnova3_LabelFlag" localSheetId="14">'RES_lv-LV'!$AM$54</definedName>
    <definedName name="dbAnova3_LabelFlag" localSheetId="15">'RES_nb-NO'!$AM$54</definedName>
    <definedName name="dbAnova3_LabelFlag" localSheetId="16">'RES_nl-NL'!$AM$54</definedName>
    <definedName name="dbAnova3_LabelFlag" localSheetId="17">'RES_pl-PL'!$AM$54</definedName>
    <definedName name="dbAnova3_LabelFlag" localSheetId="18">'RES_pt-BR'!$AM$54</definedName>
    <definedName name="dbAnova3_LabelFlag" localSheetId="19">'RES_pt-PT'!$AM$54</definedName>
    <definedName name="dbAnova3_LabelFlag" localSheetId="20">'RES_ro-RO'!$AM$54</definedName>
    <definedName name="dbAnova3_LabelFlag" localSheetId="21">'RES_ru-RU'!$AM$54</definedName>
    <definedName name="dbAnova3_LabelFlag" localSheetId="22">'RES_sl-SI'!$AM$54</definedName>
    <definedName name="dbAnova3_LabelFlag" localSheetId="23">'RES_sv-SE'!$AM$54</definedName>
    <definedName name="dbAnova3_LabelFlag" localSheetId="24">'RES_tr-TR'!$AM$54</definedName>
    <definedName name="dbAnova3_LabelFlag" localSheetId="25">'RES_zh-CN'!$AM$54</definedName>
    <definedName name="dbAnova3_LabelFlag" localSheetId="26">'RES_zh-TW'!$AM$54</definedName>
    <definedName name="dbAnova3_LblChkBox" localSheetId="3">'RES_cs-CZ'!$AN$54</definedName>
    <definedName name="dbAnova3_LblChkBox" localSheetId="4">'RES_da-DK'!$AN$54</definedName>
    <definedName name="dbAnova3_LblChkBox" localSheetId="5">'RES_de-DE'!$AN$54</definedName>
    <definedName name="dbAnova3_LblChkBox" localSheetId="6">'RES_el-GR'!$AN$54</definedName>
    <definedName name="dbAnova3_LblChkBox" localSheetId="2">'RES_en-US'!$AN$54</definedName>
    <definedName name="dbAnova3_LblChkBox" localSheetId="7">'RES_es-ES'!$AN$54</definedName>
    <definedName name="dbAnova3_LblChkBox" localSheetId="8">'RES_fi-FI'!$AN$54</definedName>
    <definedName name="dbAnova3_LblChkBox" localSheetId="1">'RES_fr-FR'!$AN$54</definedName>
    <definedName name="dbAnova3_LblChkBox" localSheetId="9">'RES_hr-HR'!$AN$54</definedName>
    <definedName name="dbAnova3_LblChkBox" localSheetId="10">'RES_hu-HU'!$AN$54</definedName>
    <definedName name="dbAnova3_LblChkBox" localSheetId="11">'RES_it-IT'!$AN$54</definedName>
    <definedName name="dbAnova3_LblChkBox" localSheetId="12">'RES_ja-JP'!$AN$54</definedName>
    <definedName name="dbAnova3_LblChkBox" localSheetId="13">'RES_ko-KR'!$AN$54</definedName>
    <definedName name="dbAnova3_LblChkBox" localSheetId="14">'RES_lv-LV'!$AN$54</definedName>
    <definedName name="dbAnova3_LblChkBox" localSheetId="15">'RES_nb-NO'!$AN$54</definedName>
    <definedName name="dbAnova3_LblChkBox" localSheetId="16">'RES_nl-NL'!$AN$54</definedName>
    <definedName name="dbAnova3_LblChkBox" localSheetId="17">'RES_pl-PL'!$AN$54</definedName>
    <definedName name="dbAnova3_LblChkBox" localSheetId="18">'RES_pt-BR'!$AN$54</definedName>
    <definedName name="dbAnova3_LblChkBox" localSheetId="19">'RES_pt-PT'!$AN$54</definedName>
    <definedName name="dbAnova3_LblChkBox" localSheetId="20">'RES_ro-RO'!$AN$54</definedName>
    <definedName name="dbAnova3_LblChkBox" localSheetId="21">'RES_ru-RU'!$AN$54</definedName>
    <definedName name="dbAnova3_LblChkBox" localSheetId="22">'RES_sl-SI'!$AN$54</definedName>
    <definedName name="dbAnova3_LblChkBox" localSheetId="23">'RES_sv-SE'!$AN$54</definedName>
    <definedName name="dbAnova3_LblChkBox" localSheetId="24">'RES_tr-TR'!$AN$54</definedName>
    <definedName name="dbAnova3_LblChkBox" localSheetId="25">'RES_zh-CN'!$AN$54</definedName>
    <definedName name="dbAnova3_LblChkBox" localSheetId="26">'RES_zh-TW'!$AN$54</definedName>
    <definedName name="dbAnova3_OutOption" localSheetId="3">'RES_cs-CZ'!$AN$58</definedName>
    <definedName name="dbAnova3_OutOption" localSheetId="4">'RES_da-DK'!$AN$58</definedName>
    <definedName name="dbAnova3_OutOption" localSheetId="5">'RES_de-DE'!$AN$58</definedName>
    <definedName name="dbAnova3_OutOption" localSheetId="6">'RES_el-GR'!$AN$58</definedName>
    <definedName name="dbAnova3_OutOption" localSheetId="2">'RES_en-US'!$AN$58</definedName>
    <definedName name="dbAnova3_OutOption" localSheetId="7">'RES_es-ES'!$AN$58</definedName>
    <definedName name="dbAnova3_OutOption" localSheetId="8">'RES_fi-FI'!$AN$58</definedName>
    <definedName name="dbAnova3_OutOption" localSheetId="1">'RES_fr-FR'!$AN$58</definedName>
    <definedName name="dbAnova3_OutOption" localSheetId="9">'RES_hr-HR'!$AN$58</definedName>
    <definedName name="dbAnova3_OutOption" localSheetId="10">'RES_hu-HU'!$AN$58</definedName>
    <definedName name="dbAnova3_OutOption" localSheetId="11">'RES_it-IT'!$AN$58</definedName>
    <definedName name="dbAnova3_OutOption" localSheetId="12">'RES_ja-JP'!$AN$58</definedName>
    <definedName name="dbAnova3_OutOption" localSheetId="13">'RES_ko-KR'!$AN$58</definedName>
    <definedName name="dbAnova3_OutOption" localSheetId="14">'RES_lv-LV'!$AN$58</definedName>
    <definedName name="dbAnova3_OutOption" localSheetId="15">'RES_nb-NO'!$AN$58</definedName>
    <definedName name="dbAnova3_OutOption" localSheetId="16">'RES_nl-NL'!$AN$58</definedName>
    <definedName name="dbAnova3_OutOption" localSheetId="17">'RES_pl-PL'!$AN$58</definedName>
    <definedName name="dbAnova3_OutOption" localSheetId="18">'RES_pt-BR'!$AN$58</definedName>
    <definedName name="dbAnova3_OutOption" localSheetId="19">'RES_pt-PT'!$AN$58</definedName>
    <definedName name="dbAnova3_OutOption" localSheetId="20">'RES_ro-RO'!$AN$58</definedName>
    <definedName name="dbAnova3_OutOption" localSheetId="21">'RES_ru-RU'!$AN$58</definedName>
    <definedName name="dbAnova3_OutOption" localSheetId="22">'RES_sl-SI'!$AN$58</definedName>
    <definedName name="dbAnova3_OutOption" localSheetId="23">'RES_sv-SE'!$AN$58</definedName>
    <definedName name="dbAnova3_OutOption" localSheetId="24">'RES_tr-TR'!$AN$58</definedName>
    <definedName name="dbAnova3_OutOption" localSheetId="25">'RES_zh-CN'!$AN$58</definedName>
    <definedName name="dbAnova3_OutOption" localSheetId="26">'RES_zh-TW'!$AN$58</definedName>
    <definedName name="dbAnova3_PlyInpFld" localSheetId="3">'RES_cs-CZ'!$AH$63</definedName>
    <definedName name="dbAnova3_PlyInpFld" localSheetId="4">'RES_da-DK'!$AH$63</definedName>
    <definedName name="dbAnova3_PlyInpFld" localSheetId="5">'RES_de-DE'!$AH$63</definedName>
    <definedName name="dbAnova3_PlyInpFld" localSheetId="6">'RES_el-GR'!$AH$63</definedName>
    <definedName name="dbAnova3_PlyInpFld" localSheetId="2">'RES_en-US'!$AH$63</definedName>
    <definedName name="dbAnova3_PlyInpFld" localSheetId="7">'RES_es-ES'!$AH$63</definedName>
    <definedName name="dbAnova3_PlyInpFld" localSheetId="8">'RES_fi-FI'!$AH$63</definedName>
    <definedName name="dbAnova3_PlyInpFld" localSheetId="1">'RES_fr-FR'!$AH$63</definedName>
    <definedName name="dbAnova3_PlyInpFld" localSheetId="9">'RES_hr-HR'!$AH$63</definedName>
    <definedName name="dbAnova3_PlyInpFld" localSheetId="10">'RES_hu-HU'!$AH$63</definedName>
    <definedName name="dbAnova3_PlyInpFld" localSheetId="11">'RES_it-IT'!$AH$63</definedName>
    <definedName name="dbAnova3_PlyInpFld" localSheetId="12">'RES_ja-JP'!$AH$63</definedName>
    <definedName name="dbAnova3_PlyInpFld" localSheetId="13">'RES_ko-KR'!$AH$63</definedName>
    <definedName name="dbAnova3_PlyInpFld" localSheetId="14">'RES_lv-LV'!$AH$63</definedName>
    <definedName name="dbAnova3_PlyInpFld" localSheetId="15">'RES_nb-NO'!$AH$63</definedName>
    <definedName name="dbAnova3_PlyInpFld" localSheetId="16">'RES_nl-NL'!$AH$63</definedName>
    <definedName name="dbAnova3_PlyInpFld" localSheetId="17">'RES_pl-PL'!$AH$63</definedName>
    <definedName name="dbAnova3_PlyInpFld" localSheetId="18">'RES_pt-BR'!$AH$63</definedName>
    <definedName name="dbAnova3_PlyInpFld" localSheetId="19">'RES_pt-PT'!$AH$63</definedName>
    <definedName name="dbAnova3_PlyInpFld" localSheetId="20">'RES_ro-RO'!$AH$63</definedName>
    <definedName name="dbAnova3_PlyInpFld" localSheetId="21">'RES_ru-RU'!$AH$63</definedName>
    <definedName name="dbAnova3_PlyInpFld" localSheetId="22">'RES_sl-SI'!$AH$63</definedName>
    <definedName name="dbAnova3_PlyInpFld" localSheetId="23">'RES_sv-SE'!$AH$63</definedName>
    <definedName name="dbAnova3_PlyInpFld" localSheetId="24">'RES_tr-TR'!$AH$63</definedName>
    <definedName name="dbAnova3_PlyInpFld" localSheetId="25">'RES_zh-CN'!$AH$63</definedName>
    <definedName name="dbAnova3_PlyInpFld" localSheetId="26">'RES_zh-TW'!$AH$63</definedName>
    <definedName name="dbAnova3_PlyName" localSheetId="3">'RES_cs-CZ'!$AN$63</definedName>
    <definedName name="dbAnova3_PlyName" localSheetId="4">'RES_da-DK'!$AN$63</definedName>
    <definedName name="dbAnova3_PlyName" localSheetId="5">'RES_de-DE'!$AN$63</definedName>
    <definedName name="dbAnova3_PlyName" localSheetId="6">'RES_el-GR'!$AN$63</definedName>
    <definedName name="dbAnova3_PlyName" localSheetId="2">'RES_en-US'!$AN$63</definedName>
    <definedName name="dbAnova3_PlyName" localSheetId="7">'RES_es-ES'!$AN$63</definedName>
    <definedName name="dbAnova3_PlyName" localSheetId="8">'RES_fi-FI'!$AN$63</definedName>
    <definedName name="dbAnova3_PlyName" localSheetId="1">'RES_fr-FR'!$AN$63</definedName>
    <definedName name="dbAnova3_PlyName" localSheetId="9">'RES_hr-HR'!$AN$63</definedName>
    <definedName name="dbAnova3_PlyName" localSheetId="10">'RES_hu-HU'!$AN$63</definedName>
    <definedName name="dbAnova3_PlyName" localSheetId="11">'RES_it-IT'!$AN$63</definedName>
    <definedName name="dbAnova3_PlyName" localSheetId="12">'RES_ja-JP'!$AN$63</definedName>
    <definedName name="dbAnova3_PlyName" localSheetId="13">'RES_ko-KR'!$AN$63</definedName>
    <definedName name="dbAnova3_PlyName" localSheetId="14">'RES_lv-LV'!$AN$63</definedName>
    <definedName name="dbAnova3_PlyName" localSheetId="15">'RES_nb-NO'!$AN$63</definedName>
    <definedName name="dbAnova3_PlyName" localSheetId="16">'RES_nl-NL'!$AN$63</definedName>
    <definedName name="dbAnova3_PlyName" localSheetId="17">'RES_pl-PL'!$AN$63</definedName>
    <definedName name="dbAnova3_PlyName" localSheetId="18">'RES_pt-BR'!$AN$63</definedName>
    <definedName name="dbAnova3_PlyName" localSheetId="19">'RES_pt-PT'!$AN$63</definedName>
    <definedName name="dbAnova3_PlyName" localSheetId="20">'RES_ro-RO'!$AN$63</definedName>
    <definedName name="dbAnova3_PlyName" localSheetId="21">'RES_ru-RU'!$AN$63</definedName>
    <definedName name="dbAnova3_PlyName" localSheetId="22">'RES_sl-SI'!$AN$63</definedName>
    <definedName name="dbAnova3_PlyName" localSheetId="23">'RES_sv-SE'!$AN$63</definedName>
    <definedName name="dbAnova3_PlyName" localSheetId="24">'RES_tr-TR'!$AN$63</definedName>
    <definedName name="dbAnova3_PlyName" localSheetId="25">'RES_zh-CN'!$AN$63</definedName>
    <definedName name="dbAnova3_PlyName" localSheetId="26">'RES_zh-TW'!$AN$63</definedName>
    <definedName name="dbAnova3_RangeInpFld" localSheetId="3">'RES_cs-CZ'!$AH$62</definedName>
    <definedName name="dbAnova3_RangeInpFld" localSheetId="4">'RES_da-DK'!$AH$62</definedName>
    <definedName name="dbAnova3_RangeInpFld" localSheetId="5">'RES_de-DE'!$AH$62</definedName>
    <definedName name="dbAnova3_RangeInpFld" localSheetId="6">'RES_el-GR'!$AH$62</definedName>
    <definedName name="dbAnova3_RangeInpFld" localSheetId="2">'RES_en-US'!$AH$62</definedName>
    <definedName name="dbAnova3_RangeInpFld" localSheetId="7">'RES_es-ES'!$AH$62</definedName>
    <definedName name="dbAnova3_RangeInpFld" localSheetId="8">'RES_fi-FI'!$AH$62</definedName>
    <definedName name="dbAnova3_RangeInpFld" localSheetId="1">'RES_fr-FR'!$AH$62</definedName>
    <definedName name="dbAnova3_RangeInpFld" localSheetId="9">'RES_hr-HR'!$AH$62</definedName>
    <definedName name="dbAnova3_RangeInpFld" localSheetId="10">'RES_hu-HU'!$AH$62</definedName>
    <definedName name="dbAnova3_RangeInpFld" localSheetId="11">'RES_it-IT'!$AH$62</definedName>
    <definedName name="dbAnova3_RangeInpFld" localSheetId="12">'RES_ja-JP'!$AH$62</definedName>
    <definedName name="dbAnova3_RangeInpFld" localSheetId="13">'RES_ko-KR'!$AH$62</definedName>
    <definedName name="dbAnova3_RangeInpFld" localSheetId="14">'RES_lv-LV'!$AH$62</definedName>
    <definedName name="dbAnova3_RangeInpFld" localSheetId="15">'RES_nb-NO'!$AH$62</definedName>
    <definedName name="dbAnova3_RangeInpFld" localSheetId="16">'RES_nl-NL'!$AH$62</definedName>
    <definedName name="dbAnova3_RangeInpFld" localSheetId="17">'RES_pl-PL'!$AH$62</definedName>
    <definedName name="dbAnova3_RangeInpFld" localSheetId="18">'RES_pt-BR'!$AH$62</definedName>
    <definedName name="dbAnova3_RangeInpFld" localSheetId="19">'RES_pt-PT'!$AH$62</definedName>
    <definedName name="dbAnova3_RangeInpFld" localSheetId="20">'RES_ro-RO'!$AH$62</definedName>
    <definedName name="dbAnova3_RangeInpFld" localSheetId="21">'RES_ru-RU'!$AH$62</definedName>
    <definedName name="dbAnova3_RangeInpFld" localSheetId="22">'RES_sl-SI'!$AH$62</definedName>
    <definedName name="dbAnova3_RangeInpFld" localSheetId="23">'RES_sv-SE'!$AH$62</definedName>
    <definedName name="dbAnova3_RangeInpFld" localSheetId="24">'RES_tr-TR'!$AH$62</definedName>
    <definedName name="dbAnova3_RangeInpFld" localSheetId="25">'RES_zh-CN'!$AH$62</definedName>
    <definedName name="dbAnova3_RangeInpFld" localSheetId="26">'RES_zh-TW'!$AH$62</definedName>
    <definedName name="dbAnova3_RangeRef" localSheetId="3">'RES_cs-CZ'!$AN$62</definedName>
    <definedName name="dbAnova3_RangeRef" localSheetId="4">'RES_da-DK'!$AN$62</definedName>
    <definedName name="dbAnova3_RangeRef" localSheetId="5">'RES_de-DE'!$AN$62</definedName>
    <definedName name="dbAnova3_RangeRef" localSheetId="6">'RES_el-GR'!$AN$62</definedName>
    <definedName name="dbAnova3_RangeRef" localSheetId="2">'RES_en-US'!$AN$62</definedName>
    <definedName name="dbAnova3_RangeRef" localSheetId="7">'RES_es-ES'!$AN$62</definedName>
    <definedName name="dbAnova3_RangeRef" localSheetId="8">'RES_fi-FI'!$AN$62</definedName>
    <definedName name="dbAnova3_RangeRef" localSheetId="1">'RES_fr-FR'!$AN$62</definedName>
    <definedName name="dbAnova3_RangeRef" localSheetId="9">'RES_hr-HR'!$AN$62</definedName>
    <definedName name="dbAnova3_RangeRef" localSheetId="10">'RES_hu-HU'!$AN$62</definedName>
    <definedName name="dbAnova3_RangeRef" localSheetId="11">'RES_it-IT'!$AN$62</definedName>
    <definedName name="dbAnova3_RangeRef" localSheetId="12">'RES_ja-JP'!$AN$62</definedName>
    <definedName name="dbAnova3_RangeRef" localSheetId="13">'RES_ko-KR'!$AN$62</definedName>
    <definedName name="dbAnova3_RangeRef" localSheetId="14">'RES_lv-LV'!$AN$62</definedName>
    <definedName name="dbAnova3_RangeRef" localSheetId="15">'RES_nb-NO'!$AN$62</definedName>
    <definedName name="dbAnova3_RangeRef" localSheetId="16">'RES_nl-NL'!$AN$62</definedName>
    <definedName name="dbAnova3_RangeRef" localSheetId="17">'RES_pl-PL'!$AN$62</definedName>
    <definedName name="dbAnova3_RangeRef" localSheetId="18">'RES_pt-BR'!$AN$62</definedName>
    <definedName name="dbAnova3_RangeRef" localSheetId="19">'RES_pt-PT'!$AN$62</definedName>
    <definedName name="dbAnova3_RangeRef" localSheetId="20">'RES_ro-RO'!$AN$62</definedName>
    <definedName name="dbAnova3_RangeRef" localSheetId="21">'RES_ru-RU'!$AN$62</definedName>
    <definedName name="dbAnova3_RangeRef" localSheetId="22">'RES_sl-SI'!$AN$62</definedName>
    <definedName name="dbAnova3_RangeRef" localSheetId="23">'RES_sv-SE'!$AN$62</definedName>
    <definedName name="dbAnova3_RangeRef" localSheetId="24">'RES_tr-TR'!$AN$62</definedName>
    <definedName name="dbAnova3_RangeRef" localSheetId="25">'RES_zh-CN'!$AN$62</definedName>
    <definedName name="dbAnova3_RangeRef" localSheetId="26">'RES_zh-TW'!$AN$62</definedName>
    <definedName name="dbAnova3Title" localSheetId="3">'RES_cs-CZ'!$AM$48</definedName>
    <definedName name="dbAnova3Title" localSheetId="4">'RES_da-DK'!$AM$48</definedName>
    <definedName name="dbAnova3Title" localSheetId="5">'RES_de-DE'!$AM$48</definedName>
    <definedName name="dbAnova3Title" localSheetId="6">'RES_el-GR'!$AM$48</definedName>
    <definedName name="dbAnova3Title" localSheetId="2">'RES_en-US'!$AM$48</definedName>
    <definedName name="dbAnova3Title" localSheetId="7">'RES_es-ES'!$AM$48</definedName>
    <definedName name="dbAnova3Title" localSheetId="8">'RES_fi-FI'!$AM$48</definedName>
    <definedName name="dbAnova3Title" localSheetId="1">'RES_fr-FR'!$AM$48</definedName>
    <definedName name="dbAnova3Title" localSheetId="9">'RES_hr-HR'!$AM$48</definedName>
    <definedName name="dbAnova3Title" localSheetId="10">'RES_hu-HU'!$AM$48</definedName>
    <definedName name="dbAnova3Title" localSheetId="11">'RES_it-IT'!$AM$48</definedName>
    <definedName name="dbAnova3Title" localSheetId="12">'RES_ja-JP'!$AM$48</definedName>
    <definedName name="dbAnova3Title" localSheetId="13">'RES_ko-KR'!$AM$48</definedName>
    <definedName name="dbAnova3Title" localSheetId="14">'RES_lv-LV'!$AM$48</definedName>
    <definedName name="dbAnova3Title" localSheetId="15">'RES_nb-NO'!$AM$48</definedName>
    <definedName name="dbAnova3Title" localSheetId="16">'RES_nl-NL'!$AM$48</definedName>
    <definedName name="dbAnova3Title" localSheetId="17">'RES_pl-PL'!$AM$48</definedName>
    <definedName name="dbAnova3Title" localSheetId="18">'RES_pt-BR'!$AM$48</definedName>
    <definedName name="dbAnova3Title" localSheetId="19">'RES_pt-PT'!$AM$48</definedName>
    <definedName name="dbAnova3Title" localSheetId="20">'RES_ro-RO'!$AM$48</definedName>
    <definedName name="dbAnova3Title" localSheetId="21">'RES_ru-RU'!$AM$48</definedName>
    <definedName name="dbAnova3Title" localSheetId="22">'RES_sl-SI'!$AM$48</definedName>
    <definedName name="dbAnova3Title" localSheetId="23">'RES_sv-SE'!$AM$48</definedName>
    <definedName name="dbAnova3Title" localSheetId="24">'RES_tr-TR'!$AM$48</definedName>
    <definedName name="dbAnova3Title" localSheetId="25">'RES_zh-CN'!$AM$48</definedName>
    <definedName name="dbAnova3Title" localSheetId="26">'RES_zh-TW'!$AM$48</definedName>
    <definedName name="dbBernoulli" localSheetId="3">'RES_cs-CZ'!$CT$78:$CZ$89</definedName>
    <definedName name="dbBernoulli" localSheetId="4">'RES_da-DK'!$CT$78:$CZ$89</definedName>
    <definedName name="dbBernoulli" localSheetId="5">'RES_de-DE'!$CT$78:$CZ$89</definedName>
    <definedName name="dbBernoulli" localSheetId="6">'RES_el-GR'!$CT$78:$CZ$89</definedName>
    <definedName name="dbBernoulli" localSheetId="2">'RES_en-US'!$CT$78:$CZ$89</definedName>
    <definedName name="dbBernoulli" localSheetId="7">'RES_es-ES'!$CT$78:$CZ$89</definedName>
    <definedName name="dbBernoulli" localSheetId="8">'RES_fi-FI'!$CT$78:$CZ$89</definedName>
    <definedName name="dbBernoulli" localSheetId="1">'RES_fr-FR'!$CT$78:$CZ$89</definedName>
    <definedName name="dbBernoulli" localSheetId="9">'RES_hr-HR'!$CT$78:$CZ$89</definedName>
    <definedName name="dbBernoulli" localSheetId="10">'RES_hu-HU'!$CT$78:$CZ$89</definedName>
    <definedName name="dbBernoulli" localSheetId="11">'RES_it-IT'!$CT$78:$CZ$89</definedName>
    <definedName name="dbBernoulli" localSheetId="12">'RES_ja-JP'!$CT$78:$CZ$89</definedName>
    <definedName name="dbBernoulli" localSheetId="13">'RES_ko-KR'!$CT$78:$CZ$89</definedName>
    <definedName name="dbBernoulli" localSheetId="14">'RES_lv-LV'!$CT$78:$CZ$89</definedName>
    <definedName name="dbBernoulli" localSheetId="15">'RES_nb-NO'!$CT$78:$CZ$89</definedName>
    <definedName name="dbBernoulli" localSheetId="16">'RES_nl-NL'!$CT$78:$CZ$89</definedName>
    <definedName name="dbBernoulli" localSheetId="17">'RES_pl-PL'!$CT$78:$CZ$89</definedName>
    <definedName name="dbBernoulli" localSheetId="18">'RES_pt-BR'!$CT$78:$CZ$89</definedName>
    <definedName name="dbBernoulli" localSheetId="19">'RES_pt-PT'!$CT$78:$CZ$89</definedName>
    <definedName name="dbBernoulli" localSheetId="20">'RES_ro-RO'!$CT$78:$CZ$89</definedName>
    <definedName name="dbBernoulli" localSheetId="21">'RES_ru-RU'!$CT$78:$CZ$89</definedName>
    <definedName name="dbBernoulli" localSheetId="22">'RES_sl-SI'!$CT$78:$CZ$89</definedName>
    <definedName name="dbBernoulli" localSheetId="23">'RES_sv-SE'!$CT$78:$CZ$89</definedName>
    <definedName name="dbBernoulli" localSheetId="24">'RES_tr-TR'!$CT$78:$CZ$89</definedName>
    <definedName name="dbBernoulli" localSheetId="25">'RES_zh-CN'!$CT$78:$CZ$89</definedName>
    <definedName name="dbBernoulli" localSheetId="26">'RES_zh-TW'!$CT$78:$CZ$89</definedName>
    <definedName name="dbBinomial" localSheetId="3">'RES_cs-CZ'!$CT$92:$CZ$103</definedName>
    <definedName name="dbBinomial" localSheetId="4">'RES_da-DK'!$CT$92:$CZ$103</definedName>
    <definedName name="dbBinomial" localSheetId="5">'RES_de-DE'!$CT$92:$CZ$103</definedName>
    <definedName name="dbBinomial" localSheetId="6">'RES_el-GR'!$CT$92:$CZ$103</definedName>
    <definedName name="dbBinomial" localSheetId="2">'RES_en-US'!$CT$92:$CZ$103</definedName>
    <definedName name="dbBinomial" localSheetId="7">'RES_es-ES'!$CT$92:$CZ$103</definedName>
    <definedName name="dbBinomial" localSheetId="8">'RES_fi-FI'!$CT$92:$CZ$103</definedName>
    <definedName name="dbBinomial" localSheetId="1">'RES_fr-FR'!$CT$92:$CZ$103</definedName>
    <definedName name="dbBinomial" localSheetId="9">'RES_hr-HR'!$CT$92:$CZ$103</definedName>
    <definedName name="dbBinomial" localSheetId="10">'RES_hu-HU'!$CT$92:$CZ$103</definedName>
    <definedName name="dbBinomial" localSheetId="11">'RES_it-IT'!$CT$92:$CZ$103</definedName>
    <definedName name="dbBinomial" localSheetId="12">'RES_ja-JP'!$CT$92:$CZ$103</definedName>
    <definedName name="dbBinomial" localSheetId="13">'RES_ko-KR'!$CT$92:$CZ$103</definedName>
    <definedName name="dbBinomial" localSheetId="14">'RES_lv-LV'!$CT$92:$CZ$103</definedName>
    <definedName name="dbBinomial" localSheetId="15">'RES_nb-NO'!$CT$92:$CZ$103</definedName>
    <definedName name="dbBinomial" localSheetId="16">'RES_nl-NL'!$CT$92:$CZ$103</definedName>
    <definedName name="dbBinomial" localSheetId="17">'RES_pl-PL'!$CT$92:$CZ$103</definedName>
    <definedName name="dbBinomial" localSheetId="18">'RES_pt-BR'!$CT$92:$CZ$103</definedName>
    <definedName name="dbBinomial" localSheetId="19">'RES_pt-PT'!$CT$92:$CZ$103</definedName>
    <definedName name="dbBinomial" localSheetId="20">'RES_ro-RO'!$CT$92:$CZ$103</definedName>
    <definedName name="dbBinomial" localSheetId="21">'RES_ru-RU'!$CT$92:$CZ$103</definedName>
    <definedName name="dbBinomial" localSheetId="22">'RES_sl-SI'!$CT$92:$CZ$103</definedName>
    <definedName name="dbBinomial" localSheetId="23">'RES_sv-SE'!$CT$92:$CZ$103</definedName>
    <definedName name="dbBinomial" localSheetId="24">'RES_tr-TR'!$CT$92:$CZ$103</definedName>
    <definedName name="dbBinomial" localSheetId="25">'RES_zh-CN'!$CT$92:$CZ$103</definedName>
    <definedName name="dbBinomial" localSheetId="26">'RES_zh-TW'!$CT$92:$CZ$103</definedName>
    <definedName name="dbCorrelation" localSheetId="3">'RES_cs-CZ'!$BF$2:$BL$20</definedName>
    <definedName name="dbCorrelation" localSheetId="4">'RES_da-DK'!$BF$2:$BL$20</definedName>
    <definedName name="dbCorrelation" localSheetId="5">'RES_de-DE'!$BF$2:$BL$20</definedName>
    <definedName name="dbCorrelation" localSheetId="6">'RES_el-GR'!$BF$2:$BL$20</definedName>
    <definedName name="dbCorrelation" localSheetId="2">'RES_en-US'!$BF$2:$BL$20</definedName>
    <definedName name="dbCorrelation" localSheetId="7">'RES_es-ES'!$BF$2:$BL$20</definedName>
    <definedName name="dbCorrelation" localSheetId="8">'RES_fi-FI'!$BF$2:$BL$20</definedName>
    <definedName name="dbCorrelation" localSheetId="1">'RES_fr-FR'!$BF$2:$BL$20</definedName>
    <definedName name="dbCorrelation" localSheetId="9">'RES_hr-HR'!$BF$2:$BL$20</definedName>
    <definedName name="dbCorrelation" localSheetId="10">'RES_hu-HU'!$BF$2:$BL$20</definedName>
    <definedName name="dbCorrelation" localSheetId="11">'RES_it-IT'!$BF$2:$BL$20</definedName>
    <definedName name="dbCorrelation" localSheetId="12">'RES_ja-JP'!$BF$2:$BL$20</definedName>
    <definedName name="dbCorrelation" localSheetId="13">'RES_ko-KR'!$BF$2:$BL$20</definedName>
    <definedName name="dbCorrelation" localSheetId="14">'RES_lv-LV'!$BF$2:$BL$20</definedName>
    <definedName name="dbCorrelation" localSheetId="15">'RES_nb-NO'!$BF$2:$BL$20</definedName>
    <definedName name="dbCorrelation" localSheetId="16">'RES_nl-NL'!$BF$2:$BL$20</definedName>
    <definedName name="dbCorrelation" localSheetId="17">'RES_pl-PL'!$BF$2:$BL$20</definedName>
    <definedName name="dbCorrelation" localSheetId="18">'RES_pt-BR'!$BF$2:$BL$20</definedName>
    <definedName name="dbCorrelation" localSheetId="19">'RES_pt-PT'!$BF$2:$BL$20</definedName>
    <definedName name="dbCorrelation" localSheetId="20">'RES_ro-RO'!$BF$2:$BL$20</definedName>
    <definedName name="dbCorrelation" localSheetId="21">'RES_ru-RU'!$BF$2:$BL$20</definedName>
    <definedName name="dbCorrelation" localSheetId="22">'RES_sl-SI'!$BF$2:$BL$20</definedName>
    <definedName name="dbCorrelation" localSheetId="23">'RES_sv-SE'!$BF$2:$BL$20</definedName>
    <definedName name="dbCorrelation" localSheetId="24">'RES_tr-TR'!$BF$2:$BL$20</definedName>
    <definedName name="dbCorrelation" localSheetId="25">'RES_zh-CN'!$BF$2:$BL$20</definedName>
    <definedName name="dbCorrelation" localSheetId="26">'RES_zh-TW'!$BF$2:$BL$20</definedName>
    <definedName name="dbCorrelation_InRange" localSheetId="3">'RES_cs-CZ'!$BL$7</definedName>
    <definedName name="dbCorrelation_InRange" localSheetId="4">'RES_da-DK'!$BL$7</definedName>
    <definedName name="dbCorrelation_InRange" localSheetId="5">'RES_de-DE'!$BL$7</definedName>
    <definedName name="dbCorrelation_InRange" localSheetId="6">'RES_el-GR'!$BL$7</definedName>
    <definedName name="dbCorrelation_InRange" localSheetId="2">'RES_en-US'!$BL$7</definedName>
    <definedName name="dbCorrelation_InRange" localSheetId="7">'RES_es-ES'!$BL$7</definedName>
    <definedName name="dbCorrelation_InRange" localSheetId="8">'RES_fi-FI'!$BL$7</definedName>
    <definedName name="dbCorrelation_InRange" localSheetId="1">'RES_fr-FR'!$BL$7</definedName>
    <definedName name="dbCorrelation_InRange" localSheetId="9">'RES_hr-HR'!$BL$7</definedName>
    <definedName name="dbCorrelation_InRange" localSheetId="10">'RES_hu-HU'!$BL$7</definedName>
    <definedName name="dbCorrelation_InRange" localSheetId="11">'RES_it-IT'!$BL$7</definedName>
    <definedName name="dbCorrelation_InRange" localSheetId="12">'RES_ja-JP'!$BL$7</definedName>
    <definedName name="dbCorrelation_InRange" localSheetId="13">'RES_ko-KR'!$BL$7</definedName>
    <definedName name="dbCorrelation_InRange" localSheetId="14">'RES_lv-LV'!$BL$7</definedName>
    <definedName name="dbCorrelation_InRange" localSheetId="15">'RES_nb-NO'!$BL$7</definedName>
    <definedName name="dbCorrelation_InRange" localSheetId="16">'RES_nl-NL'!$BL$7</definedName>
    <definedName name="dbCorrelation_InRange" localSheetId="17">'RES_pl-PL'!$BL$7</definedName>
    <definedName name="dbCorrelation_InRange" localSheetId="18">'RES_pt-BR'!$BL$7</definedName>
    <definedName name="dbCorrelation_InRange" localSheetId="19">'RES_pt-PT'!$BL$7</definedName>
    <definedName name="dbCorrelation_InRange" localSheetId="20">'RES_ro-RO'!$BL$7</definedName>
    <definedName name="dbCorrelation_InRange" localSheetId="21">'RES_ru-RU'!$BL$7</definedName>
    <definedName name="dbCorrelation_InRange" localSheetId="22">'RES_sl-SI'!$BL$7</definedName>
    <definedName name="dbCorrelation_InRange" localSheetId="23">'RES_sv-SE'!$BL$7</definedName>
    <definedName name="dbCorrelation_InRange" localSheetId="24">'RES_tr-TR'!$BL$7</definedName>
    <definedName name="dbCorrelation_InRange" localSheetId="25">'RES_zh-CN'!$BL$7</definedName>
    <definedName name="dbCorrelation_InRange" localSheetId="26">'RES_zh-TW'!$BL$7</definedName>
    <definedName name="dbCorrelation_LabelText" localSheetId="3">'RES_cs-CZ'!$BK$12</definedName>
    <definedName name="dbCorrelation_LabelText" localSheetId="4">'RES_da-DK'!$BK$12</definedName>
    <definedName name="dbCorrelation_LabelText" localSheetId="5">'RES_de-DE'!$BK$12</definedName>
    <definedName name="dbCorrelation_LabelText" localSheetId="6">'RES_el-GR'!$BK$12</definedName>
    <definedName name="dbCorrelation_LabelText" localSheetId="2">'RES_en-US'!$BK$12</definedName>
    <definedName name="dbCorrelation_LabelText" localSheetId="7">'RES_es-ES'!$BK$12</definedName>
    <definedName name="dbCorrelation_LabelText" localSheetId="8">'RES_fi-FI'!$BK$12</definedName>
    <definedName name="dbCorrelation_LabelText" localSheetId="1">'RES_fr-FR'!$BK$12</definedName>
    <definedName name="dbCorrelation_LabelText" localSheetId="9">'RES_hr-HR'!$BK$12</definedName>
    <definedName name="dbCorrelation_LabelText" localSheetId="10">'RES_hu-HU'!$BK$12</definedName>
    <definedName name="dbCorrelation_LabelText" localSheetId="11">'RES_it-IT'!$BK$12</definedName>
    <definedName name="dbCorrelation_LabelText" localSheetId="12">'RES_ja-JP'!$BK$12</definedName>
    <definedName name="dbCorrelation_LabelText" localSheetId="13">'RES_ko-KR'!$BK$12</definedName>
    <definedName name="dbCorrelation_LabelText" localSheetId="14">'RES_lv-LV'!$BK$12</definedName>
    <definedName name="dbCorrelation_LabelText" localSheetId="15">'RES_nb-NO'!$BK$12</definedName>
    <definedName name="dbCorrelation_LabelText" localSheetId="16">'RES_nl-NL'!$BK$12</definedName>
    <definedName name="dbCorrelation_LabelText" localSheetId="17">'RES_pl-PL'!$BK$12</definedName>
    <definedName name="dbCorrelation_LabelText" localSheetId="18">'RES_pt-BR'!$BK$12</definedName>
    <definedName name="dbCorrelation_LabelText" localSheetId="19">'RES_pt-PT'!$BK$12</definedName>
    <definedName name="dbCorrelation_LabelText" localSheetId="20">'RES_ro-RO'!$BK$12</definedName>
    <definedName name="dbCorrelation_LabelText" localSheetId="21">'RES_ru-RU'!$BK$12</definedName>
    <definedName name="dbCorrelation_LabelText" localSheetId="22">'RES_sl-SI'!$BK$12</definedName>
    <definedName name="dbCorrelation_LabelText" localSheetId="23">'RES_sv-SE'!$BK$12</definedName>
    <definedName name="dbCorrelation_LabelText" localSheetId="24">'RES_tr-TR'!$BK$12</definedName>
    <definedName name="dbCorrelation_LabelText" localSheetId="25">'RES_zh-CN'!$BK$12</definedName>
    <definedName name="dbCorrelation_LabelText" localSheetId="26">'RES_zh-TW'!$BK$12</definedName>
    <definedName name="dbCorrelation_LblChkBox" localSheetId="3">'RES_cs-CZ'!$BL$12</definedName>
    <definedName name="dbCorrelation_LblChkBox" localSheetId="4">'RES_da-DK'!$BL$12</definedName>
    <definedName name="dbCorrelation_LblChkBox" localSheetId="5">'RES_de-DE'!$BL$12</definedName>
    <definedName name="dbCorrelation_LblChkBox" localSheetId="6">'RES_el-GR'!$BL$12</definedName>
    <definedName name="dbCorrelation_LblChkBox" localSheetId="2">'RES_en-US'!$BL$12</definedName>
    <definedName name="dbCorrelation_LblChkBox" localSheetId="7">'RES_es-ES'!$BL$12</definedName>
    <definedName name="dbCorrelation_LblChkBox" localSheetId="8">'RES_fi-FI'!$BL$12</definedName>
    <definedName name="dbCorrelation_LblChkBox" localSheetId="1">'RES_fr-FR'!$BL$12</definedName>
    <definedName name="dbCorrelation_LblChkBox" localSheetId="9">'RES_hr-HR'!$BL$12</definedName>
    <definedName name="dbCorrelation_LblChkBox" localSheetId="10">'RES_hu-HU'!$BL$12</definedName>
    <definedName name="dbCorrelation_LblChkBox" localSheetId="11">'RES_it-IT'!$BL$12</definedName>
    <definedName name="dbCorrelation_LblChkBox" localSheetId="12">'RES_ja-JP'!$BL$12</definedName>
    <definedName name="dbCorrelation_LblChkBox" localSheetId="13">'RES_ko-KR'!$BL$12</definedName>
    <definedName name="dbCorrelation_LblChkBox" localSheetId="14">'RES_lv-LV'!$BL$12</definedName>
    <definedName name="dbCorrelation_LblChkBox" localSheetId="15">'RES_nb-NO'!$BL$12</definedName>
    <definedName name="dbCorrelation_LblChkBox" localSheetId="16">'RES_nl-NL'!$BL$12</definedName>
    <definedName name="dbCorrelation_LblChkBox" localSheetId="17">'RES_pl-PL'!$BL$12</definedName>
    <definedName name="dbCorrelation_LblChkBox" localSheetId="18">'RES_pt-BR'!$BL$12</definedName>
    <definedName name="dbCorrelation_LblChkBox" localSheetId="19">'RES_pt-PT'!$BL$12</definedName>
    <definedName name="dbCorrelation_LblChkBox" localSheetId="20">'RES_ro-RO'!$BL$12</definedName>
    <definedName name="dbCorrelation_LblChkBox" localSheetId="21">'RES_ru-RU'!$BL$12</definedName>
    <definedName name="dbCorrelation_LblChkBox" localSheetId="22">'RES_sl-SI'!$BL$12</definedName>
    <definedName name="dbCorrelation_LblChkBox" localSheetId="23">'RES_sv-SE'!$BL$12</definedName>
    <definedName name="dbCorrelation_LblChkBox" localSheetId="24">'RES_tr-TR'!$BL$12</definedName>
    <definedName name="dbCorrelation_LblChkBox" localSheetId="25">'RES_zh-CN'!$BL$12</definedName>
    <definedName name="dbCorrelation_LblChkBox" localSheetId="26">'RES_zh-TW'!$BL$12</definedName>
    <definedName name="dbCorrelation_OutOption" localSheetId="3">'RES_cs-CZ'!$BL$14</definedName>
    <definedName name="dbCorrelation_OutOption" localSheetId="4">'RES_da-DK'!$BL$14</definedName>
    <definedName name="dbCorrelation_OutOption" localSheetId="5">'RES_de-DE'!$BL$14</definedName>
    <definedName name="dbCorrelation_OutOption" localSheetId="6">'RES_el-GR'!$BL$14</definedName>
    <definedName name="dbCorrelation_OutOption" localSheetId="2">'RES_en-US'!$BL$14</definedName>
    <definedName name="dbCorrelation_OutOption" localSheetId="7">'RES_es-ES'!$BL$14</definedName>
    <definedName name="dbCorrelation_OutOption" localSheetId="8">'RES_fi-FI'!$BL$14</definedName>
    <definedName name="dbCorrelation_OutOption" localSheetId="1">'RES_fr-FR'!$BL$14</definedName>
    <definedName name="dbCorrelation_OutOption" localSheetId="9">'RES_hr-HR'!$BL$14</definedName>
    <definedName name="dbCorrelation_OutOption" localSheetId="10">'RES_hu-HU'!$BL$14</definedName>
    <definedName name="dbCorrelation_OutOption" localSheetId="11">'RES_it-IT'!$BL$14</definedName>
    <definedName name="dbCorrelation_OutOption" localSheetId="12">'RES_ja-JP'!$BL$14</definedName>
    <definedName name="dbCorrelation_OutOption" localSheetId="13">'RES_ko-KR'!$BL$14</definedName>
    <definedName name="dbCorrelation_OutOption" localSheetId="14">'RES_lv-LV'!$BL$14</definedName>
    <definedName name="dbCorrelation_OutOption" localSheetId="15">'RES_nb-NO'!$BL$14</definedName>
    <definedName name="dbCorrelation_OutOption" localSheetId="16">'RES_nl-NL'!$BL$14</definedName>
    <definedName name="dbCorrelation_OutOption" localSheetId="17">'RES_pl-PL'!$BL$14</definedName>
    <definedName name="dbCorrelation_OutOption" localSheetId="18">'RES_pt-BR'!$BL$14</definedName>
    <definedName name="dbCorrelation_OutOption" localSheetId="19">'RES_pt-PT'!$BL$14</definedName>
    <definedName name="dbCorrelation_OutOption" localSheetId="20">'RES_ro-RO'!$BL$14</definedName>
    <definedName name="dbCorrelation_OutOption" localSheetId="21">'RES_ru-RU'!$BL$14</definedName>
    <definedName name="dbCorrelation_OutOption" localSheetId="22">'RES_sl-SI'!$BL$14</definedName>
    <definedName name="dbCorrelation_OutOption" localSheetId="23">'RES_sv-SE'!$BL$14</definedName>
    <definedName name="dbCorrelation_OutOption" localSheetId="24">'RES_tr-TR'!$BL$14</definedName>
    <definedName name="dbCorrelation_OutOption" localSheetId="25">'RES_zh-CN'!$BL$14</definedName>
    <definedName name="dbCorrelation_OutOption" localSheetId="26">'RES_zh-TW'!$BL$14</definedName>
    <definedName name="dbCorrelation_PlyInpFld" localSheetId="3">'RES_cs-CZ'!$BF$19</definedName>
    <definedName name="dbCorrelation_PlyInpFld" localSheetId="4">'RES_da-DK'!$BF$19</definedName>
    <definedName name="dbCorrelation_PlyInpFld" localSheetId="5">'RES_de-DE'!$BF$19</definedName>
    <definedName name="dbCorrelation_PlyInpFld" localSheetId="6">'RES_el-GR'!$BF$19</definedName>
    <definedName name="dbCorrelation_PlyInpFld" localSheetId="2">'RES_en-US'!$BF$19</definedName>
    <definedName name="dbCorrelation_PlyInpFld" localSheetId="7">'RES_es-ES'!$BF$19</definedName>
    <definedName name="dbCorrelation_PlyInpFld" localSheetId="8">'RES_fi-FI'!$BF$19</definedName>
    <definedName name="dbCorrelation_PlyInpFld" localSheetId="1">'RES_fr-FR'!$BF$19</definedName>
    <definedName name="dbCorrelation_PlyInpFld" localSheetId="9">'RES_hr-HR'!$BF$19</definedName>
    <definedName name="dbCorrelation_PlyInpFld" localSheetId="10">'RES_hu-HU'!$BF$19</definedName>
    <definedName name="dbCorrelation_PlyInpFld" localSheetId="11">'RES_it-IT'!$BF$19</definedName>
    <definedName name="dbCorrelation_PlyInpFld" localSheetId="12">'RES_ja-JP'!$BF$19</definedName>
    <definedName name="dbCorrelation_PlyInpFld" localSheetId="13">'RES_ko-KR'!$BF$19</definedName>
    <definedName name="dbCorrelation_PlyInpFld" localSheetId="14">'RES_lv-LV'!$BF$19</definedName>
    <definedName name="dbCorrelation_PlyInpFld" localSheetId="15">'RES_nb-NO'!$BF$19</definedName>
    <definedName name="dbCorrelation_PlyInpFld" localSheetId="16">'RES_nl-NL'!$BF$19</definedName>
    <definedName name="dbCorrelation_PlyInpFld" localSheetId="17">'RES_pl-PL'!$BF$19</definedName>
    <definedName name="dbCorrelation_PlyInpFld" localSheetId="18">'RES_pt-BR'!$BF$19</definedName>
    <definedName name="dbCorrelation_PlyInpFld" localSheetId="19">'RES_pt-PT'!$BF$19</definedName>
    <definedName name="dbCorrelation_PlyInpFld" localSheetId="20">'RES_ro-RO'!$BF$19</definedName>
    <definedName name="dbCorrelation_PlyInpFld" localSheetId="21">'RES_ru-RU'!$BF$19</definedName>
    <definedName name="dbCorrelation_PlyInpFld" localSheetId="22">'RES_sl-SI'!$BF$19</definedName>
    <definedName name="dbCorrelation_PlyInpFld" localSheetId="23">'RES_sv-SE'!$BF$19</definedName>
    <definedName name="dbCorrelation_PlyInpFld" localSheetId="24">'RES_tr-TR'!$BF$19</definedName>
    <definedName name="dbCorrelation_PlyInpFld" localSheetId="25">'RES_zh-CN'!$BF$19</definedName>
    <definedName name="dbCorrelation_PlyInpFld" localSheetId="26">'RES_zh-TW'!$BF$19</definedName>
    <definedName name="dbCorrelation_PlyName" localSheetId="3">'RES_cs-CZ'!$BL$19</definedName>
    <definedName name="dbCorrelation_PlyName" localSheetId="4">'RES_da-DK'!$BL$19</definedName>
    <definedName name="dbCorrelation_PlyName" localSheetId="5">'RES_de-DE'!$BL$19</definedName>
    <definedName name="dbCorrelation_PlyName" localSheetId="6">'RES_el-GR'!$BL$19</definedName>
    <definedName name="dbCorrelation_PlyName" localSheetId="2">'RES_en-US'!$BL$19</definedName>
    <definedName name="dbCorrelation_PlyName" localSheetId="7">'RES_es-ES'!$BL$19</definedName>
    <definedName name="dbCorrelation_PlyName" localSheetId="8">'RES_fi-FI'!$BL$19</definedName>
    <definedName name="dbCorrelation_PlyName" localSheetId="1">'RES_fr-FR'!$BL$19</definedName>
    <definedName name="dbCorrelation_PlyName" localSheetId="9">'RES_hr-HR'!$BL$19</definedName>
    <definedName name="dbCorrelation_PlyName" localSheetId="10">'RES_hu-HU'!$BL$19</definedName>
    <definedName name="dbCorrelation_PlyName" localSheetId="11">'RES_it-IT'!$BL$19</definedName>
    <definedName name="dbCorrelation_PlyName" localSheetId="12">'RES_ja-JP'!$BL$19</definedName>
    <definedName name="dbCorrelation_PlyName" localSheetId="13">'RES_ko-KR'!$BL$19</definedName>
    <definedName name="dbCorrelation_PlyName" localSheetId="14">'RES_lv-LV'!$BL$19</definedName>
    <definedName name="dbCorrelation_PlyName" localSheetId="15">'RES_nb-NO'!$BL$19</definedName>
    <definedName name="dbCorrelation_PlyName" localSheetId="16">'RES_nl-NL'!$BL$19</definedName>
    <definedName name="dbCorrelation_PlyName" localSheetId="17">'RES_pl-PL'!$BL$19</definedName>
    <definedName name="dbCorrelation_PlyName" localSheetId="18">'RES_pt-BR'!$BL$19</definedName>
    <definedName name="dbCorrelation_PlyName" localSheetId="19">'RES_pt-PT'!$BL$19</definedName>
    <definedName name="dbCorrelation_PlyName" localSheetId="20">'RES_ro-RO'!$BL$19</definedName>
    <definedName name="dbCorrelation_PlyName" localSheetId="21">'RES_ru-RU'!$BL$19</definedName>
    <definedName name="dbCorrelation_PlyName" localSheetId="22">'RES_sl-SI'!$BL$19</definedName>
    <definedName name="dbCorrelation_PlyName" localSheetId="23">'RES_sv-SE'!$BL$19</definedName>
    <definedName name="dbCorrelation_PlyName" localSheetId="24">'RES_tr-TR'!$BL$19</definedName>
    <definedName name="dbCorrelation_PlyName" localSheetId="25">'RES_zh-CN'!$BL$19</definedName>
    <definedName name="dbCorrelation_PlyName" localSheetId="26">'RES_zh-TW'!$BL$19</definedName>
    <definedName name="dbCorrelation_RangeInpFld" localSheetId="3">'RES_cs-CZ'!$BF$18</definedName>
    <definedName name="dbCorrelation_RangeInpFld" localSheetId="4">'RES_da-DK'!$BF$18</definedName>
    <definedName name="dbCorrelation_RangeInpFld" localSheetId="5">'RES_de-DE'!$BF$18</definedName>
    <definedName name="dbCorrelation_RangeInpFld" localSheetId="6">'RES_el-GR'!$BF$18</definedName>
    <definedName name="dbCorrelation_RangeInpFld" localSheetId="2">'RES_en-US'!$BF$18</definedName>
    <definedName name="dbCorrelation_RangeInpFld" localSheetId="7">'RES_es-ES'!$BF$18</definedName>
    <definedName name="dbCorrelation_RangeInpFld" localSheetId="8">'RES_fi-FI'!$BF$18</definedName>
    <definedName name="dbCorrelation_RangeInpFld" localSheetId="1">'RES_fr-FR'!$BF$18</definedName>
    <definedName name="dbCorrelation_RangeInpFld" localSheetId="9">'RES_hr-HR'!$BF$18</definedName>
    <definedName name="dbCorrelation_RangeInpFld" localSheetId="10">'RES_hu-HU'!$BF$18</definedName>
    <definedName name="dbCorrelation_RangeInpFld" localSheetId="11">'RES_it-IT'!$BF$18</definedName>
    <definedName name="dbCorrelation_RangeInpFld" localSheetId="12">'RES_ja-JP'!$BF$18</definedName>
    <definedName name="dbCorrelation_RangeInpFld" localSheetId="13">'RES_ko-KR'!$BF$18</definedName>
    <definedName name="dbCorrelation_RangeInpFld" localSheetId="14">'RES_lv-LV'!$BF$18</definedName>
    <definedName name="dbCorrelation_RangeInpFld" localSheetId="15">'RES_nb-NO'!$BF$18</definedName>
    <definedName name="dbCorrelation_RangeInpFld" localSheetId="16">'RES_nl-NL'!$BF$18</definedName>
    <definedName name="dbCorrelation_RangeInpFld" localSheetId="17">'RES_pl-PL'!$BF$18</definedName>
    <definedName name="dbCorrelation_RangeInpFld" localSheetId="18">'RES_pt-BR'!$BF$18</definedName>
    <definedName name="dbCorrelation_RangeInpFld" localSheetId="19">'RES_pt-PT'!$BF$18</definedName>
    <definedName name="dbCorrelation_RangeInpFld" localSheetId="20">'RES_ro-RO'!$BF$18</definedName>
    <definedName name="dbCorrelation_RangeInpFld" localSheetId="21">'RES_ru-RU'!$BF$18</definedName>
    <definedName name="dbCorrelation_RangeInpFld" localSheetId="22">'RES_sl-SI'!$BF$18</definedName>
    <definedName name="dbCorrelation_RangeInpFld" localSheetId="23">'RES_sv-SE'!$BF$18</definedName>
    <definedName name="dbCorrelation_RangeInpFld" localSheetId="24">'RES_tr-TR'!$BF$18</definedName>
    <definedName name="dbCorrelation_RangeInpFld" localSheetId="25">'RES_zh-CN'!$BF$18</definedName>
    <definedName name="dbCorrelation_RangeInpFld" localSheetId="26">'RES_zh-TW'!$BF$18</definedName>
    <definedName name="dbCorrelation_RangeRef" localSheetId="3">'RES_cs-CZ'!$BL$18</definedName>
    <definedName name="dbCorrelation_RangeRef" localSheetId="4">'RES_da-DK'!$BL$18</definedName>
    <definedName name="dbCorrelation_RangeRef" localSheetId="5">'RES_de-DE'!$BL$18</definedName>
    <definedName name="dbCorrelation_RangeRef" localSheetId="6">'RES_el-GR'!$BL$18</definedName>
    <definedName name="dbCorrelation_RangeRef" localSheetId="2">'RES_en-US'!$BL$18</definedName>
    <definedName name="dbCorrelation_RangeRef" localSheetId="7">'RES_es-ES'!$BL$18</definedName>
    <definedName name="dbCorrelation_RangeRef" localSheetId="8">'RES_fi-FI'!$BL$18</definedName>
    <definedName name="dbCorrelation_RangeRef" localSheetId="1">'RES_fr-FR'!$BL$18</definedName>
    <definedName name="dbCorrelation_RangeRef" localSheetId="9">'RES_hr-HR'!$BL$18</definedName>
    <definedName name="dbCorrelation_RangeRef" localSheetId="10">'RES_hu-HU'!$BL$18</definedName>
    <definedName name="dbCorrelation_RangeRef" localSheetId="11">'RES_it-IT'!$BL$18</definedName>
    <definedName name="dbCorrelation_RangeRef" localSheetId="12">'RES_ja-JP'!$BL$18</definedName>
    <definedName name="dbCorrelation_RangeRef" localSheetId="13">'RES_ko-KR'!$BL$18</definedName>
    <definedName name="dbCorrelation_RangeRef" localSheetId="14">'RES_lv-LV'!$BL$18</definedName>
    <definedName name="dbCorrelation_RangeRef" localSheetId="15">'RES_nb-NO'!$BL$18</definedName>
    <definedName name="dbCorrelation_RangeRef" localSheetId="16">'RES_nl-NL'!$BL$18</definedName>
    <definedName name="dbCorrelation_RangeRef" localSheetId="17">'RES_pl-PL'!$BL$18</definedName>
    <definedName name="dbCorrelation_RangeRef" localSheetId="18">'RES_pt-BR'!$BL$18</definedName>
    <definedName name="dbCorrelation_RangeRef" localSheetId="19">'RES_pt-PT'!$BL$18</definedName>
    <definedName name="dbCorrelation_RangeRef" localSheetId="20">'RES_ro-RO'!$BL$18</definedName>
    <definedName name="dbCorrelation_RangeRef" localSheetId="21">'RES_ru-RU'!$BL$18</definedName>
    <definedName name="dbCorrelation_RangeRef" localSheetId="22">'RES_sl-SI'!$BL$18</definedName>
    <definedName name="dbCorrelation_RangeRef" localSheetId="23">'RES_sv-SE'!$BL$18</definedName>
    <definedName name="dbCorrelation_RangeRef" localSheetId="24">'RES_tr-TR'!$BL$18</definedName>
    <definedName name="dbCorrelation_RangeRef" localSheetId="25">'RES_zh-CN'!$BL$18</definedName>
    <definedName name="dbCorrelation_RangeRef" localSheetId="26">'RES_zh-TW'!$BL$18</definedName>
    <definedName name="dbCorrelation_RCSelect" localSheetId="3">'RES_cs-CZ'!$BL$9</definedName>
    <definedName name="dbCorrelation_RCSelect" localSheetId="4">'RES_da-DK'!$BL$9</definedName>
    <definedName name="dbCorrelation_RCSelect" localSheetId="5">'RES_de-DE'!$BL$9</definedName>
    <definedName name="dbCorrelation_RCSelect" localSheetId="6">'RES_el-GR'!$BL$9</definedName>
    <definedName name="dbCorrelation_RCSelect" localSheetId="2">'RES_en-US'!$BL$9</definedName>
    <definedName name="dbCorrelation_RCSelect" localSheetId="7">'RES_es-ES'!$BL$9</definedName>
    <definedName name="dbCorrelation_RCSelect" localSheetId="8">'RES_fi-FI'!$BL$9</definedName>
    <definedName name="dbCorrelation_RCSelect" localSheetId="1">'RES_fr-FR'!$BL$9</definedName>
    <definedName name="dbCorrelation_RCSelect" localSheetId="9">'RES_hr-HR'!$BL$9</definedName>
    <definedName name="dbCorrelation_RCSelect" localSheetId="10">'RES_hu-HU'!$BL$9</definedName>
    <definedName name="dbCorrelation_RCSelect" localSheetId="11">'RES_it-IT'!$BL$9</definedName>
    <definedName name="dbCorrelation_RCSelect" localSheetId="12">'RES_ja-JP'!$BL$9</definedName>
    <definedName name="dbCorrelation_RCSelect" localSheetId="13">'RES_ko-KR'!$BL$9</definedName>
    <definedName name="dbCorrelation_RCSelect" localSheetId="14">'RES_lv-LV'!$BL$9</definedName>
    <definedName name="dbCorrelation_RCSelect" localSheetId="15">'RES_nb-NO'!$BL$9</definedName>
    <definedName name="dbCorrelation_RCSelect" localSheetId="16">'RES_nl-NL'!$BL$9</definedName>
    <definedName name="dbCorrelation_RCSelect" localSheetId="17">'RES_pl-PL'!$BL$9</definedName>
    <definedName name="dbCorrelation_RCSelect" localSheetId="18">'RES_pt-BR'!$BL$9</definedName>
    <definedName name="dbCorrelation_RCSelect" localSheetId="19">'RES_pt-PT'!$BL$9</definedName>
    <definedName name="dbCorrelation_RCSelect" localSheetId="20">'RES_ro-RO'!$BL$9</definedName>
    <definedName name="dbCorrelation_RCSelect" localSheetId="21">'RES_ru-RU'!$BL$9</definedName>
    <definedName name="dbCorrelation_RCSelect" localSheetId="22">'RES_sl-SI'!$BL$9</definedName>
    <definedName name="dbCorrelation_RCSelect" localSheetId="23">'RES_sv-SE'!$BL$9</definedName>
    <definedName name="dbCorrelation_RCSelect" localSheetId="24">'RES_tr-TR'!$BL$9</definedName>
    <definedName name="dbCorrelation_RCSelect" localSheetId="25">'RES_zh-CN'!$BL$9</definedName>
    <definedName name="dbCorrelation_RCSelect" localSheetId="26">'RES_zh-TW'!$BL$9</definedName>
    <definedName name="dbCorrelationTitle" localSheetId="3">'RES_cs-CZ'!$BK$2</definedName>
    <definedName name="dbCorrelationTitle" localSheetId="4">'RES_da-DK'!$BK$2</definedName>
    <definedName name="dbCorrelationTitle" localSheetId="5">'RES_de-DE'!$BK$2</definedName>
    <definedName name="dbCorrelationTitle" localSheetId="6">'RES_el-GR'!$BK$2</definedName>
    <definedName name="dbCorrelationTitle" localSheetId="2">'RES_en-US'!$BK$2</definedName>
    <definedName name="dbCorrelationTitle" localSheetId="7">'RES_es-ES'!$BK$2</definedName>
    <definedName name="dbCorrelationTitle" localSheetId="8">'RES_fi-FI'!$BK$2</definedName>
    <definedName name="dbCorrelationTitle" localSheetId="1">'RES_fr-FR'!$BK$2</definedName>
    <definedName name="dbCorrelationTitle" localSheetId="9">'RES_hr-HR'!$BK$2</definedName>
    <definedName name="dbCorrelationTitle" localSheetId="10">'RES_hu-HU'!$BK$2</definedName>
    <definedName name="dbCorrelationTitle" localSheetId="11">'RES_it-IT'!$BK$2</definedName>
    <definedName name="dbCorrelationTitle" localSheetId="12">'RES_ja-JP'!$BK$2</definedName>
    <definedName name="dbCorrelationTitle" localSheetId="13">'RES_ko-KR'!$BK$2</definedName>
    <definedName name="dbCorrelationTitle" localSheetId="14">'RES_lv-LV'!$BK$2</definedName>
    <definedName name="dbCorrelationTitle" localSheetId="15">'RES_nb-NO'!$BK$2</definedName>
    <definedName name="dbCorrelationTitle" localSheetId="16">'RES_nl-NL'!$BK$2</definedName>
    <definedName name="dbCorrelationTitle" localSheetId="17">'RES_pl-PL'!$BK$2</definedName>
    <definedName name="dbCorrelationTitle" localSheetId="18">'RES_pt-BR'!$BK$2</definedName>
    <definedName name="dbCorrelationTitle" localSheetId="19">'RES_pt-PT'!$BK$2</definedName>
    <definedName name="dbCorrelationTitle" localSheetId="20">'RES_ro-RO'!$BK$2</definedName>
    <definedName name="dbCorrelationTitle" localSheetId="21">'RES_ru-RU'!$BK$2</definedName>
    <definedName name="dbCorrelationTitle" localSheetId="22">'RES_sl-SI'!$BK$2</definedName>
    <definedName name="dbCorrelationTitle" localSheetId="23">'RES_sv-SE'!$BK$2</definedName>
    <definedName name="dbCorrelationTitle" localSheetId="24">'RES_tr-TR'!$BK$2</definedName>
    <definedName name="dbCorrelationTitle" localSheetId="25">'RES_zh-CN'!$BK$2</definedName>
    <definedName name="dbCorrelationTitle" localSheetId="26">'RES_zh-TW'!$BK$2</definedName>
    <definedName name="dbCovariance" localSheetId="3">'RES_cs-CZ'!$BF$23:$BL$41</definedName>
    <definedName name="dbCovariance" localSheetId="4">'RES_da-DK'!$BF$23:$BL$41</definedName>
    <definedName name="dbCovariance" localSheetId="5">'RES_de-DE'!$BF$23:$BL$41</definedName>
    <definedName name="dbCovariance" localSheetId="6">'RES_el-GR'!$BF$23:$BL$41</definedName>
    <definedName name="dbCovariance" localSheetId="2">'RES_en-US'!$BF$23:$BL$41</definedName>
    <definedName name="dbCovariance" localSheetId="7">'RES_es-ES'!$BF$23:$BL$41</definedName>
    <definedName name="dbCovariance" localSheetId="8">'RES_fi-FI'!$BF$23:$BL$41</definedName>
    <definedName name="dbCovariance" localSheetId="1">'RES_fr-FR'!$BF$23:$BL$41</definedName>
    <definedName name="dbCovariance" localSheetId="9">'RES_hr-HR'!$BF$23:$BL$41</definedName>
    <definedName name="dbCovariance" localSheetId="10">'RES_hu-HU'!$BF$23:$BL$41</definedName>
    <definedName name="dbCovariance" localSheetId="11">'RES_it-IT'!$BF$23:$BL$41</definedName>
    <definedName name="dbCovariance" localSheetId="12">'RES_ja-JP'!$BF$23:$BL$41</definedName>
    <definedName name="dbCovariance" localSheetId="13">'RES_ko-KR'!$BF$23:$BL$41</definedName>
    <definedName name="dbCovariance" localSheetId="14">'RES_lv-LV'!$BF$23:$BL$41</definedName>
    <definedName name="dbCovariance" localSheetId="15">'RES_nb-NO'!$BF$23:$BL$41</definedName>
    <definedName name="dbCovariance" localSheetId="16">'RES_nl-NL'!$BF$23:$BL$41</definedName>
    <definedName name="dbCovariance" localSheetId="17">'RES_pl-PL'!$BF$23:$BL$41</definedName>
    <definedName name="dbCovariance" localSheetId="18">'RES_pt-BR'!$BF$23:$BL$41</definedName>
    <definedName name="dbCovariance" localSheetId="19">'RES_pt-PT'!$BF$23:$BL$41</definedName>
    <definedName name="dbCovariance" localSheetId="20">'RES_ro-RO'!$BF$23:$BL$41</definedName>
    <definedName name="dbCovariance" localSheetId="21">'RES_ru-RU'!$BF$23:$BL$41</definedName>
    <definedName name="dbCovariance" localSheetId="22">'RES_sl-SI'!$BF$23:$BL$41</definedName>
    <definedName name="dbCovariance" localSheetId="23">'RES_sv-SE'!$BF$23:$BL$41</definedName>
    <definedName name="dbCovariance" localSheetId="24">'RES_tr-TR'!$BF$23:$BL$41</definedName>
    <definedName name="dbCovariance" localSheetId="25">'RES_zh-CN'!$BF$23:$BL$41</definedName>
    <definedName name="dbCovariance" localSheetId="26">'RES_zh-TW'!$BF$23:$BL$41</definedName>
    <definedName name="dbCovariance_InRange" localSheetId="3">'RES_cs-CZ'!$BL$28</definedName>
    <definedName name="dbCovariance_InRange" localSheetId="4">'RES_da-DK'!$BL$28</definedName>
    <definedName name="dbCovariance_InRange" localSheetId="5">'RES_de-DE'!$BL$28</definedName>
    <definedName name="dbCovariance_InRange" localSheetId="6">'RES_el-GR'!$BL$28</definedName>
    <definedName name="dbCovariance_InRange" localSheetId="2">'RES_en-US'!$BL$28</definedName>
    <definedName name="dbCovariance_InRange" localSheetId="7">'RES_es-ES'!$BL$28</definedName>
    <definedName name="dbCovariance_InRange" localSheetId="8">'RES_fi-FI'!$BL$28</definedName>
    <definedName name="dbCovariance_InRange" localSheetId="1">'RES_fr-FR'!$BL$28</definedName>
    <definedName name="dbCovariance_InRange" localSheetId="9">'RES_hr-HR'!$BL$28</definedName>
    <definedName name="dbCovariance_InRange" localSheetId="10">'RES_hu-HU'!$BL$28</definedName>
    <definedName name="dbCovariance_InRange" localSheetId="11">'RES_it-IT'!$BL$28</definedName>
    <definedName name="dbCovariance_InRange" localSheetId="12">'RES_ja-JP'!$BL$28</definedName>
    <definedName name="dbCovariance_InRange" localSheetId="13">'RES_ko-KR'!$BL$28</definedName>
    <definedName name="dbCovariance_InRange" localSheetId="14">'RES_lv-LV'!$BL$28</definedName>
    <definedName name="dbCovariance_InRange" localSheetId="15">'RES_nb-NO'!$BL$28</definedName>
    <definedName name="dbCovariance_InRange" localSheetId="16">'RES_nl-NL'!$BL$28</definedName>
    <definedName name="dbCovariance_InRange" localSheetId="17">'RES_pl-PL'!$BL$28</definedName>
    <definedName name="dbCovariance_InRange" localSheetId="18">'RES_pt-BR'!$BL$28</definedName>
    <definedName name="dbCovariance_InRange" localSheetId="19">'RES_pt-PT'!$BL$28</definedName>
    <definedName name="dbCovariance_InRange" localSheetId="20">'RES_ro-RO'!$BL$28</definedName>
    <definedName name="dbCovariance_InRange" localSheetId="21">'RES_ru-RU'!$BL$28</definedName>
    <definedName name="dbCovariance_InRange" localSheetId="22">'RES_sl-SI'!$BL$28</definedName>
    <definedName name="dbCovariance_InRange" localSheetId="23">'RES_sv-SE'!$BL$28</definedName>
    <definedName name="dbCovariance_InRange" localSheetId="24">'RES_tr-TR'!$BL$28</definedName>
    <definedName name="dbCovariance_InRange" localSheetId="25">'RES_zh-CN'!$BL$28</definedName>
    <definedName name="dbCovariance_InRange" localSheetId="26">'RES_zh-TW'!$BL$28</definedName>
    <definedName name="dbCovariance_LabelText" localSheetId="3">'RES_cs-CZ'!$BK$33</definedName>
    <definedName name="dbCovariance_LabelText" localSheetId="4">'RES_da-DK'!$BK$33</definedName>
    <definedName name="dbCovariance_LabelText" localSheetId="5">'RES_de-DE'!$BK$33</definedName>
    <definedName name="dbCovariance_LabelText" localSheetId="6">'RES_el-GR'!$BK$33</definedName>
    <definedName name="dbCovariance_LabelText" localSheetId="2">'RES_en-US'!$BK$33</definedName>
    <definedName name="dbCovariance_LabelText" localSheetId="7">'RES_es-ES'!$BK$33</definedName>
    <definedName name="dbCovariance_LabelText" localSheetId="8">'RES_fi-FI'!$BK$33</definedName>
    <definedName name="dbCovariance_LabelText" localSheetId="1">'RES_fr-FR'!$BK$33</definedName>
    <definedName name="dbCovariance_LabelText" localSheetId="9">'RES_hr-HR'!$BK$33</definedName>
    <definedName name="dbCovariance_LabelText" localSheetId="10">'RES_hu-HU'!$BK$33</definedName>
    <definedName name="dbCovariance_LabelText" localSheetId="11">'RES_it-IT'!$BK$33</definedName>
    <definedName name="dbCovariance_LabelText" localSheetId="12">'RES_ja-JP'!$BK$33</definedName>
    <definedName name="dbCovariance_LabelText" localSheetId="13">'RES_ko-KR'!$BK$33</definedName>
    <definedName name="dbCovariance_LabelText" localSheetId="14">'RES_lv-LV'!$BK$33</definedName>
    <definedName name="dbCovariance_LabelText" localSheetId="15">'RES_nb-NO'!$BK$33</definedName>
    <definedName name="dbCovariance_LabelText" localSheetId="16">'RES_nl-NL'!$BK$33</definedName>
    <definedName name="dbCovariance_LabelText" localSheetId="17">'RES_pl-PL'!$BK$33</definedName>
    <definedName name="dbCovariance_LabelText" localSheetId="18">'RES_pt-BR'!$BK$33</definedName>
    <definedName name="dbCovariance_LabelText" localSheetId="19">'RES_pt-PT'!$BK$33</definedName>
    <definedName name="dbCovariance_LabelText" localSheetId="20">'RES_ro-RO'!$BK$33</definedName>
    <definedName name="dbCovariance_LabelText" localSheetId="21">'RES_ru-RU'!$BK$33</definedName>
    <definedName name="dbCovariance_LabelText" localSheetId="22">'RES_sl-SI'!$BK$33</definedName>
    <definedName name="dbCovariance_LabelText" localSheetId="23">'RES_sv-SE'!$BK$33</definedName>
    <definedName name="dbCovariance_LabelText" localSheetId="24">'RES_tr-TR'!$BK$33</definedName>
    <definedName name="dbCovariance_LabelText" localSheetId="25">'RES_zh-CN'!$BK$33</definedName>
    <definedName name="dbCovariance_LabelText" localSheetId="26">'RES_zh-TW'!$BK$33</definedName>
    <definedName name="dbCovariance_LblChkBox" localSheetId="3">'RES_cs-CZ'!$BL$33</definedName>
    <definedName name="dbCovariance_LblChkBox" localSheetId="4">'RES_da-DK'!$BL$33</definedName>
    <definedName name="dbCovariance_LblChkBox" localSheetId="5">'RES_de-DE'!$BL$33</definedName>
    <definedName name="dbCovariance_LblChkBox" localSheetId="6">'RES_el-GR'!$BL$33</definedName>
    <definedName name="dbCovariance_LblChkBox" localSheetId="2">'RES_en-US'!$BL$33</definedName>
    <definedName name="dbCovariance_LblChkBox" localSheetId="7">'RES_es-ES'!$BL$33</definedName>
    <definedName name="dbCovariance_LblChkBox" localSheetId="8">'RES_fi-FI'!$BL$33</definedName>
    <definedName name="dbCovariance_LblChkBox" localSheetId="1">'RES_fr-FR'!$BL$33</definedName>
    <definedName name="dbCovariance_LblChkBox" localSheetId="9">'RES_hr-HR'!$BL$33</definedName>
    <definedName name="dbCovariance_LblChkBox" localSheetId="10">'RES_hu-HU'!$BL$33</definedName>
    <definedName name="dbCovariance_LblChkBox" localSheetId="11">'RES_it-IT'!$BL$33</definedName>
    <definedName name="dbCovariance_LblChkBox" localSheetId="12">'RES_ja-JP'!$BL$33</definedName>
    <definedName name="dbCovariance_LblChkBox" localSheetId="13">'RES_ko-KR'!$BL$33</definedName>
    <definedName name="dbCovariance_LblChkBox" localSheetId="14">'RES_lv-LV'!$BL$33</definedName>
    <definedName name="dbCovariance_LblChkBox" localSheetId="15">'RES_nb-NO'!$BL$33</definedName>
    <definedName name="dbCovariance_LblChkBox" localSheetId="16">'RES_nl-NL'!$BL$33</definedName>
    <definedName name="dbCovariance_LblChkBox" localSheetId="17">'RES_pl-PL'!$BL$33</definedName>
    <definedName name="dbCovariance_LblChkBox" localSheetId="18">'RES_pt-BR'!$BL$33</definedName>
    <definedName name="dbCovariance_LblChkBox" localSheetId="19">'RES_pt-PT'!$BL$33</definedName>
    <definedName name="dbCovariance_LblChkBox" localSheetId="20">'RES_ro-RO'!$BL$33</definedName>
    <definedName name="dbCovariance_LblChkBox" localSheetId="21">'RES_ru-RU'!$BL$33</definedName>
    <definedName name="dbCovariance_LblChkBox" localSheetId="22">'RES_sl-SI'!$BL$33</definedName>
    <definedName name="dbCovariance_LblChkBox" localSheetId="23">'RES_sv-SE'!$BL$33</definedName>
    <definedName name="dbCovariance_LblChkBox" localSheetId="24">'RES_tr-TR'!$BL$33</definedName>
    <definedName name="dbCovariance_LblChkBox" localSheetId="25">'RES_zh-CN'!$BL$33</definedName>
    <definedName name="dbCovariance_LblChkBox" localSheetId="26">'RES_zh-TW'!$BL$33</definedName>
    <definedName name="dbCovariance_OutOption" localSheetId="3">'RES_cs-CZ'!$BL$35</definedName>
    <definedName name="dbCovariance_OutOption" localSheetId="4">'RES_da-DK'!$BL$35</definedName>
    <definedName name="dbCovariance_OutOption" localSheetId="5">'RES_de-DE'!$BL$35</definedName>
    <definedName name="dbCovariance_OutOption" localSheetId="6">'RES_el-GR'!$BL$35</definedName>
    <definedName name="dbCovariance_OutOption" localSheetId="2">'RES_en-US'!$BL$35</definedName>
    <definedName name="dbCovariance_OutOption" localSheetId="7">'RES_es-ES'!$BL$35</definedName>
    <definedName name="dbCovariance_OutOption" localSheetId="8">'RES_fi-FI'!$BL$35</definedName>
    <definedName name="dbCovariance_OutOption" localSheetId="1">'RES_fr-FR'!$BL$35</definedName>
    <definedName name="dbCovariance_OutOption" localSheetId="9">'RES_hr-HR'!$BL$35</definedName>
    <definedName name="dbCovariance_OutOption" localSheetId="10">'RES_hu-HU'!$BL$35</definedName>
    <definedName name="dbCovariance_OutOption" localSheetId="11">'RES_it-IT'!$BL$35</definedName>
    <definedName name="dbCovariance_OutOption" localSheetId="12">'RES_ja-JP'!$BL$35</definedName>
    <definedName name="dbCovariance_OutOption" localSheetId="13">'RES_ko-KR'!$BL$35</definedName>
    <definedName name="dbCovariance_OutOption" localSheetId="14">'RES_lv-LV'!$BL$35</definedName>
    <definedName name="dbCovariance_OutOption" localSheetId="15">'RES_nb-NO'!$BL$35</definedName>
    <definedName name="dbCovariance_OutOption" localSheetId="16">'RES_nl-NL'!$BL$35</definedName>
    <definedName name="dbCovariance_OutOption" localSheetId="17">'RES_pl-PL'!$BL$35</definedName>
    <definedName name="dbCovariance_OutOption" localSheetId="18">'RES_pt-BR'!$BL$35</definedName>
    <definedName name="dbCovariance_OutOption" localSheetId="19">'RES_pt-PT'!$BL$35</definedName>
    <definedName name="dbCovariance_OutOption" localSheetId="20">'RES_ro-RO'!$BL$35</definedName>
    <definedName name="dbCovariance_OutOption" localSheetId="21">'RES_ru-RU'!$BL$35</definedName>
    <definedName name="dbCovariance_OutOption" localSheetId="22">'RES_sl-SI'!$BL$35</definedName>
    <definedName name="dbCovariance_OutOption" localSheetId="23">'RES_sv-SE'!$BL$35</definedName>
    <definedName name="dbCovariance_OutOption" localSheetId="24">'RES_tr-TR'!$BL$35</definedName>
    <definedName name="dbCovariance_OutOption" localSheetId="25">'RES_zh-CN'!$BL$35</definedName>
    <definedName name="dbCovariance_OutOption" localSheetId="26">'RES_zh-TW'!$BL$35</definedName>
    <definedName name="dbCovariance_PlyInpFld" localSheetId="3">'RES_cs-CZ'!$BF$40</definedName>
    <definedName name="dbCovariance_PlyInpFld" localSheetId="4">'RES_da-DK'!$BF$40</definedName>
    <definedName name="dbCovariance_PlyInpFld" localSheetId="5">'RES_de-DE'!$BF$40</definedName>
    <definedName name="dbCovariance_PlyInpFld" localSheetId="6">'RES_el-GR'!$BF$40</definedName>
    <definedName name="dbCovariance_PlyInpFld" localSheetId="2">'RES_en-US'!$BF$40</definedName>
    <definedName name="dbCovariance_PlyInpFld" localSheetId="7">'RES_es-ES'!$BF$40</definedName>
    <definedName name="dbCovariance_PlyInpFld" localSheetId="8">'RES_fi-FI'!$BF$40</definedName>
    <definedName name="dbCovariance_PlyInpFld" localSheetId="1">'RES_fr-FR'!$BF$40</definedName>
    <definedName name="dbCovariance_PlyInpFld" localSheetId="9">'RES_hr-HR'!$BF$40</definedName>
    <definedName name="dbCovariance_PlyInpFld" localSheetId="10">'RES_hu-HU'!$BF$40</definedName>
    <definedName name="dbCovariance_PlyInpFld" localSheetId="11">'RES_it-IT'!$BF$40</definedName>
    <definedName name="dbCovariance_PlyInpFld" localSheetId="12">'RES_ja-JP'!$BF$40</definedName>
    <definedName name="dbCovariance_PlyInpFld" localSheetId="13">'RES_ko-KR'!$BF$40</definedName>
    <definedName name="dbCovariance_PlyInpFld" localSheetId="14">'RES_lv-LV'!$BF$40</definedName>
    <definedName name="dbCovariance_PlyInpFld" localSheetId="15">'RES_nb-NO'!$BF$40</definedName>
    <definedName name="dbCovariance_PlyInpFld" localSheetId="16">'RES_nl-NL'!$BF$40</definedName>
    <definedName name="dbCovariance_PlyInpFld" localSheetId="17">'RES_pl-PL'!$BF$40</definedName>
    <definedName name="dbCovariance_PlyInpFld" localSheetId="18">'RES_pt-BR'!$BF$40</definedName>
    <definedName name="dbCovariance_PlyInpFld" localSheetId="19">'RES_pt-PT'!$BF$40</definedName>
    <definedName name="dbCovariance_PlyInpFld" localSheetId="20">'RES_ro-RO'!$BF$40</definedName>
    <definedName name="dbCovariance_PlyInpFld" localSheetId="21">'RES_ru-RU'!$BF$40</definedName>
    <definedName name="dbCovariance_PlyInpFld" localSheetId="22">'RES_sl-SI'!$BF$40</definedName>
    <definedName name="dbCovariance_PlyInpFld" localSheetId="23">'RES_sv-SE'!$BF$40</definedName>
    <definedName name="dbCovariance_PlyInpFld" localSheetId="24">'RES_tr-TR'!$BF$40</definedName>
    <definedName name="dbCovariance_PlyInpFld" localSheetId="25">'RES_zh-CN'!$BF$40</definedName>
    <definedName name="dbCovariance_PlyInpFld" localSheetId="26">'RES_zh-TW'!$BF$40</definedName>
    <definedName name="dbCovariance_PlyName" localSheetId="3">'RES_cs-CZ'!$BL$40</definedName>
    <definedName name="dbCovariance_PlyName" localSheetId="4">'RES_da-DK'!$BL$40</definedName>
    <definedName name="dbCovariance_PlyName" localSheetId="5">'RES_de-DE'!$BL$40</definedName>
    <definedName name="dbCovariance_PlyName" localSheetId="6">'RES_el-GR'!$BL$40</definedName>
    <definedName name="dbCovariance_PlyName" localSheetId="2">'RES_en-US'!$BL$40</definedName>
    <definedName name="dbCovariance_PlyName" localSheetId="7">'RES_es-ES'!$BL$40</definedName>
    <definedName name="dbCovariance_PlyName" localSheetId="8">'RES_fi-FI'!$BL$40</definedName>
    <definedName name="dbCovariance_PlyName" localSheetId="1">'RES_fr-FR'!$BL$40</definedName>
    <definedName name="dbCovariance_PlyName" localSheetId="9">'RES_hr-HR'!$BL$40</definedName>
    <definedName name="dbCovariance_PlyName" localSheetId="10">'RES_hu-HU'!$BL$40</definedName>
    <definedName name="dbCovariance_PlyName" localSheetId="11">'RES_it-IT'!$BL$40</definedName>
    <definedName name="dbCovariance_PlyName" localSheetId="12">'RES_ja-JP'!$BL$40</definedName>
    <definedName name="dbCovariance_PlyName" localSheetId="13">'RES_ko-KR'!$BL$40</definedName>
    <definedName name="dbCovariance_PlyName" localSheetId="14">'RES_lv-LV'!$BL$40</definedName>
    <definedName name="dbCovariance_PlyName" localSheetId="15">'RES_nb-NO'!$BL$40</definedName>
    <definedName name="dbCovariance_PlyName" localSheetId="16">'RES_nl-NL'!$BL$40</definedName>
    <definedName name="dbCovariance_PlyName" localSheetId="17">'RES_pl-PL'!$BL$40</definedName>
    <definedName name="dbCovariance_PlyName" localSheetId="18">'RES_pt-BR'!$BL$40</definedName>
    <definedName name="dbCovariance_PlyName" localSheetId="19">'RES_pt-PT'!$BL$40</definedName>
    <definedName name="dbCovariance_PlyName" localSheetId="20">'RES_ro-RO'!$BL$40</definedName>
    <definedName name="dbCovariance_PlyName" localSheetId="21">'RES_ru-RU'!$BL$40</definedName>
    <definedName name="dbCovariance_PlyName" localSheetId="22">'RES_sl-SI'!$BL$40</definedName>
    <definedName name="dbCovariance_PlyName" localSheetId="23">'RES_sv-SE'!$BL$40</definedName>
    <definedName name="dbCovariance_PlyName" localSheetId="24">'RES_tr-TR'!$BL$40</definedName>
    <definedName name="dbCovariance_PlyName" localSheetId="25">'RES_zh-CN'!$BL$40</definedName>
    <definedName name="dbCovariance_PlyName" localSheetId="26">'RES_zh-TW'!$BL$40</definedName>
    <definedName name="dbCovariance_RangeInpFld" localSheetId="3">'RES_cs-CZ'!$BF$39</definedName>
    <definedName name="dbCovariance_RangeInpFld" localSheetId="4">'RES_da-DK'!$BF$39</definedName>
    <definedName name="dbCovariance_RangeInpFld" localSheetId="5">'RES_de-DE'!$BF$39</definedName>
    <definedName name="dbCovariance_RangeInpFld" localSheetId="6">'RES_el-GR'!$BF$39</definedName>
    <definedName name="dbCovariance_RangeInpFld" localSheetId="2">'RES_en-US'!$BF$39</definedName>
    <definedName name="dbCovariance_RangeInpFld" localSheetId="7">'RES_es-ES'!$BF$39</definedName>
    <definedName name="dbCovariance_RangeInpFld" localSheetId="8">'RES_fi-FI'!$BF$39</definedName>
    <definedName name="dbCovariance_RangeInpFld" localSheetId="1">'RES_fr-FR'!$BF$39</definedName>
    <definedName name="dbCovariance_RangeInpFld" localSheetId="9">'RES_hr-HR'!$BF$39</definedName>
    <definedName name="dbCovariance_RangeInpFld" localSheetId="10">'RES_hu-HU'!$BF$39</definedName>
    <definedName name="dbCovariance_RangeInpFld" localSheetId="11">'RES_it-IT'!$BF$39</definedName>
    <definedName name="dbCovariance_RangeInpFld" localSheetId="12">'RES_ja-JP'!$BF$39</definedName>
    <definedName name="dbCovariance_RangeInpFld" localSheetId="13">'RES_ko-KR'!$BF$39</definedName>
    <definedName name="dbCovariance_RangeInpFld" localSheetId="14">'RES_lv-LV'!$BF$39</definedName>
    <definedName name="dbCovariance_RangeInpFld" localSheetId="15">'RES_nb-NO'!$BF$39</definedName>
    <definedName name="dbCovariance_RangeInpFld" localSheetId="16">'RES_nl-NL'!$BF$39</definedName>
    <definedName name="dbCovariance_RangeInpFld" localSheetId="17">'RES_pl-PL'!$BF$39</definedName>
    <definedName name="dbCovariance_RangeInpFld" localSheetId="18">'RES_pt-BR'!$BF$39</definedName>
    <definedName name="dbCovariance_RangeInpFld" localSheetId="19">'RES_pt-PT'!$BF$39</definedName>
    <definedName name="dbCovariance_RangeInpFld" localSheetId="20">'RES_ro-RO'!$BF$39</definedName>
    <definedName name="dbCovariance_RangeInpFld" localSheetId="21">'RES_ru-RU'!$BF$39</definedName>
    <definedName name="dbCovariance_RangeInpFld" localSheetId="22">'RES_sl-SI'!$BF$39</definedName>
    <definedName name="dbCovariance_RangeInpFld" localSheetId="23">'RES_sv-SE'!$BF$39</definedName>
    <definedName name="dbCovariance_RangeInpFld" localSheetId="24">'RES_tr-TR'!$BF$39</definedName>
    <definedName name="dbCovariance_RangeInpFld" localSheetId="25">'RES_zh-CN'!$BF$39</definedName>
    <definedName name="dbCovariance_RangeInpFld" localSheetId="26">'RES_zh-TW'!$BF$39</definedName>
    <definedName name="dbCovariance_RangeRef" localSheetId="3">'RES_cs-CZ'!$BL$39</definedName>
    <definedName name="dbCovariance_RangeRef" localSheetId="4">'RES_da-DK'!$BL$39</definedName>
    <definedName name="dbCovariance_RangeRef" localSheetId="5">'RES_de-DE'!$BL$39</definedName>
    <definedName name="dbCovariance_RangeRef" localSheetId="6">'RES_el-GR'!$BL$39</definedName>
    <definedName name="dbCovariance_RangeRef" localSheetId="2">'RES_en-US'!$BL$39</definedName>
    <definedName name="dbCovariance_RangeRef" localSheetId="7">'RES_es-ES'!$BL$39</definedName>
    <definedName name="dbCovariance_RangeRef" localSheetId="8">'RES_fi-FI'!$BL$39</definedName>
    <definedName name="dbCovariance_RangeRef" localSheetId="1">'RES_fr-FR'!$BL$39</definedName>
    <definedName name="dbCovariance_RangeRef" localSheetId="9">'RES_hr-HR'!$BL$39</definedName>
    <definedName name="dbCovariance_RangeRef" localSheetId="10">'RES_hu-HU'!$BL$39</definedName>
    <definedName name="dbCovariance_RangeRef" localSheetId="11">'RES_it-IT'!$BL$39</definedName>
    <definedName name="dbCovariance_RangeRef" localSheetId="12">'RES_ja-JP'!$BL$39</definedName>
    <definedName name="dbCovariance_RangeRef" localSheetId="13">'RES_ko-KR'!$BL$39</definedName>
    <definedName name="dbCovariance_RangeRef" localSheetId="14">'RES_lv-LV'!$BL$39</definedName>
    <definedName name="dbCovariance_RangeRef" localSheetId="15">'RES_nb-NO'!$BL$39</definedName>
    <definedName name="dbCovariance_RangeRef" localSheetId="16">'RES_nl-NL'!$BL$39</definedName>
    <definedName name="dbCovariance_RangeRef" localSheetId="17">'RES_pl-PL'!$BL$39</definedName>
    <definedName name="dbCovariance_RangeRef" localSheetId="18">'RES_pt-BR'!$BL$39</definedName>
    <definedName name="dbCovariance_RangeRef" localSheetId="19">'RES_pt-PT'!$BL$39</definedName>
    <definedName name="dbCovariance_RangeRef" localSheetId="20">'RES_ro-RO'!$BL$39</definedName>
    <definedName name="dbCovariance_RangeRef" localSheetId="21">'RES_ru-RU'!$BL$39</definedName>
    <definedName name="dbCovariance_RangeRef" localSheetId="22">'RES_sl-SI'!$BL$39</definedName>
    <definedName name="dbCovariance_RangeRef" localSheetId="23">'RES_sv-SE'!$BL$39</definedName>
    <definedName name="dbCovariance_RangeRef" localSheetId="24">'RES_tr-TR'!$BL$39</definedName>
    <definedName name="dbCovariance_RangeRef" localSheetId="25">'RES_zh-CN'!$BL$39</definedName>
    <definedName name="dbCovariance_RangeRef" localSheetId="26">'RES_zh-TW'!$BL$39</definedName>
    <definedName name="dbCovariance_RCSelect" localSheetId="3">'RES_cs-CZ'!$BL$30</definedName>
    <definedName name="dbCovariance_RCSelect" localSheetId="4">'RES_da-DK'!$BL$30</definedName>
    <definedName name="dbCovariance_RCSelect" localSheetId="5">'RES_de-DE'!$BL$30</definedName>
    <definedName name="dbCovariance_RCSelect" localSheetId="6">'RES_el-GR'!$BL$30</definedName>
    <definedName name="dbCovariance_RCSelect" localSheetId="2">'RES_en-US'!$BL$30</definedName>
    <definedName name="dbCovariance_RCSelect" localSheetId="7">'RES_es-ES'!$BL$30</definedName>
    <definedName name="dbCovariance_RCSelect" localSheetId="8">'RES_fi-FI'!$BL$30</definedName>
    <definedName name="dbCovariance_RCSelect" localSheetId="1">'RES_fr-FR'!$BL$30</definedName>
    <definedName name="dbCovariance_RCSelect" localSheetId="9">'RES_hr-HR'!$BL$30</definedName>
    <definedName name="dbCovariance_RCSelect" localSheetId="10">'RES_hu-HU'!$BL$30</definedName>
    <definedName name="dbCovariance_RCSelect" localSheetId="11">'RES_it-IT'!$BL$30</definedName>
    <definedName name="dbCovariance_RCSelect" localSheetId="12">'RES_ja-JP'!$BL$30</definedName>
    <definedName name="dbCovariance_RCSelect" localSheetId="13">'RES_ko-KR'!$BL$30</definedName>
    <definedName name="dbCovariance_RCSelect" localSheetId="14">'RES_lv-LV'!$BL$30</definedName>
    <definedName name="dbCovariance_RCSelect" localSheetId="15">'RES_nb-NO'!$BL$30</definedName>
    <definedName name="dbCovariance_RCSelect" localSheetId="16">'RES_nl-NL'!$BL$30</definedName>
    <definedName name="dbCovariance_RCSelect" localSheetId="17">'RES_pl-PL'!$BL$30</definedName>
    <definedName name="dbCovariance_RCSelect" localSheetId="18">'RES_pt-BR'!$BL$30</definedName>
    <definedName name="dbCovariance_RCSelect" localSheetId="19">'RES_pt-PT'!$BL$30</definedName>
    <definedName name="dbCovariance_RCSelect" localSheetId="20">'RES_ro-RO'!$BL$30</definedName>
    <definedName name="dbCovariance_RCSelect" localSheetId="21">'RES_ru-RU'!$BL$30</definedName>
    <definedName name="dbCovariance_RCSelect" localSheetId="22">'RES_sl-SI'!$BL$30</definedName>
    <definedName name="dbCovariance_RCSelect" localSheetId="23">'RES_sv-SE'!$BL$30</definedName>
    <definedName name="dbCovariance_RCSelect" localSheetId="24">'RES_tr-TR'!$BL$30</definedName>
    <definedName name="dbCovariance_RCSelect" localSheetId="25">'RES_zh-CN'!$BL$30</definedName>
    <definedName name="dbCovariance_RCSelect" localSheetId="26">'RES_zh-TW'!$BL$30</definedName>
    <definedName name="dbCovarianceTitle" localSheetId="3">'RES_cs-CZ'!$BK$23</definedName>
    <definedName name="dbCovarianceTitle" localSheetId="4">'RES_da-DK'!$BK$23</definedName>
    <definedName name="dbCovarianceTitle" localSheetId="5">'RES_de-DE'!$BK$23</definedName>
    <definedName name="dbCovarianceTitle" localSheetId="6">'RES_el-GR'!$BK$23</definedName>
    <definedName name="dbCovarianceTitle" localSheetId="2">'RES_en-US'!$BK$23</definedName>
    <definedName name="dbCovarianceTitle" localSheetId="7">'RES_es-ES'!$BK$23</definedName>
    <definedName name="dbCovarianceTitle" localSheetId="8">'RES_fi-FI'!$BK$23</definedName>
    <definedName name="dbCovarianceTitle" localSheetId="1">'RES_fr-FR'!$BK$23</definedName>
    <definedName name="dbCovarianceTitle" localSheetId="9">'RES_hr-HR'!$BK$23</definedName>
    <definedName name="dbCovarianceTitle" localSheetId="10">'RES_hu-HU'!$BK$23</definedName>
    <definedName name="dbCovarianceTitle" localSheetId="11">'RES_it-IT'!$BK$23</definedName>
    <definedName name="dbCovarianceTitle" localSheetId="12">'RES_ja-JP'!$BK$23</definedName>
    <definedName name="dbCovarianceTitle" localSheetId="13">'RES_ko-KR'!$BK$23</definedName>
    <definedName name="dbCovarianceTitle" localSheetId="14">'RES_lv-LV'!$BK$23</definedName>
    <definedName name="dbCovarianceTitle" localSheetId="15">'RES_nb-NO'!$BK$23</definedName>
    <definedName name="dbCovarianceTitle" localSheetId="16">'RES_nl-NL'!$BK$23</definedName>
    <definedName name="dbCovarianceTitle" localSheetId="17">'RES_pl-PL'!$BK$23</definedName>
    <definedName name="dbCovarianceTitle" localSheetId="18">'RES_pt-BR'!$BK$23</definedName>
    <definedName name="dbCovarianceTitle" localSheetId="19">'RES_pt-PT'!$BK$23</definedName>
    <definedName name="dbCovarianceTitle" localSheetId="20">'RES_ro-RO'!$BK$23</definedName>
    <definedName name="dbCovarianceTitle" localSheetId="21">'RES_ru-RU'!$BK$23</definedName>
    <definedName name="dbCovarianceTitle" localSheetId="22">'RES_sl-SI'!$BK$23</definedName>
    <definedName name="dbCovarianceTitle" localSheetId="23">'RES_sv-SE'!$BK$23</definedName>
    <definedName name="dbCovarianceTitle" localSheetId="24">'RES_tr-TR'!$BK$23</definedName>
    <definedName name="dbCovarianceTitle" localSheetId="25">'RES_zh-CN'!$BK$23</definedName>
    <definedName name="dbCovarianceTitle" localSheetId="26">'RES_zh-TW'!$BK$23</definedName>
    <definedName name="dbDescrip" localSheetId="3">'RES_cs-CZ'!$BN$2:$BT$28</definedName>
    <definedName name="dbDescrip" localSheetId="4">'RES_da-DK'!$BN$2:$BT$28</definedName>
    <definedName name="dbDescrip" localSheetId="5">'RES_de-DE'!$BN$2:$BT$28</definedName>
    <definedName name="dbDescrip" localSheetId="6">'RES_el-GR'!$BN$2:$BT$28</definedName>
    <definedName name="dbDescrip" localSheetId="2">'RES_en-US'!$BN$2:$BT$28</definedName>
    <definedName name="dbDescrip" localSheetId="7">'RES_es-ES'!$BN$2:$BT$28</definedName>
    <definedName name="dbDescrip" localSheetId="8">'RES_fi-FI'!$BN$2:$BT$28</definedName>
    <definedName name="dbDescrip" localSheetId="1">'RES_fr-FR'!$BN$2:$BT$28</definedName>
    <definedName name="dbDescrip" localSheetId="9">'RES_hr-HR'!$BN$2:$BT$28</definedName>
    <definedName name="dbDescrip" localSheetId="10">'RES_hu-HU'!$BN$2:$BT$28</definedName>
    <definedName name="dbDescrip" localSheetId="11">'RES_it-IT'!$BN$2:$BT$28</definedName>
    <definedName name="dbDescrip" localSheetId="12">'RES_ja-JP'!$BN$2:$BT$28</definedName>
    <definedName name="dbDescrip" localSheetId="13">'RES_ko-KR'!$BN$2:$BT$28</definedName>
    <definedName name="dbDescrip" localSheetId="14">'RES_lv-LV'!$BN$2:$BT$28</definedName>
    <definedName name="dbDescrip" localSheetId="15">'RES_nb-NO'!$BN$2:$BT$28</definedName>
    <definedName name="dbDescrip" localSheetId="16">'RES_nl-NL'!$BN$2:$BT$28</definedName>
    <definedName name="dbDescrip" localSheetId="17">'RES_pl-PL'!$BN$2:$BT$28</definedName>
    <definedName name="dbDescrip" localSheetId="18">'RES_pt-BR'!$BN$2:$BT$28</definedName>
    <definedName name="dbDescrip" localSheetId="19">'RES_pt-PT'!$BN$2:$BT$28</definedName>
    <definedName name="dbDescrip" localSheetId="20">'RES_ro-RO'!$BN$2:$BT$28</definedName>
    <definedName name="dbDescrip" localSheetId="21">'RES_ru-RU'!$BN$2:$BT$28</definedName>
    <definedName name="dbDescrip" localSheetId="22">'RES_sl-SI'!$BN$2:$BT$28</definedName>
    <definedName name="dbDescrip" localSheetId="23">'RES_sv-SE'!$BN$2:$BT$28</definedName>
    <definedName name="dbDescrip" localSheetId="24">'RES_tr-TR'!$BN$2:$BT$28</definedName>
    <definedName name="dbDescrip" localSheetId="25">'RES_zh-CN'!$BN$2:$BT$28</definedName>
    <definedName name="dbDescrip" localSheetId="26">'RES_zh-TW'!$BN$2:$BT$28</definedName>
    <definedName name="dbDescrip_Confidence" localSheetId="3">'RES_cs-CZ'!$BT$22</definedName>
    <definedName name="dbDescrip_Confidence" localSheetId="4">'RES_da-DK'!$BT$22</definedName>
    <definedName name="dbDescrip_Confidence" localSheetId="5">'RES_de-DE'!$BT$22</definedName>
    <definedName name="dbDescrip_Confidence" localSheetId="6">'RES_el-GR'!$BT$22</definedName>
    <definedName name="dbDescrip_Confidence" localSheetId="2">'RES_en-US'!$BT$22</definedName>
    <definedName name="dbDescrip_Confidence" localSheetId="7">'RES_es-ES'!$BT$22</definedName>
    <definedName name="dbDescrip_Confidence" localSheetId="8">'RES_fi-FI'!$BT$22</definedName>
    <definedName name="dbDescrip_Confidence" localSheetId="1">'RES_fr-FR'!$BT$22</definedName>
    <definedName name="dbDescrip_Confidence" localSheetId="9">'RES_hr-HR'!$BT$22</definedName>
    <definedName name="dbDescrip_Confidence" localSheetId="10">'RES_hu-HU'!$BT$22</definedName>
    <definedName name="dbDescrip_Confidence" localSheetId="11">'RES_it-IT'!$BT$22</definedName>
    <definedName name="dbDescrip_Confidence" localSheetId="12">'RES_ja-JP'!$BT$22</definedName>
    <definedName name="dbDescrip_Confidence" localSheetId="13">'RES_ko-KR'!$BT$22</definedName>
    <definedName name="dbDescrip_Confidence" localSheetId="14">'RES_lv-LV'!$BT$22</definedName>
    <definedName name="dbDescrip_Confidence" localSheetId="15">'RES_nb-NO'!$BT$22</definedName>
    <definedName name="dbDescrip_Confidence" localSheetId="16">'RES_nl-NL'!$BT$22</definedName>
    <definedName name="dbDescrip_Confidence" localSheetId="17">'RES_pl-PL'!$BT$22</definedName>
    <definedName name="dbDescrip_Confidence" localSheetId="18">'RES_pt-BR'!$BT$22</definedName>
    <definedName name="dbDescrip_Confidence" localSheetId="19">'RES_pt-PT'!$BT$22</definedName>
    <definedName name="dbDescrip_Confidence" localSheetId="20">'RES_ro-RO'!$BT$22</definedName>
    <definedName name="dbDescrip_Confidence" localSheetId="21">'RES_ru-RU'!$BT$22</definedName>
    <definedName name="dbDescrip_Confidence" localSheetId="22">'RES_sl-SI'!$BT$22</definedName>
    <definedName name="dbDescrip_Confidence" localSheetId="23">'RES_sv-SE'!$BT$22</definedName>
    <definedName name="dbDescrip_Confidence" localSheetId="24">'RES_tr-TR'!$BT$22</definedName>
    <definedName name="dbDescrip_Confidence" localSheetId="25">'RES_zh-CN'!$BT$22</definedName>
    <definedName name="dbDescrip_Confidence" localSheetId="26">'RES_zh-TW'!$BT$22</definedName>
    <definedName name="dbDescrip_ConfidenceChkBox" localSheetId="3">'RES_cs-CZ'!$BT$21</definedName>
    <definedName name="dbDescrip_ConfidenceChkBox" localSheetId="4">'RES_da-DK'!$BT$21</definedName>
    <definedName name="dbDescrip_ConfidenceChkBox" localSheetId="5">'RES_de-DE'!$BT$21</definedName>
    <definedName name="dbDescrip_ConfidenceChkBox" localSheetId="6">'RES_el-GR'!$BT$21</definedName>
    <definedName name="dbDescrip_ConfidenceChkBox" localSheetId="2">'RES_en-US'!$BT$21</definedName>
    <definedName name="dbDescrip_ConfidenceChkBox" localSheetId="7">'RES_es-ES'!$BT$21</definedName>
    <definedName name="dbDescrip_ConfidenceChkBox" localSheetId="8">'RES_fi-FI'!$BT$21</definedName>
    <definedName name="dbDescrip_ConfidenceChkBox" localSheetId="1">'RES_fr-FR'!$BT$21</definedName>
    <definedName name="dbDescrip_ConfidenceChkBox" localSheetId="9">'RES_hr-HR'!$BT$21</definedName>
    <definedName name="dbDescrip_ConfidenceChkBox" localSheetId="10">'RES_hu-HU'!$BT$21</definedName>
    <definedName name="dbDescrip_ConfidenceChkBox" localSheetId="11">'RES_it-IT'!$BT$21</definedName>
    <definedName name="dbDescrip_ConfidenceChkBox" localSheetId="12">'RES_ja-JP'!$BT$21</definedName>
    <definedName name="dbDescrip_ConfidenceChkBox" localSheetId="13">'RES_ko-KR'!$BT$21</definedName>
    <definedName name="dbDescrip_ConfidenceChkBox" localSheetId="14">'RES_lv-LV'!$BT$21</definedName>
    <definedName name="dbDescrip_ConfidenceChkBox" localSheetId="15">'RES_nb-NO'!$BT$21</definedName>
    <definedName name="dbDescrip_ConfidenceChkBox" localSheetId="16">'RES_nl-NL'!$BT$21</definedName>
    <definedName name="dbDescrip_ConfidenceChkBox" localSheetId="17">'RES_pl-PL'!$BT$21</definedName>
    <definedName name="dbDescrip_ConfidenceChkBox" localSheetId="18">'RES_pt-BR'!$BT$21</definedName>
    <definedName name="dbDescrip_ConfidenceChkBox" localSheetId="19">'RES_pt-PT'!$BT$21</definedName>
    <definedName name="dbDescrip_ConfidenceChkBox" localSheetId="20">'RES_ro-RO'!$BT$21</definedName>
    <definedName name="dbDescrip_ConfidenceChkBox" localSheetId="21">'RES_ru-RU'!$BT$21</definedName>
    <definedName name="dbDescrip_ConfidenceChkBox" localSheetId="22">'RES_sl-SI'!$BT$21</definedName>
    <definedName name="dbDescrip_ConfidenceChkBox" localSheetId="23">'RES_sv-SE'!$BT$21</definedName>
    <definedName name="dbDescrip_ConfidenceChkBox" localSheetId="24">'RES_tr-TR'!$BT$21</definedName>
    <definedName name="dbDescrip_ConfidenceChkBox" localSheetId="25">'RES_zh-CN'!$BT$21</definedName>
    <definedName name="dbDescrip_ConfidenceChkBox" localSheetId="26">'RES_zh-TW'!$BT$21</definedName>
    <definedName name="dbDescrip_ConfidenceInpFld" localSheetId="3">'RES_cs-CZ'!$BN$22</definedName>
    <definedName name="dbDescrip_ConfidenceInpFld" localSheetId="4">'RES_da-DK'!$BN$22</definedName>
    <definedName name="dbDescrip_ConfidenceInpFld" localSheetId="5">'RES_de-DE'!$BN$22</definedName>
    <definedName name="dbDescrip_ConfidenceInpFld" localSheetId="6">'RES_el-GR'!$BN$22</definedName>
    <definedName name="dbDescrip_ConfidenceInpFld" localSheetId="2">'RES_en-US'!$BN$22</definedName>
    <definedName name="dbDescrip_ConfidenceInpFld" localSheetId="7">'RES_es-ES'!$BN$22</definedName>
    <definedName name="dbDescrip_ConfidenceInpFld" localSheetId="8">'RES_fi-FI'!$BN$22</definedName>
    <definedName name="dbDescrip_ConfidenceInpFld" localSheetId="1">'RES_fr-FR'!$BN$22</definedName>
    <definedName name="dbDescrip_ConfidenceInpFld" localSheetId="9">'RES_hr-HR'!$BN$22</definedName>
    <definedName name="dbDescrip_ConfidenceInpFld" localSheetId="10">'RES_hu-HU'!$BN$22</definedName>
    <definedName name="dbDescrip_ConfidenceInpFld" localSheetId="11">'RES_it-IT'!$BN$22</definedName>
    <definedName name="dbDescrip_ConfidenceInpFld" localSheetId="12">'RES_ja-JP'!$BN$22</definedName>
    <definedName name="dbDescrip_ConfidenceInpFld" localSheetId="13">'RES_ko-KR'!$BN$22</definedName>
    <definedName name="dbDescrip_ConfidenceInpFld" localSheetId="14">'RES_lv-LV'!$BN$22</definedName>
    <definedName name="dbDescrip_ConfidenceInpFld" localSheetId="15">'RES_nb-NO'!$BN$22</definedName>
    <definedName name="dbDescrip_ConfidenceInpFld" localSheetId="16">'RES_nl-NL'!$BN$22</definedName>
    <definedName name="dbDescrip_ConfidenceInpFld" localSheetId="17">'RES_pl-PL'!$BN$22</definedName>
    <definedName name="dbDescrip_ConfidenceInpFld" localSheetId="18">'RES_pt-BR'!$BN$22</definedName>
    <definedName name="dbDescrip_ConfidenceInpFld" localSheetId="19">'RES_pt-PT'!$BN$22</definedName>
    <definedName name="dbDescrip_ConfidenceInpFld" localSheetId="20">'RES_ro-RO'!$BN$22</definedName>
    <definedName name="dbDescrip_ConfidenceInpFld" localSheetId="21">'RES_ru-RU'!$BN$22</definedName>
    <definedName name="dbDescrip_ConfidenceInpFld" localSheetId="22">'RES_sl-SI'!$BN$22</definedName>
    <definedName name="dbDescrip_ConfidenceInpFld" localSheetId="23">'RES_sv-SE'!$BN$22</definedName>
    <definedName name="dbDescrip_ConfidenceInpFld" localSheetId="24">'RES_tr-TR'!$BN$22</definedName>
    <definedName name="dbDescrip_ConfidenceInpFld" localSheetId="25">'RES_zh-CN'!$BN$22</definedName>
    <definedName name="dbDescrip_ConfidenceInpFld" localSheetId="26">'RES_zh-TW'!$BN$22</definedName>
    <definedName name="dbDescrip_InRange" localSheetId="3">'RES_cs-CZ'!$BT$7</definedName>
    <definedName name="dbDescrip_InRange" localSheetId="4">'RES_da-DK'!$BT$7</definedName>
    <definedName name="dbDescrip_InRange" localSheetId="5">'RES_de-DE'!$BT$7</definedName>
    <definedName name="dbDescrip_InRange" localSheetId="6">'RES_el-GR'!$BT$7</definedName>
    <definedName name="dbDescrip_InRange" localSheetId="2">'RES_en-US'!$BT$7</definedName>
    <definedName name="dbDescrip_InRange" localSheetId="7">'RES_es-ES'!$BT$7</definedName>
    <definedName name="dbDescrip_InRange" localSheetId="8">'RES_fi-FI'!$BT$7</definedName>
    <definedName name="dbDescrip_InRange" localSheetId="1">'RES_fr-FR'!$BT$7</definedName>
    <definedName name="dbDescrip_InRange" localSheetId="9">'RES_hr-HR'!$BT$7</definedName>
    <definedName name="dbDescrip_InRange" localSheetId="10">'RES_hu-HU'!$BT$7</definedName>
    <definedName name="dbDescrip_InRange" localSheetId="11">'RES_it-IT'!$BT$7</definedName>
    <definedName name="dbDescrip_InRange" localSheetId="12">'RES_ja-JP'!$BT$7</definedName>
    <definedName name="dbDescrip_InRange" localSheetId="13">'RES_ko-KR'!$BT$7</definedName>
    <definedName name="dbDescrip_InRange" localSheetId="14">'RES_lv-LV'!$BT$7</definedName>
    <definedName name="dbDescrip_InRange" localSheetId="15">'RES_nb-NO'!$BT$7</definedName>
    <definedName name="dbDescrip_InRange" localSheetId="16">'RES_nl-NL'!$BT$7</definedName>
    <definedName name="dbDescrip_InRange" localSheetId="17">'RES_pl-PL'!$BT$7</definedName>
    <definedName name="dbDescrip_InRange" localSheetId="18">'RES_pt-BR'!$BT$7</definedName>
    <definedName name="dbDescrip_InRange" localSheetId="19">'RES_pt-PT'!$BT$7</definedName>
    <definedName name="dbDescrip_InRange" localSheetId="20">'RES_ro-RO'!$BT$7</definedName>
    <definedName name="dbDescrip_InRange" localSheetId="21">'RES_ru-RU'!$BT$7</definedName>
    <definedName name="dbDescrip_InRange" localSheetId="22">'RES_sl-SI'!$BT$7</definedName>
    <definedName name="dbDescrip_InRange" localSheetId="23">'RES_sv-SE'!$BT$7</definedName>
    <definedName name="dbDescrip_InRange" localSheetId="24">'RES_tr-TR'!$BT$7</definedName>
    <definedName name="dbDescrip_InRange" localSheetId="25">'RES_zh-CN'!$BT$7</definedName>
    <definedName name="dbDescrip_InRange" localSheetId="26">'RES_zh-TW'!$BT$7</definedName>
    <definedName name="dbDescrip_KLarge" localSheetId="3">'RES_cs-CZ'!$BT$25</definedName>
    <definedName name="dbDescrip_KLarge" localSheetId="4">'RES_da-DK'!$BT$25</definedName>
    <definedName name="dbDescrip_KLarge" localSheetId="5">'RES_de-DE'!$BT$25</definedName>
    <definedName name="dbDescrip_KLarge" localSheetId="6">'RES_el-GR'!$BT$25</definedName>
    <definedName name="dbDescrip_KLarge" localSheetId="2">'RES_en-US'!$BT$25</definedName>
    <definedName name="dbDescrip_KLarge" localSheetId="7">'RES_es-ES'!$BT$25</definedName>
    <definedName name="dbDescrip_KLarge" localSheetId="8">'RES_fi-FI'!$BT$25</definedName>
    <definedName name="dbDescrip_KLarge" localSheetId="1">'RES_fr-FR'!$BT$25</definedName>
    <definedName name="dbDescrip_KLarge" localSheetId="9">'RES_hr-HR'!$BT$25</definedName>
    <definedName name="dbDescrip_KLarge" localSheetId="10">'RES_hu-HU'!$BT$25</definedName>
    <definedName name="dbDescrip_KLarge" localSheetId="11">'RES_it-IT'!$BT$25</definedName>
    <definedName name="dbDescrip_KLarge" localSheetId="12">'RES_ja-JP'!$BT$25</definedName>
    <definedName name="dbDescrip_KLarge" localSheetId="13">'RES_ko-KR'!$BT$25</definedName>
    <definedName name="dbDescrip_KLarge" localSheetId="14">'RES_lv-LV'!$BT$25</definedName>
    <definedName name="dbDescrip_KLarge" localSheetId="15">'RES_nb-NO'!$BT$25</definedName>
    <definedName name="dbDescrip_KLarge" localSheetId="16">'RES_nl-NL'!$BT$25</definedName>
    <definedName name="dbDescrip_KLarge" localSheetId="17">'RES_pl-PL'!$BT$25</definedName>
    <definedName name="dbDescrip_KLarge" localSheetId="18">'RES_pt-BR'!$BT$25</definedName>
    <definedName name="dbDescrip_KLarge" localSheetId="19">'RES_pt-PT'!$BT$25</definedName>
    <definedName name="dbDescrip_KLarge" localSheetId="20">'RES_ro-RO'!$BT$25</definedName>
    <definedName name="dbDescrip_KLarge" localSheetId="21">'RES_ru-RU'!$BT$25</definedName>
    <definedName name="dbDescrip_KLarge" localSheetId="22">'RES_sl-SI'!$BT$25</definedName>
    <definedName name="dbDescrip_KLarge" localSheetId="23">'RES_sv-SE'!$BT$25</definedName>
    <definedName name="dbDescrip_KLarge" localSheetId="24">'RES_tr-TR'!$BT$25</definedName>
    <definedName name="dbDescrip_KLarge" localSheetId="25">'RES_zh-CN'!$BT$25</definedName>
    <definedName name="dbDescrip_KLarge" localSheetId="26">'RES_zh-TW'!$BT$25</definedName>
    <definedName name="dbDescrip_KLargeChkBox" localSheetId="3">'RES_cs-CZ'!$BT$24</definedName>
    <definedName name="dbDescrip_KLargeChkBox" localSheetId="4">'RES_da-DK'!$BT$24</definedName>
    <definedName name="dbDescrip_KLargeChkBox" localSheetId="5">'RES_de-DE'!$BT$24</definedName>
    <definedName name="dbDescrip_KLargeChkBox" localSheetId="6">'RES_el-GR'!$BT$24</definedName>
    <definedName name="dbDescrip_KLargeChkBox" localSheetId="2">'RES_en-US'!$BT$24</definedName>
    <definedName name="dbDescrip_KLargeChkBox" localSheetId="7">'RES_es-ES'!$BT$24</definedName>
    <definedName name="dbDescrip_KLargeChkBox" localSheetId="8">'RES_fi-FI'!$BT$24</definedName>
    <definedName name="dbDescrip_KLargeChkBox" localSheetId="1">'RES_fr-FR'!$BT$24</definedName>
    <definedName name="dbDescrip_KLargeChkBox" localSheetId="9">'RES_hr-HR'!$BT$24</definedName>
    <definedName name="dbDescrip_KLargeChkBox" localSheetId="10">'RES_hu-HU'!$BT$24</definedName>
    <definedName name="dbDescrip_KLargeChkBox" localSheetId="11">'RES_it-IT'!$BT$24</definedName>
    <definedName name="dbDescrip_KLargeChkBox" localSheetId="12">'RES_ja-JP'!$BT$24</definedName>
    <definedName name="dbDescrip_KLargeChkBox" localSheetId="13">'RES_ko-KR'!$BT$24</definedName>
    <definedName name="dbDescrip_KLargeChkBox" localSheetId="14">'RES_lv-LV'!$BT$24</definedName>
    <definedName name="dbDescrip_KLargeChkBox" localSheetId="15">'RES_nb-NO'!$BT$24</definedName>
    <definedName name="dbDescrip_KLargeChkBox" localSheetId="16">'RES_nl-NL'!$BT$24</definedName>
    <definedName name="dbDescrip_KLargeChkBox" localSheetId="17">'RES_pl-PL'!$BT$24</definedName>
    <definedName name="dbDescrip_KLargeChkBox" localSheetId="18">'RES_pt-BR'!$BT$24</definedName>
    <definedName name="dbDescrip_KLargeChkBox" localSheetId="19">'RES_pt-PT'!$BT$24</definedName>
    <definedName name="dbDescrip_KLargeChkBox" localSheetId="20">'RES_ro-RO'!$BT$24</definedName>
    <definedName name="dbDescrip_KLargeChkBox" localSheetId="21">'RES_ru-RU'!$BT$24</definedName>
    <definedName name="dbDescrip_KLargeChkBox" localSheetId="22">'RES_sl-SI'!$BT$24</definedName>
    <definedName name="dbDescrip_KLargeChkBox" localSheetId="23">'RES_sv-SE'!$BT$24</definedName>
    <definedName name="dbDescrip_KLargeChkBox" localSheetId="24">'RES_tr-TR'!$BT$24</definedName>
    <definedName name="dbDescrip_KLargeChkBox" localSheetId="25">'RES_zh-CN'!$BT$24</definedName>
    <definedName name="dbDescrip_KLargeChkBox" localSheetId="26">'RES_zh-TW'!$BT$24</definedName>
    <definedName name="dbDescrip_KLargeInpFld" localSheetId="3">'RES_cs-CZ'!$BN$25</definedName>
    <definedName name="dbDescrip_KLargeInpFld" localSheetId="4">'RES_da-DK'!$BN$25</definedName>
    <definedName name="dbDescrip_KLargeInpFld" localSheetId="5">'RES_de-DE'!$BN$25</definedName>
    <definedName name="dbDescrip_KLargeInpFld" localSheetId="6">'RES_el-GR'!$BN$25</definedName>
    <definedName name="dbDescrip_KLargeInpFld" localSheetId="2">'RES_en-US'!$BN$25</definedName>
    <definedName name="dbDescrip_KLargeInpFld" localSheetId="7">'RES_es-ES'!$BN$25</definedName>
    <definedName name="dbDescrip_KLargeInpFld" localSheetId="8">'RES_fi-FI'!$BN$25</definedName>
    <definedName name="dbDescrip_KLargeInpFld" localSheetId="1">'RES_fr-FR'!$BN$25</definedName>
    <definedName name="dbDescrip_KLargeInpFld" localSheetId="9">'RES_hr-HR'!$BN$25</definedName>
    <definedName name="dbDescrip_KLargeInpFld" localSheetId="10">'RES_hu-HU'!$BN$25</definedName>
    <definedName name="dbDescrip_KLargeInpFld" localSheetId="11">'RES_it-IT'!$BN$25</definedName>
    <definedName name="dbDescrip_KLargeInpFld" localSheetId="12">'RES_ja-JP'!$BN$25</definedName>
    <definedName name="dbDescrip_KLargeInpFld" localSheetId="13">'RES_ko-KR'!$BN$25</definedName>
    <definedName name="dbDescrip_KLargeInpFld" localSheetId="14">'RES_lv-LV'!$BN$25</definedName>
    <definedName name="dbDescrip_KLargeInpFld" localSheetId="15">'RES_nb-NO'!$BN$25</definedName>
    <definedName name="dbDescrip_KLargeInpFld" localSheetId="16">'RES_nl-NL'!$BN$25</definedName>
    <definedName name="dbDescrip_KLargeInpFld" localSheetId="17">'RES_pl-PL'!$BN$25</definedName>
    <definedName name="dbDescrip_KLargeInpFld" localSheetId="18">'RES_pt-BR'!$BN$25</definedName>
    <definedName name="dbDescrip_KLargeInpFld" localSheetId="19">'RES_pt-PT'!$BN$25</definedName>
    <definedName name="dbDescrip_KLargeInpFld" localSheetId="20">'RES_ro-RO'!$BN$25</definedName>
    <definedName name="dbDescrip_KLargeInpFld" localSheetId="21">'RES_ru-RU'!$BN$25</definedName>
    <definedName name="dbDescrip_KLargeInpFld" localSheetId="22">'RES_sl-SI'!$BN$25</definedName>
    <definedName name="dbDescrip_KLargeInpFld" localSheetId="23">'RES_sv-SE'!$BN$25</definedName>
    <definedName name="dbDescrip_KLargeInpFld" localSheetId="24">'RES_tr-TR'!$BN$25</definedName>
    <definedName name="dbDescrip_KLargeInpFld" localSheetId="25">'RES_zh-CN'!$BN$25</definedName>
    <definedName name="dbDescrip_KLargeInpFld" localSheetId="26">'RES_zh-TW'!$BN$25</definedName>
    <definedName name="dbDescrip_KSmall" localSheetId="3">'RES_cs-CZ'!$BT$27</definedName>
    <definedName name="dbDescrip_KSmall" localSheetId="4">'RES_da-DK'!$BT$27</definedName>
    <definedName name="dbDescrip_KSmall" localSheetId="5">'RES_de-DE'!$BT$27</definedName>
    <definedName name="dbDescrip_KSmall" localSheetId="6">'RES_el-GR'!$BT$27</definedName>
    <definedName name="dbDescrip_KSmall" localSheetId="2">'RES_en-US'!$BT$27</definedName>
    <definedName name="dbDescrip_KSmall" localSheetId="7">'RES_es-ES'!$BT$27</definedName>
    <definedName name="dbDescrip_KSmall" localSheetId="8">'RES_fi-FI'!$BT$27</definedName>
    <definedName name="dbDescrip_KSmall" localSheetId="1">'RES_fr-FR'!$BT$27</definedName>
    <definedName name="dbDescrip_KSmall" localSheetId="9">'RES_hr-HR'!$BT$27</definedName>
    <definedName name="dbDescrip_KSmall" localSheetId="10">'RES_hu-HU'!$BT$27</definedName>
    <definedName name="dbDescrip_KSmall" localSheetId="11">'RES_it-IT'!$BT$27</definedName>
    <definedName name="dbDescrip_KSmall" localSheetId="12">'RES_ja-JP'!$BT$27</definedName>
    <definedName name="dbDescrip_KSmall" localSheetId="13">'RES_ko-KR'!$BT$27</definedName>
    <definedName name="dbDescrip_KSmall" localSheetId="14">'RES_lv-LV'!$BT$27</definedName>
    <definedName name="dbDescrip_KSmall" localSheetId="15">'RES_nb-NO'!$BT$27</definedName>
    <definedName name="dbDescrip_KSmall" localSheetId="16">'RES_nl-NL'!$BT$27</definedName>
    <definedName name="dbDescrip_KSmall" localSheetId="17">'RES_pl-PL'!$BT$27</definedName>
    <definedName name="dbDescrip_KSmall" localSheetId="18">'RES_pt-BR'!$BT$27</definedName>
    <definedName name="dbDescrip_KSmall" localSheetId="19">'RES_pt-PT'!$BT$27</definedName>
    <definedName name="dbDescrip_KSmall" localSheetId="20">'RES_ro-RO'!$BT$27</definedName>
    <definedName name="dbDescrip_KSmall" localSheetId="21">'RES_ru-RU'!$BT$27</definedName>
    <definedName name="dbDescrip_KSmall" localSheetId="22">'RES_sl-SI'!$BT$27</definedName>
    <definedName name="dbDescrip_KSmall" localSheetId="23">'RES_sv-SE'!$BT$27</definedName>
    <definedName name="dbDescrip_KSmall" localSheetId="24">'RES_tr-TR'!$BT$27</definedName>
    <definedName name="dbDescrip_KSmall" localSheetId="25">'RES_zh-CN'!$BT$27</definedName>
    <definedName name="dbDescrip_KSmall" localSheetId="26">'RES_zh-TW'!$BT$27</definedName>
    <definedName name="dbDescrip_KSmallChkBox" localSheetId="3">'RES_cs-CZ'!$BT$26</definedName>
    <definedName name="dbDescrip_KSmallChkBox" localSheetId="4">'RES_da-DK'!$BT$26</definedName>
    <definedName name="dbDescrip_KSmallChkBox" localSheetId="5">'RES_de-DE'!$BT$26</definedName>
    <definedName name="dbDescrip_KSmallChkBox" localSheetId="6">'RES_el-GR'!$BT$26</definedName>
    <definedName name="dbDescrip_KSmallChkBox" localSheetId="2">'RES_en-US'!$BT$26</definedName>
    <definedName name="dbDescrip_KSmallChkBox" localSheetId="7">'RES_es-ES'!$BT$26</definedName>
    <definedName name="dbDescrip_KSmallChkBox" localSheetId="8">'RES_fi-FI'!$BT$26</definedName>
    <definedName name="dbDescrip_KSmallChkBox" localSheetId="1">'RES_fr-FR'!$BT$26</definedName>
    <definedName name="dbDescrip_KSmallChkBox" localSheetId="9">'RES_hr-HR'!$BT$26</definedName>
    <definedName name="dbDescrip_KSmallChkBox" localSheetId="10">'RES_hu-HU'!$BT$26</definedName>
    <definedName name="dbDescrip_KSmallChkBox" localSheetId="11">'RES_it-IT'!$BT$26</definedName>
    <definedName name="dbDescrip_KSmallChkBox" localSheetId="12">'RES_ja-JP'!$BT$26</definedName>
    <definedName name="dbDescrip_KSmallChkBox" localSheetId="13">'RES_ko-KR'!$BT$26</definedName>
    <definedName name="dbDescrip_KSmallChkBox" localSheetId="14">'RES_lv-LV'!$BT$26</definedName>
    <definedName name="dbDescrip_KSmallChkBox" localSheetId="15">'RES_nb-NO'!$BT$26</definedName>
    <definedName name="dbDescrip_KSmallChkBox" localSheetId="16">'RES_nl-NL'!$BT$26</definedName>
    <definedName name="dbDescrip_KSmallChkBox" localSheetId="17">'RES_pl-PL'!$BT$26</definedName>
    <definedName name="dbDescrip_KSmallChkBox" localSheetId="18">'RES_pt-BR'!$BT$26</definedName>
    <definedName name="dbDescrip_KSmallChkBox" localSheetId="19">'RES_pt-PT'!$BT$26</definedName>
    <definedName name="dbDescrip_KSmallChkBox" localSheetId="20">'RES_ro-RO'!$BT$26</definedName>
    <definedName name="dbDescrip_KSmallChkBox" localSheetId="21">'RES_ru-RU'!$BT$26</definedName>
    <definedName name="dbDescrip_KSmallChkBox" localSheetId="22">'RES_sl-SI'!$BT$26</definedName>
    <definedName name="dbDescrip_KSmallChkBox" localSheetId="23">'RES_sv-SE'!$BT$26</definedName>
    <definedName name="dbDescrip_KSmallChkBox" localSheetId="24">'RES_tr-TR'!$BT$26</definedName>
    <definedName name="dbDescrip_KSmallChkBox" localSheetId="25">'RES_zh-CN'!$BT$26</definedName>
    <definedName name="dbDescrip_KSmallChkBox" localSheetId="26">'RES_zh-TW'!$BT$26</definedName>
    <definedName name="dbDescrip_KSmallInpFld" localSheetId="3">'RES_cs-CZ'!$BN$27</definedName>
    <definedName name="dbDescrip_KSmallInpFld" localSheetId="4">'RES_da-DK'!$BN$27</definedName>
    <definedName name="dbDescrip_KSmallInpFld" localSheetId="5">'RES_de-DE'!$BN$27</definedName>
    <definedName name="dbDescrip_KSmallInpFld" localSheetId="6">'RES_el-GR'!$BN$27</definedName>
    <definedName name="dbDescrip_KSmallInpFld" localSheetId="2">'RES_en-US'!$BN$27</definedName>
    <definedName name="dbDescrip_KSmallInpFld" localSheetId="7">'RES_es-ES'!$BN$27</definedName>
    <definedName name="dbDescrip_KSmallInpFld" localSheetId="8">'RES_fi-FI'!$BN$27</definedName>
    <definedName name="dbDescrip_KSmallInpFld" localSheetId="1">'RES_fr-FR'!$BN$27</definedName>
    <definedName name="dbDescrip_KSmallInpFld" localSheetId="9">'RES_hr-HR'!$BN$27</definedName>
    <definedName name="dbDescrip_KSmallInpFld" localSheetId="10">'RES_hu-HU'!$BN$27</definedName>
    <definedName name="dbDescrip_KSmallInpFld" localSheetId="11">'RES_it-IT'!$BN$27</definedName>
    <definedName name="dbDescrip_KSmallInpFld" localSheetId="12">'RES_ja-JP'!$BN$27</definedName>
    <definedName name="dbDescrip_KSmallInpFld" localSheetId="13">'RES_ko-KR'!$BN$27</definedName>
    <definedName name="dbDescrip_KSmallInpFld" localSheetId="14">'RES_lv-LV'!$BN$27</definedName>
    <definedName name="dbDescrip_KSmallInpFld" localSheetId="15">'RES_nb-NO'!$BN$27</definedName>
    <definedName name="dbDescrip_KSmallInpFld" localSheetId="16">'RES_nl-NL'!$BN$27</definedName>
    <definedName name="dbDescrip_KSmallInpFld" localSheetId="17">'RES_pl-PL'!$BN$27</definedName>
    <definedName name="dbDescrip_KSmallInpFld" localSheetId="18">'RES_pt-BR'!$BN$27</definedName>
    <definedName name="dbDescrip_KSmallInpFld" localSheetId="19">'RES_pt-PT'!$BN$27</definedName>
    <definedName name="dbDescrip_KSmallInpFld" localSheetId="20">'RES_ro-RO'!$BN$27</definedName>
    <definedName name="dbDescrip_KSmallInpFld" localSheetId="21">'RES_ru-RU'!$BN$27</definedName>
    <definedName name="dbDescrip_KSmallInpFld" localSheetId="22">'RES_sl-SI'!$BN$27</definedName>
    <definedName name="dbDescrip_KSmallInpFld" localSheetId="23">'RES_sv-SE'!$BN$27</definedName>
    <definedName name="dbDescrip_KSmallInpFld" localSheetId="24">'RES_tr-TR'!$BN$27</definedName>
    <definedName name="dbDescrip_KSmallInpFld" localSheetId="25">'RES_zh-CN'!$BN$27</definedName>
    <definedName name="dbDescrip_KSmallInpFld" localSheetId="26">'RES_zh-TW'!$BN$27</definedName>
    <definedName name="dbDescrip_LabelText" localSheetId="3">'RES_cs-CZ'!$BS$12</definedName>
    <definedName name="dbDescrip_LabelText" localSheetId="4">'RES_da-DK'!$BS$12</definedName>
    <definedName name="dbDescrip_LabelText" localSheetId="5">'RES_de-DE'!$BS$12</definedName>
    <definedName name="dbDescrip_LabelText" localSheetId="6">'RES_el-GR'!$BS$12</definedName>
    <definedName name="dbDescrip_LabelText" localSheetId="2">'RES_en-US'!$BS$12</definedName>
    <definedName name="dbDescrip_LabelText" localSheetId="7">'RES_es-ES'!$BS$12</definedName>
    <definedName name="dbDescrip_LabelText" localSheetId="8">'RES_fi-FI'!$BS$12</definedName>
    <definedName name="dbDescrip_LabelText" localSheetId="1">'RES_fr-FR'!$BS$12</definedName>
    <definedName name="dbDescrip_LabelText" localSheetId="9">'RES_hr-HR'!$BS$12</definedName>
    <definedName name="dbDescrip_LabelText" localSheetId="10">'RES_hu-HU'!$BS$12</definedName>
    <definedName name="dbDescrip_LabelText" localSheetId="11">'RES_it-IT'!$BS$12</definedName>
    <definedName name="dbDescrip_LabelText" localSheetId="12">'RES_ja-JP'!$BS$12</definedName>
    <definedName name="dbDescrip_LabelText" localSheetId="13">'RES_ko-KR'!$BS$12</definedName>
    <definedName name="dbDescrip_LabelText" localSheetId="14">'RES_lv-LV'!$BS$12</definedName>
    <definedName name="dbDescrip_LabelText" localSheetId="15">'RES_nb-NO'!$BS$12</definedName>
    <definedName name="dbDescrip_LabelText" localSheetId="16">'RES_nl-NL'!$BS$12</definedName>
    <definedName name="dbDescrip_LabelText" localSheetId="17">'RES_pl-PL'!$BS$12</definedName>
    <definedName name="dbDescrip_LabelText" localSheetId="18">'RES_pt-BR'!$BS$12</definedName>
    <definedName name="dbDescrip_LabelText" localSheetId="19">'RES_pt-PT'!$BS$12</definedName>
    <definedName name="dbDescrip_LabelText" localSheetId="20">'RES_ro-RO'!$BS$12</definedName>
    <definedName name="dbDescrip_LabelText" localSheetId="21">'RES_ru-RU'!$BS$12</definedName>
    <definedName name="dbDescrip_LabelText" localSheetId="22">'RES_sl-SI'!$BS$12</definedName>
    <definedName name="dbDescrip_LabelText" localSheetId="23">'RES_sv-SE'!$BS$12</definedName>
    <definedName name="dbDescrip_LabelText" localSheetId="24">'RES_tr-TR'!$BS$12</definedName>
    <definedName name="dbDescrip_LabelText" localSheetId="25">'RES_zh-CN'!$BS$12</definedName>
    <definedName name="dbDescrip_LabelText" localSheetId="26">'RES_zh-TW'!$BS$12</definedName>
    <definedName name="dbDescrip_LblChkBox" localSheetId="3">'RES_cs-CZ'!$BT$12</definedName>
    <definedName name="dbDescrip_LblChkBox" localSheetId="4">'RES_da-DK'!$BT$12</definedName>
    <definedName name="dbDescrip_LblChkBox" localSheetId="5">'RES_de-DE'!$BT$12</definedName>
    <definedName name="dbDescrip_LblChkBox" localSheetId="6">'RES_el-GR'!$BT$12</definedName>
    <definedName name="dbDescrip_LblChkBox" localSheetId="2">'RES_en-US'!$BT$12</definedName>
    <definedName name="dbDescrip_LblChkBox" localSheetId="7">'RES_es-ES'!$BT$12</definedName>
    <definedName name="dbDescrip_LblChkBox" localSheetId="8">'RES_fi-FI'!$BT$12</definedName>
    <definedName name="dbDescrip_LblChkBox" localSheetId="1">'RES_fr-FR'!$BT$12</definedName>
    <definedName name="dbDescrip_LblChkBox" localSheetId="9">'RES_hr-HR'!$BT$12</definedName>
    <definedName name="dbDescrip_LblChkBox" localSheetId="10">'RES_hu-HU'!$BT$12</definedName>
    <definedName name="dbDescrip_LblChkBox" localSheetId="11">'RES_it-IT'!$BT$12</definedName>
    <definedName name="dbDescrip_LblChkBox" localSheetId="12">'RES_ja-JP'!$BT$12</definedName>
    <definedName name="dbDescrip_LblChkBox" localSheetId="13">'RES_ko-KR'!$BT$12</definedName>
    <definedName name="dbDescrip_LblChkBox" localSheetId="14">'RES_lv-LV'!$BT$12</definedName>
    <definedName name="dbDescrip_LblChkBox" localSheetId="15">'RES_nb-NO'!$BT$12</definedName>
    <definedName name="dbDescrip_LblChkBox" localSheetId="16">'RES_nl-NL'!$BT$12</definedName>
    <definedName name="dbDescrip_LblChkBox" localSheetId="17">'RES_pl-PL'!$BT$12</definedName>
    <definedName name="dbDescrip_LblChkBox" localSheetId="18">'RES_pt-BR'!$BT$12</definedName>
    <definedName name="dbDescrip_LblChkBox" localSheetId="19">'RES_pt-PT'!$BT$12</definedName>
    <definedName name="dbDescrip_LblChkBox" localSheetId="20">'RES_ro-RO'!$BT$12</definedName>
    <definedName name="dbDescrip_LblChkBox" localSheetId="21">'RES_ru-RU'!$BT$12</definedName>
    <definedName name="dbDescrip_LblChkBox" localSheetId="22">'RES_sl-SI'!$BT$12</definedName>
    <definedName name="dbDescrip_LblChkBox" localSheetId="23">'RES_sv-SE'!$BT$12</definedName>
    <definedName name="dbDescrip_LblChkBox" localSheetId="24">'RES_tr-TR'!$BT$12</definedName>
    <definedName name="dbDescrip_LblChkBox" localSheetId="25">'RES_zh-CN'!$BT$12</definedName>
    <definedName name="dbDescrip_LblChkBox" localSheetId="26">'RES_zh-TW'!$BT$12</definedName>
    <definedName name="dbDescrip_OutOption" localSheetId="3">'RES_cs-CZ'!$BT$14</definedName>
    <definedName name="dbDescrip_OutOption" localSheetId="4">'RES_da-DK'!$BT$14</definedName>
    <definedName name="dbDescrip_OutOption" localSheetId="5">'RES_de-DE'!$BT$14</definedName>
    <definedName name="dbDescrip_OutOption" localSheetId="6">'RES_el-GR'!$BT$14</definedName>
    <definedName name="dbDescrip_OutOption" localSheetId="2">'RES_en-US'!$BT$14</definedName>
    <definedName name="dbDescrip_OutOption" localSheetId="7">'RES_es-ES'!$BT$14</definedName>
    <definedName name="dbDescrip_OutOption" localSheetId="8">'RES_fi-FI'!$BT$14</definedName>
    <definedName name="dbDescrip_OutOption" localSheetId="1">'RES_fr-FR'!$BT$14</definedName>
    <definedName name="dbDescrip_OutOption" localSheetId="9">'RES_hr-HR'!$BT$14</definedName>
    <definedName name="dbDescrip_OutOption" localSheetId="10">'RES_hu-HU'!$BT$14</definedName>
    <definedName name="dbDescrip_OutOption" localSheetId="11">'RES_it-IT'!$BT$14</definedName>
    <definedName name="dbDescrip_OutOption" localSheetId="12">'RES_ja-JP'!$BT$14</definedName>
    <definedName name="dbDescrip_OutOption" localSheetId="13">'RES_ko-KR'!$BT$14</definedName>
    <definedName name="dbDescrip_OutOption" localSheetId="14">'RES_lv-LV'!$BT$14</definedName>
    <definedName name="dbDescrip_OutOption" localSheetId="15">'RES_nb-NO'!$BT$14</definedName>
    <definedName name="dbDescrip_OutOption" localSheetId="16">'RES_nl-NL'!$BT$14</definedName>
    <definedName name="dbDescrip_OutOption" localSheetId="17">'RES_pl-PL'!$BT$14</definedName>
    <definedName name="dbDescrip_OutOption" localSheetId="18">'RES_pt-BR'!$BT$14</definedName>
    <definedName name="dbDescrip_OutOption" localSheetId="19">'RES_pt-PT'!$BT$14</definedName>
    <definedName name="dbDescrip_OutOption" localSheetId="20">'RES_ro-RO'!$BT$14</definedName>
    <definedName name="dbDescrip_OutOption" localSheetId="21">'RES_ru-RU'!$BT$14</definedName>
    <definedName name="dbDescrip_OutOption" localSheetId="22">'RES_sl-SI'!$BT$14</definedName>
    <definedName name="dbDescrip_OutOption" localSheetId="23">'RES_sv-SE'!$BT$14</definedName>
    <definedName name="dbDescrip_OutOption" localSheetId="24">'RES_tr-TR'!$BT$14</definedName>
    <definedName name="dbDescrip_OutOption" localSheetId="25">'RES_zh-CN'!$BT$14</definedName>
    <definedName name="dbDescrip_OutOption" localSheetId="26">'RES_zh-TW'!$BT$14</definedName>
    <definedName name="dbDescrip_PlyInpFld" localSheetId="3">'RES_cs-CZ'!$BN$19</definedName>
    <definedName name="dbDescrip_PlyInpFld" localSheetId="4">'RES_da-DK'!$BN$19</definedName>
    <definedName name="dbDescrip_PlyInpFld" localSheetId="5">'RES_de-DE'!$BN$19</definedName>
    <definedName name="dbDescrip_PlyInpFld" localSheetId="6">'RES_el-GR'!$BN$19</definedName>
    <definedName name="dbDescrip_PlyInpFld" localSheetId="2">'RES_en-US'!$BN$19</definedName>
    <definedName name="dbDescrip_PlyInpFld" localSheetId="7">'RES_es-ES'!$BN$19</definedName>
    <definedName name="dbDescrip_PlyInpFld" localSheetId="8">'RES_fi-FI'!$BN$19</definedName>
    <definedName name="dbDescrip_PlyInpFld" localSheetId="1">'RES_fr-FR'!$BN$19</definedName>
    <definedName name="dbDescrip_PlyInpFld" localSheetId="9">'RES_hr-HR'!$BN$19</definedName>
    <definedName name="dbDescrip_PlyInpFld" localSheetId="10">'RES_hu-HU'!$BN$19</definedName>
    <definedName name="dbDescrip_PlyInpFld" localSheetId="11">'RES_it-IT'!$BN$19</definedName>
    <definedName name="dbDescrip_PlyInpFld" localSheetId="12">'RES_ja-JP'!$BN$19</definedName>
    <definedName name="dbDescrip_PlyInpFld" localSheetId="13">'RES_ko-KR'!$BN$19</definedName>
    <definedName name="dbDescrip_PlyInpFld" localSheetId="14">'RES_lv-LV'!$BN$19</definedName>
    <definedName name="dbDescrip_PlyInpFld" localSheetId="15">'RES_nb-NO'!$BN$19</definedName>
    <definedName name="dbDescrip_PlyInpFld" localSheetId="16">'RES_nl-NL'!$BN$19</definedName>
    <definedName name="dbDescrip_PlyInpFld" localSheetId="17">'RES_pl-PL'!$BN$19</definedName>
    <definedName name="dbDescrip_PlyInpFld" localSheetId="18">'RES_pt-BR'!$BN$19</definedName>
    <definedName name="dbDescrip_PlyInpFld" localSheetId="19">'RES_pt-PT'!$BN$19</definedName>
    <definedName name="dbDescrip_PlyInpFld" localSheetId="20">'RES_ro-RO'!$BN$19</definedName>
    <definedName name="dbDescrip_PlyInpFld" localSheetId="21">'RES_ru-RU'!$BN$19</definedName>
    <definedName name="dbDescrip_PlyInpFld" localSheetId="22">'RES_sl-SI'!$BN$19</definedName>
    <definedName name="dbDescrip_PlyInpFld" localSheetId="23">'RES_sv-SE'!$BN$19</definedName>
    <definedName name="dbDescrip_PlyInpFld" localSheetId="24">'RES_tr-TR'!$BN$19</definedName>
    <definedName name="dbDescrip_PlyInpFld" localSheetId="25">'RES_zh-CN'!$BN$19</definedName>
    <definedName name="dbDescrip_PlyInpFld" localSheetId="26">'RES_zh-TW'!$BN$19</definedName>
    <definedName name="dbDescrip_PlyName" localSheetId="3">'RES_cs-CZ'!$BT$19</definedName>
    <definedName name="dbDescrip_PlyName" localSheetId="4">'RES_da-DK'!$BT$19</definedName>
    <definedName name="dbDescrip_PlyName" localSheetId="5">'RES_de-DE'!$BT$19</definedName>
    <definedName name="dbDescrip_PlyName" localSheetId="6">'RES_el-GR'!$BT$19</definedName>
    <definedName name="dbDescrip_PlyName" localSheetId="2">'RES_en-US'!$BT$19</definedName>
    <definedName name="dbDescrip_PlyName" localSheetId="7">'RES_es-ES'!$BT$19</definedName>
    <definedName name="dbDescrip_PlyName" localSheetId="8">'RES_fi-FI'!$BT$19</definedName>
    <definedName name="dbDescrip_PlyName" localSheetId="1">'RES_fr-FR'!$BT$19</definedName>
    <definedName name="dbDescrip_PlyName" localSheetId="9">'RES_hr-HR'!$BT$19</definedName>
    <definedName name="dbDescrip_PlyName" localSheetId="10">'RES_hu-HU'!$BT$19</definedName>
    <definedName name="dbDescrip_PlyName" localSheetId="11">'RES_it-IT'!$BT$19</definedName>
    <definedName name="dbDescrip_PlyName" localSheetId="12">'RES_ja-JP'!$BT$19</definedName>
    <definedName name="dbDescrip_PlyName" localSheetId="13">'RES_ko-KR'!$BT$19</definedName>
    <definedName name="dbDescrip_PlyName" localSheetId="14">'RES_lv-LV'!$BT$19</definedName>
    <definedName name="dbDescrip_PlyName" localSheetId="15">'RES_nb-NO'!$BT$19</definedName>
    <definedName name="dbDescrip_PlyName" localSheetId="16">'RES_nl-NL'!$BT$19</definedName>
    <definedName name="dbDescrip_PlyName" localSheetId="17">'RES_pl-PL'!$BT$19</definedName>
    <definedName name="dbDescrip_PlyName" localSheetId="18">'RES_pt-BR'!$BT$19</definedName>
    <definedName name="dbDescrip_PlyName" localSheetId="19">'RES_pt-PT'!$BT$19</definedName>
    <definedName name="dbDescrip_PlyName" localSheetId="20">'RES_ro-RO'!$BT$19</definedName>
    <definedName name="dbDescrip_PlyName" localSheetId="21">'RES_ru-RU'!$BT$19</definedName>
    <definedName name="dbDescrip_PlyName" localSheetId="22">'RES_sl-SI'!$BT$19</definedName>
    <definedName name="dbDescrip_PlyName" localSheetId="23">'RES_sv-SE'!$BT$19</definedName>
    <definedName name="dbDescrip_PlyName" localSheetId="24">'RES_tr-TR'!$BT$19</definedName>
    <definedName name="dbDescrip_PlyName" localSheetId="25">'RES_zh-CN'!$BT$19</definedName>
    <definedName name="dbDescrip_PlyName" localSheetId="26">'RES_zh-TW'!$BT$19</definedName>
    <definedName name="dbDescrip_RangeInpFld" localSheetId="3">'RES_cs-CZ'!$BN$18</definedName>
    <definedName name="dbDescrip_RangeInpFld" localSheetId="4">'RES_da-DK'!$BN$18</definedName>
    <definedName name="dbDescrip_RangeInpFld" localSheetId="5">'RES_de-DE'!$BN$18</definedName>
    <definedName name="dbDescrip_RangeInpFld" localSheetId="6">'RES_el-GR'!$BN$18</definedName>
    <definedName name="dbDescrip_RangeInpFld" localSheetId="2">'RES_en-US'!$BN$18</definedName>
    <definedName name="dbDescrip_RangeInpFld" localSheetId="7">'RES_es-ES'!$BN$18</definedName>
    <definedName name="dbDescrip_RangeInpFld" localSheetId="8">'RES_fi-FI'!$BN$18</definedName>
    <definedName name="dbDescrip_RangeInpFld" localSheetId="1">'RES_fr-FR'!$BN$18</definedName>
    <definedName name="dbDescrip_RangeInpFld" localSheetId="9">'RES_hr-HR'!$BN$18</definedName>
    <definedName name="dbDescrip_RangeInpFld" localSheetId="10">'RES_hu-HU'!$BN$18</definedName>
    <definedName name="dbDescrip_RangeInpFld" localSheetId="11">'RES_it-IT'!$BN$18</definedName>
    <definedName name="dbDescrip_RangeInpFld" localSheetId="12">'RES_ja-JP'!$BN$18</definedName>
    <definedName name="dbDescrip_RangeInpFld" localSheetId="13">'RES_ko-KR'!$BN$18</definedName>
    <definedName name="dbDescrip_RangeInpFld" localSheetId="14">'RES_lv-LV'!$BN$18</definedName>
    <definedName name="dbDescrip_RangeInpFld" localSheetId="15">'RES_nb-NO'!$BN$18</definedName>
    <definedName name="dbDescrip_RangeInpFld" localSheetId="16">'RES_nl-NL'!$BN$18</definedName>
    <definedName name="dbDescrip_RangeInpFld" localSheetId="17">'RES_pl-PL'!$BN$18</definedName>
    <definedName name="dbDescrip_RangeInpFld" localSheetId="18">'RES_pt-BR'!$BN$18</definedName>
    <definedName name="dbDescrip_RangeInpFld" localSheetId="19">'RES_pt-PT'!$BN$18</definedName>
    <definedName name="dbDescrip_RangeInpFld" localSheetId="20">'RES_ro-RO'!$BN$18</definedName>
    <definedName name="dbDescrip_RangeInpFld" localSheetId="21">'RES_ru-RU'!$BN$18</definedName>
    <definedName name="dbDescrip_RangeInpFld" localSheetId="22">'RES_sl-SI'!$BN$18</definedName>
    <definedName name="dbDescrip_RangeInpFld" localSheetId="23">'RES_sv-SE'!$BN$18</definedName>
    <definedName name="dbDescrip_RangeInpFld" localSheetId="24">'RES_tr-TR'!$BN$18</definedName>
    <definedName name="dbDescrip_RangeInpFld" localSheetId="25">'RES_zh-CN'!$BN$18</definedName>
    <definedName name="dbDescrip_RangeInpFld" localSheetId="26">'RES_zh-TW'!$BN$18</definedName>
    <definedName name="dbDescrip_RangeRef" localSheetId="3">'RES_cs-CZ'!$BT$18</definedName>
    <definedName name="dbDescrip_RangeRef" localSheetId="4">'RES_da-DK'!$BT$18</definedName>
    <definedName name="dbDescrip_RangeRef" localSheetId="5">'RES_de-DE'!$BT$18</definedName>
    <definedName name="dbDescrip_RangeRef" localSheetId="6">'RES_el-GR'!$BT$18</definedName>
    <definedName name="dbDescrip_RangeRef" localSheetId="2">'RES_en-US'!$BT$18</definedName>
    <definedName name="dbDescrip_RangeRef" localSheetId="7">'RES_es-ES'!$BT$18</definedName>
    <definedName name="dbDescrip_RangeRef" localSheetId="8">'RES_fi-FI'!$BT$18</definedName>
    <definedName name="dbDescrip_RangeRef" localSheetId="1">'RES_fr-FR'!$BT$18</definedName>
    <definedName name="dbDescrip_RangeRef" localSheetId="9">'RES_hr-HR'!$BT$18</definedName>
    <definedName name="dbDescrip_RangeRef" localSheetId="10">'RES_hu-HU'!$BT$18</definedName>
    <definedName name="dbDescrip_RangeRef" localSheetId="11">'RES_it-IT'!$BT$18</definedName>
    <definedName name="dbDescrip_RangeRef" localSheetId="12">'RES_ja-JP'!$BT$18</definedName>
    <definedName name="dbDescrip_RangeRef" localSheetId="13">'RES_ko-KR'!$BT$18</definedName>
    <definedName name="dbDescrip_RangeRef" localSheetId="14">'RES_lv-LV'!$BT$18</definedName>
    <definedName name="dbDescrip_RangeRef" localSheetId="15">'RES_nb-NO'!$BT$18</definedName>
    <definedName name="dbDescrip_RangeRef" localSheetId="16">'RES_nl-NL'!$BT$18</definedName>
    <definedName name="dbDescrip_RangeRef" localSheetId="17">'RES_pl-PL'!$BT$18</definedName>
    <definedName name="dbDescrip_RangeRef" localSheetId="18">'RES_pt-BR'!$BT$18</definedName>
    <definedName name="dbDescrip_RangeRef" localSheetId="19">'RES_pt-PT'!$BT$18</definedName>
    <definedName name="dbDescrip_RangeRef" localSheetId="20">'RES_ro-RO'!$BT$18</definedName>
    <definedName name="dbDescrip_RangeRef" localSheetId="21">'RES_ru-RU'!$BT$18</definedName>
    <definedName name="dbDescrip_RangeRef" localSheetId="22">'RES_sl-SI'!$BT$18</definedName>
    <definedName name="dbDescrip_RangeRef" localSheetId="23">'RES_sv-SE'!$BT$18</definedName>
    <definedName name="dbDescrip_RangeRef" localSheetId="24">'RES_tr-TR'!$BT$18</definedName>
    <definedName name="dbDescrip_RangeRef" localSheetId="25">'RES_zh-CN'!$BT$18</definedName>
    <definedName name="dbDescrip_RangeRef" localSheetId="26">'RES_zh-TW'!$BT$18</definedName>
    <definedName name="dbDescrip_RCSelect" localSheetId="3">'RES_cs-CZ'!$BT$9</definedName>
    <definedName name="dbDescrip_RCSelect" localSheetId="4">'RES_da-DK'!$BT$9</definedName>
    <definedName name="dbDescrip_RCSelect" localSheetId="5">'RES_de-DE'!$BT$9</definedName>
    <definedName name="dbDescrip_RCSelect" localSheetId="6">'RES_el-GR'!$BT$9</definedName>
    <definedName name="dbDescrip_RCSelect" localSheetId="2">'RES_en-US'!$BT$9</definedName>
    <definedName name="dbDescrip_RCSelect" localSheetId="7">'RES_es-ES'!$BT$9</definedName>
    <definedName name="dbDescrip_RCSelect" localSheetId="8">'RES_fi-FI'!$BT$9</definedName>
    <definedName name="dbDescrip_RCSelect" localSheetId="1">'RES_fr-FR'!$BT$9</definedName>
    <definedName name="dbDescrip_RCSelect" localSheetId="9">'RES_hr-HR'!$BT$9</definedName>
    <definedName name="dbDescrip_RCSelect" localSheetId="10">'RES_hu-HU'!$BT$9</definedName>
    <definedName name="dbDescrip_RCSelect" localSheetId="11">'RES_it-IT'!$BT$9</definedName>
    <definedName name="dbDescrip_RCSelect" localSheetId="12">'RES_ja-JP'!$BT$9</definedName>
    <definedName name="dbDescrip_RCSelect" localSheetId="13">'RES_ko-KR'!$BT$9</definedName>
    <definedName name="dbDescrip_RCSelect" localSheetId="14">'RES_lv-LV'!$BT$9</definedName>
    <definedName name="dbDescrip_RCSelect" localSheetId="15">'RES_nb-NO'!$BT$9</definedName>
    <definedName name="dbDescrip_RCSelect" localSheetId="16">'RES_nl-NL'!$BT$9</definedName>
    <definedName name="dbDescrip_RCSelect" localSheetId="17">'RES_pl-PL'!$BT$9</definedName>
    <definedName name="dbDescrip_RCSelect" localSheetId="18">'RES_pt-BR'!$BT$9</definedName>
    <definedName name="dbDescrip_RCSelect" localSheetId="19">'RES_pt-PT'!$BT$9</definedName>
    <definedName name="dbDescrip_RCSelect" localSheetId="20">'RES_ro-RO'!$BT$9</definedName>
    <definedName name="dbDescrip_RCSelect" localSheetId="21">'RES_ru-RU'!$BT$9</definedName>
    <definedName name="dbDescrip_RCSelect" localSheetId="22">'RES_sl-SI'!$BT$9</definedName>
    <definedName name="dbDescrip_RCSelect" localSheetId="23">'RES_sv-SE'!$BT$9</definedName>
    <definedName name="dbDescrip_RCSelect" localSheetId="24">'RES_tr-TR'!$BT$9</definedName>
    <definedName name="dbDescrip_RCSelect" localSheetId="25">'RES_zh-CN'!$BT$9</definedName>
    <definedName name="dbDescrip_RCSelect" localSheetId="26">'RES_zh-TW'!$BT$9</definedName>
    <definedName name="dbDescrip_SumStatChkBox" localSheetId="3">'RES_cs-CZ'!$BT$20</definedName>
    <definedName name="dbDescrip_SumStatChkBox" localSheetId="4">'RES_da-DK'!$BT$20</definedName>
    <definedName name="dbDescrip_SumStatChkBox" localSheetId="5">'RES_de-DE'!$BT$20</definedName>
    <definedName name="dbDescrip_SumStatChkBox" localSheetId="6">'RES_el-GR'!$BT$20</definedName>
    <definedName name="dbDescrip_SumStatChkBox" localSheetId="2">'RES_en-US'!$BT$20</definedName>
    <definedName name="dbDescrip_SumStatChkBox" localSheetId="7">'RES_es-ES'!$BT$20</definedName>
    <definedName name="dbDescrip_SumStatChkBox" localSheetId="8">'RES_fi-FI'!$BT$20</definedName>
    <definedName name="dbDescrip_SumStatChkBox" localSheetId="1">'RES_fr-FR'!$BT$20</definedName>
    <definedName name="dbDescrip_SumStatChkBox" localSheetId="9">'RES_hr-HR'!$BT$20</definedName>
    <definedName name="dbDescrip_SumStatChkBox" localSheetId="10">'RES_hu-HU'!$BT$20</definedName>
    <definedName name="dbDescrip_SumStatChkBox" localSheetId="11">'RES_it-IT'!$BT$20</definedName>
    <definedName name="dbDescrip_SumStatChkBox" localSheetId="12">'RES_ja-JP'!$BT$20</definedName>
    <definedName name="dbDescrip_SumStatChkBox" localSheetId="13">'RES_ko-KR'!$BT$20</definedName>
    <definedName name="dbDescrip_SumStatChkBox" localSheetId="14">'RES_lv-LV'!$BT$20</definedName>
    <definedName name="dbDescrip_SumStatChkBox" localSheetId="15">'RES_nb-NO'!$BT$20</definedName>
    <definedName name="dbDescrip_SumStatChkBox" localSheetId="16">'RES_nl-NL'!$BT$20</definedName>
    <definedName name="dbDescrip_SumStatChkBox" localSheetId="17">'RES_pl-PL'!$BT$20</definedName>
    <definedName name="dbDescrip_SumStatChkBox" localSheetId="18">'RES_pt-BR'!$BT$20</definedName>
    <definedName name="dbDescrip_SumStatChkBox" localSheetId="19">'RES_pt-PT'!$BT$20</definedName>
    <definedName name="dbDescrip_SumStatChkBox" localSheetId="20">'RES_ro-RO'!$BT$20</definedName>
    <definedName name="dbDescrip_SumStatChkBox" localSheetId="21">'RES_ru-RU'!$BT$20</definedName>
    <definedName name="dbDescrip_SumStatChkBox" localSheetId="22">'RES_sl-SI'!$BT$20</definedName>
    <definedName name="dbDescrip_SumStatChkBox" localSheetId="23">'RES_sv-SE'!$BT$20</definedName>
    <definedName name="dbDescrip_SumStatChkBox" localSheetId="24">'RES_tr-TR'!$BT$20</definedName>
    <definedName name="dbDescrip_SumStatChkBox" localSheetId="25">'RES_zh-CN'!$BT$20</definedName>
    <definedName name="dbDescrip_SumStatChkBox" localSheetId="26">'RES_zh-TW'!$BT$20</definedName>
    <definedName name="dbDescripTitle" localSheetId="3">'RES_cs-CZ'!$BS$2</definedName>
    <definedName name="dbDescripTitle" localSheetId="4">'RES_da-DK'!$BS$2</definedName>
    <definedName name="dbDescripTitle" localSheetId="5">'RES_de-DE'!$BS$2</definedName>
    <definedName name="dbDescripTitle" localSheetId="6">'RES_el-GR'!$BS$2</definedName>
    <definedName name="dbDescripTitle" localSheetId="2">'RES_en-US'!$BS$2</definedName>
    <definedName name="dbDescripTitle" localSheetId="7">'RES_es-ES'!$BS$2</definedName>
    <definedName name="dbDescripTitle" localSheetId="8">'RES_fi-FI'!$BS$2</definedName>
    <definedName name="dbDescripTitle" localSheetId="1">'RES_fr-FR'!$BS$2</definedName>
    <definedName name="dbDescripTitle" localSheetId="9">'RES_hr-HR'!$BS$2</definedName>
    <definedName name="dbDescripTitle" localSheetId="10">'RES_hu-HU'!$BS$2</definedName>
    <definedName name="dbDescripTitle" localSheetId="11">'RES_it-IT'!$BS$2</definedName>
    <definedName name="dbDescripTitle" localSheetId="12">'RES_ja-JP'!$BS$2</definedName>
    <definedName name="dbDescripTitle" localSheetId="13">'RES_ko-KR'!$BS$2</definedName>
    <definedName name="dbDescripTitle" localSheetId="14">'RES_lv-LV'!$BS$2</definedName>
    <definedName name="dbDescripTitle" localSheetId="15">'RES_nb-NO'!$BS$2</definedName>
    <definedName name="dbDescripTitle" localSheetId="16">'RES_nl-NL'!$BS$2</definedName>
    <definedName name="dbDescripTitle" localSheetId="17">'RES_pl-PL'!$BS$2</definedName>
    <definedName name="dbDescripTitle" localSheetId="18">'RES_pt-BR'!$BS$2</definedName>
    <definedName name="dbDescripTitle" localSheetId="19">'RES_pt-PT'!$BS$2</definedName>
    <definedName name="dbDescripTitle" localSheetId="20">'RES_ro-RO'!$BS$2</definedName>
    <definedName name="dbDescripTitle" localSheetId="21">'RES_ru-RU'!$BS$2</definedName>
    <definedName name="dbDescripTitle" localSheetId="22">'RES_sl-SI'!$BS$2</definedName>
    <definedName name="dbDescripTitle" localSheetId="23">'RES_sv-SE'!$BS$2</definedName>
    <definedName name="dbDescripTitle" localSheetId="24">'RES_tr-TR'!$BS$2</definedName>
    <definedName name="dbDescripTitle" localSheetId="25">'RES_zh-CN'!$BS$2</definedName>
    <definedName name="dbDescripTitle" localSheetId="26">'RES_zh-TW'!$BS$2</definedName>
    <definedName name="dbDiscrete" localSheetId="3">'RES_cs-CZ'!$CT$120:$CZ$131</definedName>
    <definedName name="dbDiscrete" localSheetId="4">'RES_da-DK'!$CT$120:$CZ$131</definedName>
    <definedName name="dbDiscrete" localSheetId="5">'RES_de-DE'!$CT$120:$CZ$131</definedName>
    <definedName name="dbDiscrete" localSheetId="6">'RES_el-GR'!$CT$120:$CZ$131</definedName>
    <definedName name="dbDiscrete" localSheetId="2">'RES_en-US'!$CT$120:$CZ$131</definedName>
    <definedName name="dbDiscrete" localSheetId="7">'RES_es-ES'!$CT$120:$CZ$131</definedName>
    <definedName name="dbDiscrete" localSheetId="8">'RES_fi-FI'!$CT$120:$CZ$131</definedName>
    <definedName name="dbDiscrete" localSheetId="1">'RES_fr-FR'!$CT$120:$CZ$131</definedName>
    <definedName name="dbDiscrete" localSheetId="9">'RES_hr-HR'!$CT$120:$CZ$131</definedName>
    <definedName name="dbDiscrete" localSheetId="10">'RES_hu-HU'!$CT$120:$CZ$131</definedName>
    <definedName name="dbDiscrete" localSheetId="11">'RES_it-IT'!$CT$120:$CZ$131</definedName>
    <definedName name="dbDiscrete" localSheetId="12">'RES_ja-JP'!$CT$120:$CZ$131</definedName>
    <definedName name="dbDiscrete" localSheetId="13">'RES_ko-KR'!$CT$120:$CZ$131</definedName>
    <definedName name="dbDiscrete" localSheetId="14">'RES_lv-LV'!$CT$120:$CZ$131</definedName>
    <definedName name="dbDiscrete" localSheetId="15">'RES_nb-NO'!$CT$120:$CZ$131</definedName>
    <definedName name="dbDiscrete" localSheetId="16">'RES_nl-NL'!$CT$120:$CZ$131</definedName>
    <definedName name="dbDiscrete" localSheetId="17">'RES_pl-PL'!$CT$120:$CZ$131</definedName>
    <definedName name="dbDiscrete" localSheetId="18">'RES_pt-BR'!$CT$120:$CZ$131</definedName>
    <definedName name="dbDiscrete" localSheetId="19">'RES_pt-PT'!$CT$120:$CZ$131</definedName>
    <definedName name="dbDiscrete" localSheetId="20">'RES_ro-RO'!$CT$120:$CZ$131</definedName>
    <definedName name="dbDiscrete" localSheetId="21">'RES_ru-RU'!$CT$120:$CZ$131</definedName>
    <definedName name="dbDiscrete" localSheetId="22">'RES_sl-SI'!$CT$120:$CZ$131</definedName>
    <definedName name="dbDiscrete" localSheetId="23">'RES_sv-SE'!$CT$120:$CZ$131</definedName>
    <definedName name="dbDiscrete" localSheetId="24">'RES_tr-TR'!$CT$120:$CZ$131</definedName>
    <definedName name="dbDiscrete" localSheetId="25">'RES_zh-CN'!$CT$120:$CZ$131</definedName>
    <definedName name="dbDiscrete" localSheetId="26">'RES_zh-TW'!$CT$120:$CZ$131</definedName>
    <definedName name="dbDiscrete_InRange" localSheetId="3">'RES_cs-CZ'!$CZ$131</definedName>
    <definedName name="dbDiscrete_InRange" localSheetId="4">'RES_da-DK'!$CZ$131</definedName>
    <definedName name="dbDiscrete_InRange" localSheetId="5">'RES_de-DE'!$CZ$131</definedName>
    <definedName name="dbDiscrete_InRange" localSheetId="6">'RES_el-GR'!$CZ$131</definedName>
    <definedName name="dbDiscrete_InRange" localSheetId="2">'RES_en-US'!$CZ$131</definedName>
    <definedName name="dbDiscrete_InRange" localSheetId="7">'RES_es-ES'!$CZ$131</definedName>
    <definedName name="dbDiscrete_InRange" localSheetId="8">'RES_fi-FI'!$CZ$131</definedName>
    <definedName name="dbDiscrete_InRange" localSheetId="1">'RES_fr-FR'!$CZ$131</definedName>
    <definedName name="dbDiscrete_InRange" localSheetId="9">'RES_hr-HR'!$CZ$131</definedName>
    <definedName name="dbDiscrete_InRange" localSheetId="10">'RES_hu-HU'!$CZ$131</definedName>
    <definedName name="dbDiscrete_InRange" localSheetId="11">'RES_it-IT'!$CZ$131</definedName>
    <definedName name="dbDiscrete_InRange" localSheetId="12">'RES_ja-JP'!$CZ$131</definedName>
    <definedName name="dbDiscrete_InRange" localSheetId="13">'RES_ko-KR'!$CZ$131</definedName>
    <definedName name="dbDiscrete_InRange" localSheetId="14">'RES_lv-LV'!$CZ$131</definedName>
    <definedName name="dbDiscrete_InRange" localSheetId="15">'RES_nb-NO'!$CZ$131</definedName>
    <definedName name="dbDiscrete_InRange" localSheetId="16">'RES_nl-NL'!$CZ$131</definedName>
    <definedName name="dbDiscrete_InRange" localSheetId="17">'RES_pl-PL'!$CZ$131</definedName>
    <definedName name="dbDiscrete_InRange" localSheetId="18">'RES_pt-BR'!$CZ$131</definedName>
    <definedName name="dbDiscrete_InRange" localSheetId="19">'RES_pt-PT'!$CZ$131</definedName>
    <definedName name="dbDiscrete_InRange" localSheetId="20">'RES_ro-RO'!$CZ$131</definedName>
    <definedName name="dbDiscrete_InRange" localSheetId="21">'RES_ru-RU'!$CZ$131</definedName>
    <definedName name="dbDiscrete_InRange" localSheetId="22">'RES_sl-SI'!$CZ$131</definedName>
    <definedName name="dbDiscrete_InRange" localSheetId="23">'RES_sv-SE'!$CZ$131</definedName>
    <definedName name="dbDiscrete_InRange" localSheetId="24">'RES_tr-TR'!$CZ$131</definedName>
    <definedName name="dbDiscrete_InRange" localSheetId="25">'RES_zh-CN'!$CZ$131</definedName>
    <definedName name="dbDiscrete_InRange" localSheetId="26">'RES_zh-TW'!$CZ$131</definedName>
    <definedName name="dbExponent" localSheetId="3">'RES_cs-CZ'!$BV$2:$CB$20</definedName>
    <definedName name="dbExponent" localSheetId="4">'RES_da-DK'!$BV$2:$CB$20</definedName>
    <definedName name="dbExponent" localSheetId="5">'RES_de-DE'!$BV$2:$CB$20</definedName>
    <definedName name="dbExponent" localSheetId="6">'RES_el-GR'!$BV$2:$CB$20</definedName>
    <definedName name="dbExponent" localSheetId="2">'RES_en-US'!$BV$2:$CB$20</definedName>
    <definedName name="dbExponent" localSheetId="7">'RES_es-ES'!$BV$2:$CB$20</definedName>
    <definedName name="dbExponent" localSheetId="8">'RES_fi-FI'!$BV$2:$CB$20</definedName>
    <definedName name="dbExponent" localSheetId="1">'RES_fr-FR'!$BV$2:$CB$20</definedName>
    <definedName name="dbExponent" localSheetId="9">'RES_hr-HR'!$BV$2:$CB$20</definedName>
    <definedName name="dbExponent" localSheetId="10">'RES_hu-HU'!$BV$2:$CB$20</definedName>
    <definedName name="dbExponent" localSheetId="11">'RES_it-IT'!$BV$2:$CB$20</definedName>
    <definedName name="dbExponent" localSheetId="12">'RES_ja-JP'!$BV$2:$CB$20</definedName>
    <definedName name="dbExponent" localSheetId="13">'RES_ko-KR'!$BV$2:$CB$20</definedName>
    <definedName name="dbExponent" localSheetId="14">'RES_lv-LV'!$BV$2:$CB$20</definedName>
    <definedName name="dbExponent" localSheetId="15">'RES_nb-NO'!$BV$2:$CB$20</definedName>
    <definedName name="dbExponent" localSheetId="16">'RES_nl-NL'!$BV$2:$CB$20</definedName>
    <definedName name="dbExponent" localSheetId="17">'RES_pl-PL'!$BV$2:$CB$20</definedName>
    <definedName name="dbExponent" localSheetId="18">'RES_pt-BR'!$BV$2:$CB$20</definedName>
    <definedName name="dbExponent" localSheetId="19">'RES_pt-PT'!$BV$2:$CB$20</definedName>
    <definedName name="dbExponent" localSheetId="20">'RES_ro-RO'!$BV$2:$CB$20</definedName>
    <definedName name="dbExponent" localSheetId="21">'RES_ru-RU'!$BV$2:$CB$20</definedName>
    <definedName name="dbExponent" localSheetId="22">'RES_sl-SI'!$BV$2:$CB$20</definedName>
    <definedName name="dbExponent" localSheetId="23">'RES_sv-SE'!$BV$2:$CB$20</definedName>
    <definedName name="dbExponent" localSheetId="24">'RES_tr-TR'!$BV$2:$CB$20</definedName>
    <definedName name="dbExponent" localSheetId="25">'RES_zh-CN'!$BV$2:$CB$20</definedName>
    <definedName name="dbExponent" localSheetId="26">'RES_zh-TW'!$BV$2:$CB$20</definedName>
    <definedName name="dbExponent_ChartChkBox" localSheetId="3">'RES_cs-CZ'!$CB$18</definedName>
    <definedName name="dbExponent_ChartChkBox" localSheetId="4">'RES_da-DK'!$CB$18</definedName>
    <definedName name="dbExponent_ChartChkBox" localSheetId="5">'RES_de-DE'!$CB$18</definedName>
    <definedName name="dbExponent_ChartChkBox" localSheetId="6">'RES_el-GR'!$CB$18</definedName>
    <definedName name="dbExponent_ChartChkBox" localSheetId="2">'RES_en-US'!$CB$18</definedName>
    <definedName name="dbExponent_ChartChkBox" localSheetId="7">'RES_es-ES'!$CB$18</definedName>
    <definedName name="dbExponent_ChartChkBox" localSheetId="8">'RES_fi-FI'!$CB$18</definedName>
    <definedName name="dbExponent_ChartChkBox" localSheetId="1">'RES_fr-FR'!$CB$18</definedName>
    <definedName name="dbExponent_ChartChkBox" localSheetId="9">'RES_hr-HR'!$CB$18</definedName>
    <definedName name="dbExponent_ChartChkBox" localSheetId="10">'RES_hu-HU'!$CB$18</definedName>
    <definedName name="dbExponent_ChartChkBox" localSheetId="11">'RES_it-IT'!$CB$18</definedName>
    <definedName name="dbExponent_ChartChkBox" localSheetId="12">'RES_ja-JP'!$CB$18</definedName>
    <definedName name="dbExponent_ChartChkBox" localSheetId="13">'RES_ko-KR'!$CB$18</definedName>
    <definedName name="dbExponent_ChartChkBox" localSheetId="14">'RES_lv-LV'!$CB$18</definedName>
    <definedName name="dbExponent_ChartChkBox" localSheetId="15">'RES_nb-NO'!$CB$18</definedName>
    <definedName name="dbExponent_ChartChkBox" localSheetId="16">'RES_nl-NL'!$CB$18</definedName>
    <definedName name="dbExponent_ChartChkBox" localSheetId="17">'RES_pl-PL'!$CB$18</definedName>
    <definedName name="dbExponent_ChartChkBox" localSheetId="18">'RES_pt-BR'!$CB$18</definedName>
    <definedName name="dbExponent_ChartChkBox" localSheetId="19">'RES_pt-PT'!$CB$18</definedName>
    <definedName name="dbExponent_ChartChkBox" localSheetId="20">'RES_ro-RO'!$CB$18</definedName>
    <definedName name="dbExponent_ChartChkBox" localSheetId="21">'RES_ru-RU'!$CB$18</definedName>
    <definedName name="dbExponent_ChartChkBox" localSheetId="22">'RES_sl-SI'!$CB$18</definedName>
    <definedName name="dbExponent_ChartChkBox" localSheetId="23">'RES_sv-SE'!$CB$18</definedName>
    <definedName name="dbExponent_ChartChkBox" localSheetId="24">'RES_tr-TR'!$CB$18</definedName>
    <definedName name="dbExponent_ChartChkBox" localSheetId="25">'RES_zh-CN'!$CB$18</definedName>
    <definedName name="dbExponent_ChartChkBox" localSheetId="26">'RES_zh-TW'!$CB$18</definedName>
    <definedName name="dbExponent_DampingFact" localSheetId="3">'RES_cs-CZ'!$CB$9</definedName>
    <definedName name="dbExponent_DampingFact" localSheetId="4">'RES_da-DK'!$CB$9</definedName>
    <definedName name="dbExponent_DampingFact" localSheetId="5">'RES_de-DE'!$CB$9</definedName>
    <definedName name="dbExponent_DampingFact" localSheetId="6">'RES_el-GR'!$CB$9</definedName>
    <definedName name="dbExponent_DampingFact" localSheetId="2">'RES_en-US'!$CB$9</definedName>
    <definedName name="dbExponent_DampingFact" localSheetId="7">'RES_es-ES'!$CB$9</definedName>
    <definedName name="dbExponent_DampingFact" localSheetId="8">'RES_fi-FI'!$CB$9</definedName>
    <definedName name="dbExponent_DampingFact" localSheetId="1">'RES_fr-FR'!$CB$9</definedName>
    <definedName name="dbExponent_DampingFact" localSheetId="9">'RES_hr-HR'!$CB$9</definedName>
    <definedName name="dbExponent_DampingFact" localSheetId="10">'RES_hu-HU'!$CB$9</definedName>
    <definedName name="dbExponent_DampingFact" localSheetId="11">'RES_it-IT'!$CB$9</definedName>
    <definedName name="dbExponent_DampingFact" localSheetId="12">'RES_ja-JP'!$CB$9</definedName>
    <definedName name="dbExponent_DampingFact" localSheetId="13">'RES_ko-KR'!$CB$9</definedName>
    <definedName name="dbExponent_DampingFact" localSheetId="14">'RES_lv-LV'!$CB$9</definedName>
    <definedName name="dbExponent_DampingFact" localSheetId="15">'RES_nb-NO'!$CB$9</definedName>
    <definedName name="dbExponent_DampingFact" localSheetId="16">'RES_nl-NL'!$CB$9</definedName>
    <definedName name="dbExponent_DampingFact" localSheetId="17">'RES_pl-PL'!$CB$9</definedName>
    <definedName name="dbExponent_DampingFact" localSheetId="18">'RES_pt-BR'!$CB$9</definedName>
    <definedName name="dbExponent_DampingFact" localSheetId="19">'RES_pt-PT'!$CB$9</definedName>
    <definedName name="dbExponent_DampingFact" localSheetId="20">'RES_ro-RO'!$CB$9</definedName>
    <definedName name="dbExponent_DampingFact" localSheetId="21">'RES_ru-RU'!$CB$9</definedName>
    <definedName name="dbExponent_DampingFact" localSheetId="22">'RES_sl-SI'!$CB$9</definedName>
    <definedName name="dbExponent_DampingFact" localSheetId="23">'RES_sv-SE'!$CB$9</definedName>
    <definedName name="dbExponent_DampingFact" localSheetId="24">'RES_tr-TR'!$CB$9</definedName>
    <definedName name="dbExponent_DampingFact" localSheetId="25">'RES_zh-CN'!$CB$9</definedName>
    <definedName name="dbExponent_DampingFact" localSheetId="26">'RES_zh-TW'!$CB$9</definedName>
    <definedName name="dbExponent_InRange" localSheetId="3">'RES_cs-CZ'!$CB$7</definedName>
    <definedName name="dbExponent_InRange" localSheetId="4">'RES_da-DK'!$CB$7</definedName>
    <definedName name="dbExponent_InRange" localSheetId="5">'RES_de-DE'!$CB$7</definedName>
    <definedName name="dbExponent_InRange" localSheetId="6">'RES_el-GR'!$CB$7</definedName>
    <definedName name="dbExponent_InRange" localSheetId="2">'RES_en-US'!$CB$7</definedName>
    <definedName name="dbExponent_InRange" localSheetId="7">'RES_es-ES'!$CB$7</definedName>
    <definedName name="dbExponent_InRange" localSheetId="8">'RES_fi-FI'!$CB$7</definedName>
    <definedName name="dbExponent_InRange" localSheetId="1">'RES_fr-FR'!$CB$7</definedName>
    <definedName name="dbExponent_InRange" localSheetId="9">'RES_hr-HR'!$CB$7</definedName>
    <definedName name="dbExponent_InRange" localSheetId="10">'RES_hu-HU'!$CB$7</definedName>
    <definedName name="dbExponent_InRange" localSheetId="11">'RES_it-IT'!$CB$7</definedName>
    <definedName name="dbExponent_InRange" localSheetId="12">'RES_ja-JP'!$CB$7</definedName>
    <definedName name="dbExponent_InRange" localSheetId="13">'RES_ko-KR'!$CB$7</definedName>
    <definedName name="dbExponent_InRange" localSheetId="14">'RES_lv-LV'!$CB$7</definedName>
    <definedName name="dbExponent_InRange" localSheetId="15">'RES_nb-NO'!$CB$7</definedName>
    <definedName name="dbExponent_InRange" localSheetId="16">'RES_nl-NL'!$CB$7</definedName>
    <definedName name="dbExponent_InRange" localSheetId="17">'RES_pl-PL'!$CB$7</definedName>
    <definedName name="dbExponent_InRange" localSheetId="18">'RES_pt-BR'!$CB$7</definedName>
    <definedName name="dbExponent_InRange" localSheetId="19">'RES_pt-PT'!$CB$7</definedName>
    <definedName name="dbExponent_InRange" localSheetId="20">'RES_ro-RO'!$CB$7</definedName>
    <definedName name="dbExponent_InRange" localSheetId="21">'RES_ru-RU'!$CB$7</definedName>
    <definedName name="dbExponent_InRange" localSheetId="22">'RES_sl-SI'!$CB$7</definedName>
    <definedName name="dbExponent_InRange" localSheetId="23">'RES_sv-SE'!$CB$7</definedName>
    <definedName name="dbExponent_InRange" localSheetId="24">'RES_tr-TR'!$CB$7</definedName>
    <definedName name="dbExponent_InRange" localSheetId="25">'RES_zh-CN'!$CB$7</definedName>
    <definedName name="dbExponent_InRange" localSheetId="26">'RES_zh-TW'!$CB$7</definedName>
    <definedName name="dbExponent_LabelText" localSheetId="3">'RES_cs-CZ'!$CA$10</definedName>
    <definedName name="dbExponent_LabelText" localSheetId="4">'RES_da-DK'!$CA$10</definedName>
    <definedName name="dbExponent_LabelText" localSheetId="5">'RES_de-DE'!$CA$10</definedName>
    <definedName name="dbExponent_LabelText" localSheetId="6">'RES_el-GR'!$CA$10</definedName>
    <definedName name="dbExponent_LabelText" localSheetId="2">'RES_en-US'!$CA$10</definedName>
    <definedName name="dbExponent_LabelText" localSheetId="7">'RES_es-ES'!$CA$10</definedName>
    <definedName name="dbExponent_LabelText" localSheetId="8">'RES_fi-FI'!$CA$10</definedName>
    <definedName name="dbExponent_LabelText" localSheetId="1">'RES_fr-FR'!$CA$10</definedName>
    <definedName name="dbExponent_LabelText" localSheetId="9">'RES_hr-HR'!$CA$10</definedName>
    <definedName name="dbExponent_LabelText" localSheetId="10">'RES_hu-HU'!$CA$10</definedName>
    <definedName name="dbExponent_LabelText" localSheetId="11">'RES_it-IT'!$CA$10</definedName>
    <definedName name="dbExponent_LabelText" localSheetId="12">'RES_ja-JP'!$CA$10</definedName>
    <definedName name="dbExponent_LabelText" localSheetId="13">'RES_ko-KR'!$CA$10</definedName>
    <definedName name="dbExponent_LabelText" localSheetId="14">'RES_lv-LV'!$CA$10</definedName>
    <definedName name="dbExponent_LabelText" localSheetId="15">'RES_nb-NO'!$CA$10</definedName>
    <definedName name="dbExponent_LabelText" localSheetId="16">'RES_nl-NL'!$CA$10</definedName>
    <definedName name="dbExponent_LabelText" localSheetId="17">'RES_pl-PL'!$CA$10</definedName>
    <definedName name="dbExponent_LabelText" localSheetId="18">'RES_pt-BR'!$CA$10</definedName>
    <definedName name="dbExponent_LabelText" localSheetId="19">'RES_pt-PT'!$CA$10</definedName>
    <definedName name="dbExponent_LabelText" localSheetId="20">'RES_ro-RO'!$CA$10</definedName>
    <definedName name="dbExponent_LabelText" localSheetId="21">'RES_ru-RU'!$CA$10</definedName>
    <definedName name="dbExponent_LabelText" localSheetId="22">'RES_sl-SI'!$CA$10</definedName>
    <definedName name="dbExponent_LabelText" localSheetId="23">'RES_sv-SE'!$CA$10</definedName>
    <definedName name="dbExponent_LabelText" localSheetId="24">'RES_tr-TR'!$CA$10</definedName>
    <definedName name="dbExponent_LabelText" localSheetId="25">'RES_zh-CN'!$CA$10</definedName>
    <definedName name="dbExponent_LabelText" localSheetId="26">'RES_zh-TW'!$CA$10</definedName>
    <definedName name="dbExponent_LblChkBox" localSheetId="3">'RES_cs-CZ'!$CB$10</definedName>
    <definedName name="dbExponent_LblChkBox" localSheetId="4">'RES_da-DK'!$CB$10</definedName>
    <definedName name="dbExponent_LblChkBox" localSheetId="5">'RES_de-DE'!$CB$10</definedName>
    <definedName name="dbExponent_LblChkBox" localSheetId="6">'RES_el-GR'!$CB$10</definedName>
    <definedName name="dbExponent_LblChkBox" localSheetId="2">'RES_en-US'!$CB$10</definedName>
    <definedName name="dbExponent_LblChkBox" localSheetId="7">'RES_es-ES'!$CB$10</definedName>
    <definedName name="dbExponent_LblChkBox" localSheetId="8">'RES_fi-FI'!$CB$10</definedName>
    <definedName name="dbExponent_LblChkBox" localSheetId="1">'RES_fr-FR'!$CB$10</definedName>
    <definedName name="dbExponent_LblChkBox" localSheetId="9">'RES_hr-HR'!$CB$10</definedName>
    <definedName name="dbExponent_LblChkBox" localSheetId="10">'RES_hu-HU'!$CB$10</definedName>
    <definedName name="dbExponent_LblChkBox" localSheetId="11">'RES_it-IT'!$CB$10</definedName>
    <definedName name="dbExponent_LblChkBox" localSheetId="12">'RES_ja-JP'!$CB$10</definedName>
    <definedName name="dbExponent_LblChkBox" localSheetId="13">'RES_ko-KR'!$CB$10</definedName>
    <definedName name="dbExponent_LblChkBox" localSheetId="14">'RES_lv-LV'!$CB$10</definedName>
    <definedName name="dbExponent_LblChkBox" localSheetId="15">'RES_nb-NO'!$CB$10</definedName>
    <definedName name="dbExponent_LblChkBox" localSheetId="16">'RES_nl-NL'!$CB$10</definedName>
    <definedName name="dbExponent_LblChkBox" localSheetId="17">'RES_pl-PL'!$CB$10</definedName>
    <definedName name="dbExponent_LblChkBox" localSheetId="18">'RES_pt-BR'!$CB$10</definedName>
    <definedName name="dbExponent_LblChkBox" localSheetId="19">'RES_pt-PT'!$CB$10</definedName>
    <definedName name="dbExponent_LblChkBox" localSheetId="20">'RES_ro-RO'!$CB$10</definedName>
    <definedName name="dbExponent_LblChkBox" localSheetId="21">'RES_ru-RU'!$CB$10</definedName>
    <definedName name="dbExponent_LblChkBox" localSheetId="22">'RES_sl-SI'!$CB$10</definedName>
    <definedName name="dbExponent_LblChkBox" localSheetId="23">'RES_sv-SE'!$CB$10</definedName>
    <definedName name="dbExponent_LblChkBox" localSheetId="24">'RES_tr-TR'!$CB$10</definedName>
    <definedName name="dbExponent_LblChkBox" localSheetId="25">'RES_zh-CN'!$CB$10</definedName>
    <definedName name="dbExponent_LblChkBox" localSheetId="26">'RES_zh-TW'!$CB$10</definedName>
    <definedName name="dbExponent_OutOption" localSheetId="3">'RES_cs-CZ'!$CB$12</definedName>
    <definedName name="dbExponent_OutOption" localSheetId="4">'RES_da-DK'!$CB$12</definedName>
    <definedName name="dbExponent_OutOption" localSheetId="5">'RES_de-DE'!$CB$12</definedName>
    <definedName name="dbExponent_OutOption" localSheetId="6">'RES_el-GR'!$CB$12</definedName>
    <definedName name="dbExponent_OutOption" localSheetId="2">'RES_en-US'!$CB$12</definedName>
    <definedName name="dbExponent_OutOption" localSheetId="7">'RES_es-ES'!$CB$12</definedName>
    <definedName name="dbExponent_OutOption" localSheetId="8">'RES_fi-FI'!$CB$12</definedName>
    <definedName name="dbExponent_OutOption" localSheetId="1">'RES_fr-FR'!$CB$12</definedName>
    <definedName name="dbExponent_OutOption" localSheetId="9">'RES_hr-HR'!$CB$12</definedName>
    <definedName name="dbExponent_OutOption" localSheetId="10">'RES_hu-HU'!$CB$12</definedName>
    <definedName name="dbExponent_OutOption" localSheetId="11">'RES_it-IT'!$CB$12</definedName>
    <definedName name="dbExponent_OutOption" localSheetId="12">'RES_ja-JP'!$CB$12</definedName>
    <definedName name="dbExponent_OutOption" localSheetId="13">'RES_ko-KR'!$CB$12</definedName>
    <definedName name="dbExponent_OutOption" localSheetId="14">'RES_lv-LV'!$CB$12</definedName>
    <definedName name="dbExponent_OutOption" localSheetId="15">'RES_nb-NO'!$CB$12</definedName>
    <definedName name="dbExponent_OutOption" localSheetId="16">'RES_nl-NL'!$CB$12</definedName>
    <definedName name="dbExponent_OutOption" localSheetId="17">'RES_pl-PL'!$CB$12</definedName>
    <definedName name="dbExponent_OutOption" localSheetId="18">'RES_pt-BR'!$CB$12</definedName>
    <definedName name="dbExponent_OutOption" localSheetId="19">'RES_pt-PT'!$CB$12</definedName>
    <definedName name="dbExponent_OutOption" localSheetId="20">'RES_ro-RO'!$CB$12</definedName>
    <definedName name="dbExponent_OutOption" localSheetId="21">'RES_ru-RU'!$CB$12</definedName>
    <definedName name="dbExponent_OutOption" localSheetId="22">'RES_sl-SI'!$CB$12</definedName>
    <definedName name="dbExponent_OutOption" localSheetId="23">'RES_sv-SE'!$CB$12</definedName>
    <definedName name="dbExponent_OutOption" localSheetId="24">'RES_tr-TR'!$CB$12</definedName>
    <definedName name="dbExponent_OutOption" localSheetId="25">'RES_zh-CN'!$CB$12</definedName>
    <definedName name="dbExponent_OutOption" localSheetId="26">'RES_zh-TW'!$CB$12</definedName>
    <definedName name="dbExponent_PlyInpFld" localSheetId="3">'RES_cs-CZ'!$BV$16</definedName>
    <definedName name="dbExponent_PlyInpFld" localSheetId="4">'RES_da-DK'!$BV$16</definedName>
    <definedName name="dbExponent_PlyInpFld" localSheetId="5">'RES_de-DE'!$BV$16</definedName>
    <definedName name="dbExponent_PlyInpFld" localSheetId="6">'RES_el-GR'!$BV$16</definedName>
    <definedName name="dbExponent_PlyInpFld" localSheetId="2">'RES_en-US'!$BV$16</definedName>
    <definedName name="dbExponent_PlyInpFld" localSheetId="7">'RES_es-ES'!$BV$16</definedName>
    <definedName name="dbExponent_PlyInpFld" localSheetId="8">'RES_fi-FI'!$BV$16</definedName>
    <definedName name="dbExponent_PlyInpFld" localSheetId="1">'RES_fr-FR'!$BV$16</definedName>
    <definedName name="dbExponent_PlyInpFld" localSheetId="9">'RES_hr-HR'!$BV$16</definedName>
    <definedName name="dbExponent_PlyInpFld" localSheetId="10">'RES_hu-HU'!$BV$16</definedName>
    <definedName name="dbExponent_PlyInpFld" localSheetId="11">'RES_it-IT'!$BV$16</definedName>
    <definedName name="dbExponent_PlyInpFld" localSheetId="12">'RES_ja-JP'!$BV$16</definedName>
    <definedName name="dbExponent_PlyInpFld" localSheetId="13">'RES_ko-KR'!$BV$16</definedName>
    <definedName name="dbExponent_PlyInpFld" localSheetId="14">'RES_lv-LV'!$BV$16</definedName>
    <definedName name="dbExponent_PlyInpFld" localSheetId="15">'RES_nb-NO'!$BV$16</definedName>
    <definedName name="dbExponent_PlyInpFld" localSheetId="16">'RES_nl-NL'!$BV$16</definedName>
    <definedName name="dbExponent_PlyInpFld" localSheetId="17">'RES_pl-PL'!$BV$16</definedName>
    <definedName name="dbExponent_PlyInpFld" localSheetId="18">'RES_pt-BR'!$BV$16</definedName>
    <definedName name="dbExponent_PlyInpFld" localSheetId="19">'RES_pt-PT'!$BV$16</definedName>
    <definedName name="dbExponent_PlyInpFld" localSheetId="20">'RES_ro-RO'!$BV$16</definedName>
    <definedName name="dbExponent_PlyInpFld" localSheetId="21">'RES_ru-RU'!$BV$16</definedName>
    <definedName name="dbExponent_PlyInpFld" localSheetId="22">'RES_sl-SI'!$BV$16</definedName>
    <definedName name="dbExponent_PlyInpFld" localSheetId="23">'RES_sv-SE'!$BV$16</definedName>
    <definedName name="dbExponent_PlyInpFld" localSheetId="24">'RES_tr-TR'!$BV$16</definedName>
    <definedName name="dbExponent_PlyInpFld" localSheetId="25">'RES_zh-CN'!$BV$16</definedName>
    <definedName name="dbExponent_PlyInpFld" localSheetId="26">'RES_zh-TW'!$BV$16</definedName>
    <definedName name="dbExponent_PlyName" localSheetId="3">'RES_cs-CZ'!$CB$16</definedName>
    <definedName name="dbExponent_PlyName" localSheetId="4">'RES_da-DK'!$CB$16</definedName>
    <definedName name="dbExponent_PlyName" localSheetId="5">'RES_de-DE'!$CB$16</definedName>
    <definedName name="dbExponent_PlyName" localSheetId="6">'RES_el-GR'!$CB$16</definedName>
    <definedName name="dbExponent_PlyName" localSheetId="2">'RES_en-US'!$CB$16</definedName>
    <definedName name="dbExponent_PlyName" localSheetId="7">'RES_es-ES'!$CB$16</definedName>
    <definedName name="dbExponent_PlyName" localSheetId="8">'RES_fi-FI'!$CB$16</definedName>
    <definedName name="dbExponent_PlyName" localSheetId="1">'RES_fr-FR'!$CB$16</definedName>
    <definedName name="dbExponent_PlyName" localSheetId="9">'RES_hr-HR'!$CB$16</definedName>
    <definedName name="dbExponent_PlyName" localSheetId="10">'RES_hu-HU'!$CB$16</definedName>
    <definedName name="dbExponent_PlyName" localSheetId="11">'RES_it-IT'!$CB$16</definedName>
    <definedName name="dbExponent_PlyName" localSheetId="12">'RES_ja-JP'!$CB$16</definedName>
    <definedName name="dbExponent_PlyName" localSheetId="13">'RES_ko-KR'!$CB$16</definedName>
    <definedName name="dbExponent_PlyName" localSheetId="14">'RES_lv-LV'!$CB$16</definedName>
    <definedName name="dbExponent_PlyName" localSheetId="15">'RES_nb-NO'!$CB$16</definedName>
    <definedName name="dbExponent_PlyName" localSheetId="16">'RES_nl-NL'!$CB$16</definedName>
    <definedName name="dbExponent_PlyName" localSheetId="17">'RES_pl-PL'!$CB$16</definedName>
    <definedName name="dbExponent_PlyName" localSheetId="18">'RES_pt-BR'!$CB$16</definedName>
    <definedName name="dbExponent_PlyName" localSheetId="19">'RES_pt-PT'!$CB$16</definedName>
    <definedName name="dbExponent_PlyName" localSheetId="20">'RES_ro-RO'!$CB$16</definedName>
    <definedName name="dbExponent_PlyName" localSheetId="21">'RES_ru-RU'!$CB$16</definedName>
    <definedName name="dbExponent_PlyName" localSheetId="22">'RES_sl-SI'!$CB$16</definedName>
    <definedName name="dbExponent_PlyName" localSheetId="23">'RES_sv-SE'!$CB$16</definedName>
    <definedName name="dbExponent_PlyName" localSheetId="24">'RES_tr-TR'!$CB$16</definedName>
    <definedName name="dbExponent_PlyName" localSheetId="25">'RES_zh-CN'!$CB$16</definedName>
    <definedName name="dbExponent_PlyName" localSheetId="26">'RES_zh-TW'!$CB$16</definedName>
    <definedName name="dbExponent_RangeInpFld" localSheetId="3">'RES_cs-CZ'!$BV$14</definedName>
    <definedName name="dbExponent_RangeInpFld" localSheetId="4">'RES_da-DK'!$BV$14</definedName>
    <definedName name="dbExponent_RangeInpFld" localSheetId="5">'RES_de-DE'!$BV$14</definedName>
    <definedName name="dbExponent_RangeInpFld" localSheetId="6">'RES_el-GR'!$BV$14</definedName>
    <definedName name="dbExponent_RangeInpFld" localSheetId="2">'RES_en-US'!$BV$14</definedName>
    <definedName name="dbExponent_RangeInpFld" localSheetId="7">'RES_es-ES'!$BV$14</definedName>
    <definedName name="dbExponent_RangeInpFld" localSheetId="8">'RES_fi-FI'!$BV$14</definedName>
    <definedName name="dbExponent_RangeInpFld" localSheetId="1">'RES_fr-FR'!$BV$14</definedName>
    <definedName name="dbExponent_RangeInpFld" localSheetId="9">'RES_hr-HR'!$BV$14</definedName>
    <definedName name="dbExponent_RangeInpFld" localSheetId="10">'RES_hu-HU'!$BV$14</definedName>
    <definedName name="dbExponent_RangeInpFld" localSheetId="11">'RES_it-IT'!$BV$14</definedName>
    <definedName name="dbExponent_RangeInpFld" localSheetId="12">'RES_ja-JP'!$BV$14</definedName>
    <definedName name="dbExponent_RangeInpFld" localSheetId="13">'RES_ko-KR'!$BV$14</definedName>
    <definedName name="dbExponent_RangeInpFld" localSheetId="14">'RES_lv-LV'!$BV$14</definedName>
    <definedName name="dbExponent_RangeInpFld" localSheetId="15">'RES_nb-NO'!$BV$14</definedName>
    <definedName name="dbExponent_RangeInpFld" localSheetId="16">'RES_nl-NL'!$BV$14</definedName>
    <definedName name="dbExponent_RangeInpFld" localSheetId="17">'RES_pl-PL'!$BV$14</definedName>
    <definedName name="dbExponent_RangeInpFld" localSheetId="18">'RES_pt-BR'!$BV$14</definedName>
    <definedName name="dbExponent_RangeInpFld" localSheetId="19">'RES_pt-PT'!$BV$14</definedName>
    <definedName name="dbExponent_RangeInpFld" localSheetId="20">'RES_ro-RO'!$BV$14</definedName>
    <definedName name="dbExponent_RangeInpFld" localSheetId="21">'RES_ru-RU'!$BV$14</definedName>
    <definedName name="dbExponent_RangeInpFld" localSheetId="22">'RES_sl-SI'!$BV$14</definedName>
    <definedName name="dbExponent_RangeInpFld" localSheetId="23">'RES_sv-SE'!$BV$14</definedName>
    <definedName name="dbExponent_RangeInpFld" localSheetId="24">'RES_tr-TR'!$BV$14</definedName>
    <definedName name="dbExponent_RangeInpFld" localSheetId="25">'RES_zh-CN'!$BV$14</definedName>
    <definedName name="dbExponent_RangeInpFld" localSheetId="26">'RES_zh-TW'!$BV$14</definedName>
    <definedName name="dbExponent_RangeRef" localSheetId="3">'RES_cs-CZ'!$CB$14</definedName>
    <definedName name="dbExponent_RangeRef" localSheetId="4">'RES_da-DK'!$CB$14</definedName>
    <definedName name="dbExponent_RangeRef" localSheetId="5">'RES_de-DE'!$CB$14</definedName>
    <definedName name="dbExponent_RangeRef" localSheetId="6">'RES_el-GR'!$CB$14</definedName>
    <definedName name="dbExponent_RangeRef" localSheetId="2">'RES_en-US'!$CB$14</definedName>
    <definedName name="dbExponent_RangeRef" localSheetId="7">'RES_es-ES'!$CB$14</definedName>
    <definedName name="dbExponent_RangeRef" localSheetId="8">'RES_fi-FI'!$CB$14</definedName>
    <definedName name="dbExponent_RangeRef" localSheetId="1">'RES_fr-FR'!$CB$14</definedName>
    <definedName name="dbExponent_RangeRef" localSheetId="9">'RES_hr-HR'!$CB$14</definedName>
    <definedName name="dbExponent_RangeRef" localSheetId="10">'RES_hu-HU'!$CB$14</definedName>
    <definedName name="dbExponent_RangeRef" localSheetId="11">'RES_it-IT'!$CB$14</definedName>
    <definedName name="dbExponent_RangeRef" localSheetId="12">'RES_ja-JP'!$CB$14</definedName>
    <definedName name="dbExponent_RangeRef" localSheetId="13">'RES_ko-KR'!$CB$14</definedName>
    <definedName name="dbExponent_RangeRef" localSheetId="14">'RES_lv-LV'!$CB$14</definedName>
    <definedName name="dbExponent_RangeRef" localSheetId="15">'RES_nb-NO'!$CB$14</definedName>
    <definedName name="dbExponent_RangeRef" localSheetId="16">'RES_nl-NL'!$CB$14</definedName>
    <definedName name="dbExponent_RangeRef" localSheetId="17">'RES_pl-PL'!$CB$14</definedName>
    <definedName name="dbExponent_RangeRef" localSheetId="18">'RES_pt-BR'!$CB$14</definedName>
    <definedName name="dbExponent_RangeRef" localSheetId="19">'RES_pt-PT'!$CB$14</definedName>
    <definedName name="dbExponent_RangeRef" localSheetId="20">'RES_ro-RO'!$CB$14</definedName>
    <definedName name="dbExponent_RangeRef" localSheetId="21">'RES_ru-RU'!$CB$14</definedName>
    <definedName name="dbExponent_RangeRef" localSheetId="22">'RES_sl-SI'!$CB$14</definedName>
    <definedName name="dbExponent_RangeRef" localSheetId="23">'RES_sv-SE'!$CB$14</definedName>
    <definedName name="dbExponent_RangeRef" localSheetId="24">'RES_tr-TR'!$CB$14</definedName>
    <definedName name="dbExponent_RangeRef" localSheetId="25">'RES_zh-CN'!$CB$14</definedName>
    <definedName name="dbExponent_RangeRef" localSheetId="26">'RES_zh-TW'!$CB$14</definedName>
    <definedName name="dbExponent_StderrChkBox" localSheetId="3">'RES_cs-CZ'!$CB$19</definedName>
    <definedName name="dbExponent_StderrChkBox" localSheetId="4">'RES_da-DK'!$CB$19</definedName>
    <definedName name="dbExponent_StderrChkBox" localSheetId="5">'RES_de-DE'!$CB$19</definedName>
    <definedName name="dbExponent_StderrChkBox" localSheetId="6">'RES_el-GR'!$CB$19</definedName>
    <definedName name="dbExponent_StderrChkBox" localSheetId="2">'RES_en-US'!$CB$19</definedName>
    <definedName name="dbExponent_StderrChkBox" localSheetId="7">'RES_es-ES'!$CB$19</definedName>
    <definedName name="dbExponent_StderrChkBox" localSheetId="8">'RES_fi-FI'!$CB$19</definedName>
    <definedName name="dbExponent_StderrChkBox" localSheetId="1">'RES_fr-FR'!$CB$19</definedName>
    <definedName name="dbExponent_StderrChkBox" localSheetId="9">'RES_hr-HR'!$CB$19</definedName>
    <definedName name="dbExponent_StderrChkBox" localSheetId="10">'RES_hu-HU'!$CB$19</definedName>
    <definedName name="dbExponent_StderrChkBox" localSheetId="11">'RES_it-IT'!$CB$19</definedName>
    <definedName name="dbExponent_StderrChkBox" localSheetId="12">'RES_ja-JP'!$CB$19</definedName>
    <definedName name="dbExponent_StderrChkBox" localSheetId="13">'RES_ko-KR'!$CB$19</definedName>
    <definedName name="dbExponent_StderrChkBox" localSheetId="14">'RES_lv-LV'!$CB$19</definedName>
    <definedName name="dbExponent_StderrChkBox" localSheetId="15">'RES_nb-NO'!$CB$19</definedName>
    <definedName name="dbExponent_StderrChkBox" localSheetId="16">'RES_nl-NL'!$CB$19</definedName>
    <definedName name="dbExponent_StderrChkBox" localSheetId="17">'RES_pl-PL'!$CB$19</definedName>
    <definedName name="dbExponent_StderrChkBox" localSheetId="18">'RES_pt-BR'!$CB$19</definedName>
    <definedName name="dbExponent_StderrChkBox" localSheetId="19">'RES_pt-PT'!$CB$19</definedName>
    <definedName name="dbExponent_StderrChkBox" localSheetId="20">'RES_ro-RO'!$CB$19</definedName>
    <definedName name="dbExponent_StderrChkBox" localSheetId="21">'RES_ru-RU'!$CB$19</definedName>
    <definedName name="dbExponent_StderrChkBox" localSheetId="22">'RES_sl-SI'!$CB$19</definedName>
    <definedName name="dbExponent_StderrChkBox" localSheetId="23">'RES_sv-SE'!$CB$19</definedName>
    <definedName name="dbExponent_StderrChkBox" localSheetId="24">'RES_tr-TR'!$CB$19</definedName>
    <definedName name="dbExponent_StderrChkBox" localSheetId="25">'RES_zh-CN'!$CB$19</definedName>
    <definedName name="dbExponent_StderrChkBox" localSheetId="26">'RES_zh-TW'!$CB$19</definedName>
    <definedName name="dbExponentTitle" localSheetId="3">'RES_cs-CZ'!$CA$2</definedName>
    <definedName name="dbExponentTitle" localSheetId="4">'RES_da-DK'!$CA$2</definedName>
    <definedName name="dbExponentTitle" localSheetId="5">'RES_de-DE'!$CA$2</definedName>
    <definedName name="dbExponentTitle" localSheetId="6">'RES_el-GR'!$CA$2</definedName>
    <definedName name="dbExponentTitle" localSheetId="2">'RES_en-US'!$CA$2</definedName>
    <definedName name="dbExponentTitle" localSheetId="7">'RES_es-ES'!$CA$2</definedName>
    <definedName name="dbExponentTitle" localSheetId="8">'RES_fi-FI'!$CA$2</definedName>
    <definedName name="dbExponentTitle" localSheetId="1">'RES_fr-FR'!$CA$2</definedName>
    <definedName name="dbExponentTitle" localSheetId="9">'RES_hr-HR'!$CA$2</definedName>
    <definedName name="dbExponentTitle" localSheetId="10">'RES_hu-HU'!$CA$2</definedName>
    <definedName name="dbExponentTitle" localSheetId="11">'RES_it-IT'!$CA$2</definedName>
    <definedName name="dbExponentTitle" localSheetId="12">'RES_ja-JP'!$CA$2</definedName>
    <definedName name="dbExponentTitle" localSheetId="13">'RES_ko-KR'!$CA$2</definedName>
    <definedName name="dbExponentTitle" localSheetId="14">'RES_lv-LV'!$CA$2</definedName>
    <definedName name="dbExponentTitle" localSheetId="15">'RES_nb-NO'!$CA$2</definedName>
    <definedName name="dbExponentTitle" localSheetId="16">'RES_nl-NL'!$CA$2</definedName>
    <definedName name="dbExponentTitle" localSheetId="17">'RES_pl-PL'!$CA$2</definedName>
    <definedName name="dbExponentTitle" localSheetId="18">'RES_pt-BR'!$CA$2</definedName>
    <definedName name="dbExponentTitle" localSheetId="19">'RES_pt-PT'!$CA$2</definedName>
    <definedName name="dbExponentTitle" localSheetId="20">'RES_ro-RO'!$CA$2</definedName>
    <definedName name="dbExponentTitle" localSheetId="21">'RES_ru-RU'!$CA$2</definedName>
    <definedName name="dbExponentTitle" localSheetId="22">'RES_sl-SI'!$CA$2</definedName>
    <definedName name="dbExponentTitle" localSheetId="23">'RES_sv-SE'!$CA$2</definedName>
    <definedName name="dbExponentTitle" localSheetId="24">'RES_tr-TR'!$CA$2</definedName>
    <definedName name="dbExponentTitle" localSheetId="25">'RES_zh-CN'!$CA$2</definedName>
    <definedName name="dbExponentTitle" localSheetId="26">'RES_zh-TW'!$CA$2</definedName>
    <definedName name="dbFourier" localSheetId="3">'RES_cs-CZ'!$BF$67:$BL$82</definedName>
    <definedName name="dbFourier" localSheetId="4">'RES_da-DK'!$BF$67:$BL$82</definedName>
    <definedName name="dbFourier" localSheetId="5">'RES_de-DE'!$BF$67:$BL$82</definedName>
    <definedName name="dbFourier" localSheetId="6">'RES_el-GR'!$BF$67:$BL$82</definedName>
    <definedName name="dbFourier" localSheetId="2">'RES_en-US'!$BF$67:$BL$82</definedName>
    <definedName name="dbFourier" localSheetId="7">'RES_es-ES'!$BF$67:$BL$82</definedName>
    <definedName name="dbFourier" localSheetId="8">'RES_fi-FI'!$BF$67:$BL$82</definedName>
    <definedName name="dbFourier" localSheetId="1">'RES_fr-FR'!$BF$67:$BL$82</definedName>
    <definedName name="dbFourier" localSheetId="9">'RES_hr-HR'!$BF$67:$BL$82</definedName>
    <definedName name="dbFourier" localSheetId="10">'RES_hu-HU'!$BF$67:$BL$82</definedName>
    <definedName name="dbFourier" localSheetId="11">'RES_it-IT'!$BF$67:$BL$82</definedName>
    <definedName name="dbFourier" localSheetId="12">'RES_ja-JP'!$BF$67:$BL$82</definedName>
    <definedName name="dbFourier" localSheetId="13">'RES_ko-KR'!$BF$67:$BL$82</definedName>
    <definedName name="dbFourier" localSheetId="14">'RES_lv-LV'!$BF$67:$BL$82</definedName>
    <definedName name="dbFourier" localSheetId="15">'RES_nb-NO'!$BF$67:$BL$82</definedName>
    <definedName name="dbFourier" localSheetId="16">'RES_nl-NL'!$BF$67:$BL$82</definedName>
    <definedName name="dbFourier" localSheetId="17">'RES_pl-PL'!$BF$67:$BL$82</definedName>
    <definedName name="dbFourier" localSheetId="18">'RES_pt-BR'!$BF$67:$BL$82</definedName>
    <definedName name="dbFourier" localSheetId="19">'RES_pt-PT'!$BF$67:$BL$82</definedName>
    <definedName name="dbFourier" localSheetId="20">'RES_ro-RO'!$BF$67:$BL$82</definedName>
    <definedName name="dbFourier" localSheetId="21">'RES_ru-RU'!$BF$67:$BL$82</definedName>
    <definedName name="dbFourier" localSheetId="22">'RES_sl-SI'!$BF$67:$BL$82</definedName>
    <definedName name="dbFourier" localSheetId="23">'RES_sv-SE'!$BF$67:$BL$82</definedName>
    <definedName name="dbFourier" localSheetId="24">'RES_tr-TR'!$BF$67:$BL$82</definedName>
    <definedName name="dbFourier" localSheetId="25">'RES_zh-CN'!$BF$67:$BL$82</definedName>
    <definedName name="dbFourier" localSheetId="26">'RES_zh-TW'!$BF$67:$BL$82</definedName>
    <definedName name="dbFourier_InRange" localSheetId="3">'RES_cs-CZ'!$BL$72</definedName>
    <definedName name="dbFourier_InRange" localSheetId="4">'RES_da-DK'!$BL$72</definedName>
    <definedName name="dbFourier_InRange" localSheetId="5">'RES_de-DE'!$BL$72</definedName>
    <definedName name="dbFourier_InRange" localSheetId="6">'RES_el-GR'!$BL$72</definedName>
    <definedName name="dbFourier_InRange" localSheetId="2">'RES_en-US'!$BL$72</definedName>
    <definedName name="dbFourier_InRange" localSheetId="7">'RES_es-ES'!$BL$72</definedName>
    <definedName name="dbFourier_InRange" localSheetId="8">'RES_fi-FI'!$BL$72</definedName>
    <definedName name="dbFourier_InRange" localSheetId="1">'RES_fr-FR'!$BL$72</definedName>
    <definedName name="dbFourier_InRange" localSheetId="9">'RES_hr-HR'!$BL$72</definedName>
    <definedName name="dbFourier_InRange" localSheetId="10">'RES_hu-HU'!$BL$72</definedName>
    <definedName name="dbFourier_InRange" localSheetId="11">'RES_it-IT'!$BL$72</definedName>
    <definedName name="dbFourier_InRange" localSheetId="12">'RES_ja-JP'!$BL$72</definedName>
    <definedName name="dbFourier_InRange" localSheetId="13">'RES_ko-KR'!$BL$72</definedName>
    <definedName name="dbFourier_InRange" localSheetId="14">'RES_lv-LV'!$BL$72</definedName>
    <definedName name="dbFourier_InRange" localSheetId="15">'RES_nb-NO'!$BL$72</definedName>
    <definedName name="dbFourier_InRange" localSheetId="16">'RES_nl-NL'!$BL$72</definedName>
    <definedName name="dbFourier_InRange" localSheetId="17">'RES_pl-PL'!$BL$72</definedName>
    <definedName name="dbFourier_InRange" localSheetId="18">'RES_pt-BR'!$BL$72</definedName>
    <definedName name="dbFourier_InRange" localSheetId="19">'RES_pt-PT'!$BL$72</definedName>
    <definedName name="dbFourier_InRange" localSheetId="20">'RES_ro-RO'!$BL$72</definedName>
    <definedName name="dbFourier_InRange" localSheetId="21">'RES_ru-RU'!$BL$72</definedName>
    <definedName name="dbFourier_InRange" localSheetId="22">'RES_sl-SI'!$BL$72</definedName>
    <definedName name="dbFourier_InRange" localSheetId="23">'RES_sv-SE'!$BL$72</definedName>
    <definedName name="dbFourier_InRange" localSheetId="24">'RES_tr-TR'!$BL$72</definedName>
    <definedName name="dbFourier_InRange" localSheetId="25">'RES_zh-CN'!$BL$72</definedName>
    <definedName name="dbFourier_InRange" localSheetId="26">'RES_zh-TW'!$BL$72</definedName>
    <definedName name="dbFourier_Inverse" localSheetId="3">'RES_cs-CZ'!$BL$81</definedName>
    <definedName name="dbFourier_Inverse" localSheetId="4">'RES_da-DK'!$BL$81</definedName>
    <definedName name="dbFourier_Inverse" localSheetId="5">'RES_de-DE'!$BL$81</definedName>
    <definedName name="dbFourier_Inverse" localSheetId="6">'RES_el-GR'!$BL$81</definedName>
    <definedName name="dbFourier_Inverse" localSheetId="2">'RES_en-US'!$BL$81</definedName>
    <definedName name="dbFourier_Inverse" localSheetId="7">'RES_es-ES'!$BL$81</definedName>
    <definedName name="dbFourier_Inverse" localSheetId="8">'RES_fi-FI'!$BL$81</definedName>
    <definedName name="dbFourier_Inverse" localSheetId="1">'RES_fr-FR'!$BL$81</definedName>
    <definedName name="dbFourier_Inverse" localSheetId="9">'RES_hr-HR'!$BL$81</definedName>
    <definedName name="dbFourier_Inverse" localSheetId="10">'RES_hu-HU'!$BL$81</definedName>
    <definedName name="dbFourier_Inverse" localSheetId="11">'RES_it-IT'!$BL$81</definedName>
    <definedName name="dbFourier_Inverse" localSheetId="12">'RES_ja-JP'!$BL$81</definedName>
    <definedName name="dbFourier_Inverse" localSheetId="13">'RES_ko-KR'!$BL$81</definedName>
    <definedName name="dbFourier_Inverse" localSheetId="14">'RES_lv-LV'!$BL$81</definedName>
    <definedName name="dbFourier_Inverse" localSheetId="15">'RES_nb-NO'!$BL$81</definedName>
    <definedName name="dbFourier_Inverse" localSheetId="16">'RES_nl-NL'!$BL$81</definedName>
    <definedName name="dbFourier_Inverse" localSheetId="17">'RES_pl-PL'!$BL$81</definedName>
    <definedName name="dbFourier_Inverse" localSheetId="18">'RES_pt-BR'!$BL$81</definedName>
    <definedName name="dbFourier_Inverse" localSheetId="19">'RES_pt-PT'!$BL$81</definedName>
    <definedName name="dbFourier_Inverse" localSheetId="20">'RES_ro-RO'!$BL$81</definedName>
    <definedName name="dbFourier_Inverse" localSheetId="21">'RES_ru-RU'!$BL$81</definedName>
    <definedName name="dbFourier_Inverse" localSheetId="22">'RES_sl-SI'!$BL$81</definedName>
    <definedName name="dbFourier_Inverse" localSheetId="23">'RES_sv-SE'!$BL$81</definedName>
    <definedName name="dbFourier_Inverse" localSheetId="24">'RES_tr-TR'!$BL$81</definedName>
    <definedName name="dbFourier_Inverse" localSheetId="25">'RES_zh-CN'!$BL$81</definedName>
    <definedName name="dbFourier_Inverse" localSheetId="26">'RES_zh-TW'!$BL$81</definedName>
    <definedName name="dbFourier_LabelText" localSheetId="3">'RES_cs-CZ'!$BK$73</definedName>
    <definedName name="dbFourier_LabelText" localSheetId="4">'RES_da-DK'!$BK$73</definedName>
    <definedName name="dbFourier_LabelText" localSheetId="5">'RES_de-DE'!$BK$73</definedName>
    <definedName name="dbFourier_LabelText" localSheetId="6">'RES_el-GR'!$BK$73</definedName>
    <definedName name="dbFourier_LabelText" localSheetId="2">'RES_en-US'!$BK$73</definedName>
    <definedName name="dbFourier_LabelText" localSheetId="7">'RES_es-ES'!$BK$73</definedName>
    <definedName name="dbFourier_LabelText" localSheetId="8">'RES_fi-FI'!$BK$73</definedName>
    <definedName name="dbFourier_LabelText" localSheetId="1">'RES_fr-FR'!$BK$73</definedName>
    <definedName name="dbFourier_LabelText" localSheetId="9">'RES_hr-HR'!$BK$73</definedName>
    <definedName name="dbFourier_LabelText" localSheetId="10">'RES_hu-HU'!$BK$73</definedName>
    <definedName name="dbFourier_LabelText" localSheetId="11">'RES_it-IT'!$BK$73</definedName>
    <definedName name="dbFourier_LabelText" localSheetId="12">'RES_ja-JP'!$BK$73</definedName>
    <definedName name="dbFourier_LabelText" localSheetId="13">'RES_ko-KR'!$BK$73</definedName>
    <definedName name="dbFourier_LabelText" localSheetId="14">'RES_lv-LV'!$BK$73</definedName>
    <definedName name="dbFourier_LabelText" localSheetId="15">'RES_nb-NO'!$BK$73</definedName>
    <definedName name="dbFourier_LabelText" localSheetId="16">'RES_nl-NL'!$BK$73</definedName>
    <definedName name="dbFourier_LabelText" localSheetId="17">'RES_pl-PL'!$BK$73</definedName>
    <definedName name="dbFourier_LabelText" localSheetId="18">'RES_pt-BR'!$BK$73</definedName>
    <definedName name="dbFourier_LabelText" localSheetId="19">'RES_pt-PT'!$BK$73</definedName>
    <definedName name="dbFourier_LabelText" localSheetId="20">'RES_ro-RO'!$BK$73</definedName>
    <definedName name="dbFourier_LabelText" localSheetId="21">'RES_ru-RU'!$BK$73</definedName>
    <definedName name="dbFourier_LabelText" localSheetId="22">'RES_sl-SI'!$BK$73</definedName>
    <definedName name="dbFourier_LabelText" localSheetId="23">'RES_sv-SE'!$BK$73</definedName>
    <definedName name="dbFourier_LabelText" localSheetId="24">'RES_tr-TR'!$BK$73</definedName>
    <definedName name="dbFourier_LabelText" localSheetId="25">'RES_zh-CN'!$BK$73</definedName>
    <definedName name="dbFourier_LabelText" localSheetId="26">'RES_zh-TW'!$BK$73</definedName>
    <definedName name="dbFourier_LblChkBox" localSheetId="3">'RES_cs-CZ'!$BL$73</definedName>
    <definedName name="dbFourier_LblChkBox" localSheetId="4">'RES_da-DK'!$BL$73</definedName>
    <definedName name="dbFourier_LblChkBox" localSheetId="5">'RES_de-DE'!$BL$73</definedName>
    <definedName name="dbFourier_LblChkBox" localSheetId="6">'RES_el-GR'!$BL$73</definedName>
    <definedName name="dbFourier_LblChkBox" localSheetId="2">'RES_en-US'!$BL$73</definedName>
    <definedName name="dbFourier_LblChkBox" localSheetId="7">'RES_es-ES'!$BL$73</definedName>
    <definedName name="dbFourier_LblChkBox" localSheetId="8">'RES_fi-FI'!$BL$73</definedName>
    <definedName name="dbFourier_LblChkBox" localSheetId="1">'RES_fr-FR'!$BL$73</definedName>
    <definedName name="dbFourier_LblChkBox" localSheetId="9">'RES_hr-HR'!$BL$73</definedName>
    <definedName name="dbFourier_LblChkBox" localSheetId="10">'RES_hu-HU'!$BL$73</definedName>
    <definedName name="dbFourier_LblChkBox" localSheetId="11">'RES_it-IT'!$BL$73</definedName>
    <definedName name="dbFourier_LblChkBox" localSheetId="12">'RES_ja-JP'!$BL$73</definedName>
    <definedName name="dbFourier_LblChkBox" localSheetId="13">'RES_ko-KR'!$BL$73</definedName>
    <definedName name="dbFourier_LblChkBox" localSheetId="14">'RES_lv-LV'!$BL$73</definedName>
    <definedName name="dbFourier_LblChkBox" localSheetId="15">'RES_nb-NO'!$BL$73</definedName>
    <definedName name="dbFourier_LblChkBox" localSheetId="16">'RES_nl-NL'!$BL$73</definedName>
    <definedName name="dbFourier_LblChkBox" localSheetId="17">'RES_pl-PL'!$BL$73</definedName>
    <definedName name="dbFourier_LblChkBox" localSheetId="18">'RES_pt-BR'!$BL$73</definedName>
    <definedName name="dbFourier_LblChkBox" localSheetId="19">'RES_pt-PT'!$BL$73</definedName>
    <definedName name="dbFourier_LblChkBox" localSheetId="20">'RES_ro-RO'!$BL$73</definedName>
    <definedName name="dbFourier_LblChkBox" localSheetId="21">'RES_ru-RU'!$BL$73</definedName>
    <definedName name="dbFourier_LblChkBox" localSheetId="22">'RES_sl-SI'!$BL$73</definedName>
    <definedName name="dbFourier_LblChkBox" localSheetId="23">'RES_sv-SE'!$BL$73</definedName>
    <definedName name="dbFourier_LblChkBox" localSheetId="24">'RES_tr-TR'!$BL$73</definedName>
    <definedName name="dbFourier_LblChkBox" localSheetId="25">'RES_zh-CN'!$BL$73</definedName>
    <definedName name="dbFourier_LblChkBox" localSheetId="26">'RES_zh-TW'!$BL$73</definedName>
    <definedName name="dbFourier_OutOption" localSheetId="3">'RES_cs-CZ'!$BL$75</definedName>
    <definedName name="dbFourier_OutOption" localSheetId="4">'RES_da-DK'!$BL$75</definedName>
    <definedName name="dbFourier_OutOption" localSheetId="5">'RES_de-DE'!$BL$75</definedName>
    <definedName name="dbFourier_OutOption" localSheetId="6">'RES_el-GR'!$BL$75</definedName>
    <definedName name="dbFourier_OutOption" localSheetId="2">'RES_en-US'!$BL$75</definedName>
    <definedName name="dbFourier_OutOption" localSheetId="7">'RES_es-ES'!$BL$75</definedName>
    <definedName name="dbFourier_OutOption" localSheetId="8">'RES_fi-FI'!$BL$75</definedName>
    <definedName name="dbFourier_OutOption" localSheetId="1">'RES_fr-FR'!$BL$75</definedName>
    <definedName name="dbFourier_OutOption" localSheetId="9">'RES_hr-HR'!$BL$75</definedName>
    <definedName name="dbFourier_OutOption" localSheetId="10">'RES_hu-HU'!$BL$75</definedName>
    <definedName name="dbFourier_OutOption" localSheetId="11">'RES_it-IT'!$BL$75</definedName>
    <definedName name="dbFourier_OutOption" localSheetId="12">'RES_ja-JP'!$BL$75</definedName>
    <definedName name="dbFourier_OutOption" localSheetId="13">'RES_ko-KR'!$BL$75</definedName>
    <definedName name="dbFourier_OutOption" localSheetId="14">'RES_lv-LV'!$BL$75</definedName>
    <definedName name="dbFourier_OutOption" localSheetId="15">'RES_nb-NO'!$BL$75</definedName>
    <definedName name="dbFourier_OutOption" localSheetId="16">'RES_nl-NL'!$BL$75</definedName>
    <definedName name="dbFourier_OutOption" localSheetId="17">'RES_pl-PL'!$BL$75</definedName>
    <definedName name="dbFourier_OutOption" localSheetId="18">'RES_pt-BR'!$BL$75</definedName>
    <definedName name="dbFourier_OutOption" localSheetId="19">'RES_pt-PT'!$BL$75</definedName>
    <definedName name="dbFourier_OutOption" localSheetId="20">'RES_ro-RO'!$BL$75</definedName>
    <definedName name="dbFourier_OutOption" localSheetId="21">'RES_ru-RU'!$BL$75</definedName>
    <definedName name="dbFourier_OutOption" localSheetId="22">'RES_sl-SI'!$BL$75</definedName>
    <definedName name="dbFourier_OutOption" localSheetId="23">'RES_sv-SE'!$BL$75</definedName>
    <definedName name="dbFourier_OutOption" localSheetId="24">'RES_tr-TR'!$BL$75</definedName>
    <definedName name="dbFourier_OutOption" localSheetId="25">'RES_zh-CN'!$BL$75</definedName>
    <definedName name="dbFourier_OutOption" localSheetId="26">'RES_zh-TW'!$BL$75</definedName>
    <definedName name="dbFourier_PlyInpFld" localSheetId="3">'RES_cs-CZ'!$BF$80</definedName>
    <definedName name="dbFourier_PlyInpFld" localSheetId="4">'RES_da-DK'!$BF$80</definedName>
    <definedName name="dbFourier_PlyInpFld" localSheetId="5">'RES_de-DE'!$BF$80</definedName>
    <definedName name="dbFourier_PlyInpFld" localSheetId="6">'RES_el-GR'!$BF$80</definedName>
    <definedName name="dbFourier_PlyInpFld" localSheetId="2">'RES_en-US'!$BF$80</definedName>
    <definedName name="dbFourier_PlyInpFld" localSheetId="7">'RES_es-ES'!$BF$80</definedName>
    <definedName name="dbFourier_PlyInpFld" localSheetId="8">'RES_fi-FI'!$BF$80</definedName>
    <definedName name="dbFourier_PlyInpFld" localSheetId="1">'RES_fr-FR'!$BF$80</definedName>
    <definedName name="dbFourier_PlyInpFld" localSheetId="9">'RES_hr-HR'!$BF$80</definedName>
    <definedName name="dbFourier_PlyInpFld" localSheetId="10">'RES_hu-HU'!$BF$80</definedName>
    <definedName name="dbFourier_PlyInpFld" localSheetId="11">'RES_it-IT'!$BF$80</definedName>
    <definedName name="dbFourier_PlyInpFld" localSheetId="12">'RES_ja-JP'!$BF$80</definedName>
    <definedName name="dbFourier_PlyInpFld" localSheetId="13">'RES_ko-KR'!$BF$80</definedName>
    <definedName name="dbFourier_PlyInpFld" localSheetId="14">'RES_lv-LV'!$BF$80</definedName>
    <definedName name="dbFourier_PlyInpFld" localSheetId="15">'RES_nb-NO'!$BF$80</definedName>
    <definedName name="dbFourier_PlyInpFld" localSheetId="16">'RES_nl-NL'!$BF$80</definedName>
    <definedName name="dbFourier_PlyInpFld" localSheetId="17">'RES_pl-PL'!$BF$80</definedName>
    <definedName name="dbFourier_PlyInpFld" localSheetId="18">'RES_pt-BR'!$BF$80</definedName>
    <definedName name="dbFourier_PlyInpFld" localSheetId="19">'RES_pt-PT'!$BF$80</definedName>
    <definedName name="dbFourier_PlyInpFld" localSheetId="20">'RES_ro-RO'!$BF$80</definedName>
    <definedName name="dbFourier_PlyInpFld" localSheetId="21">'RES_ru-RU'!$BF$80</definedName>
    <definedName name="dbFourier_PlyInpFld" localSheetId="22">'RES_sl-SI'!$BF$80</definedName>
    <definedName name="dbFourier_PlyInpFld" localSheetId="23">'RES_sv-SE'!$BF$80</definedName>
    <definedName name="dbFourier_PlyInpFld" localSheetId="24">'RES_tr-TR'!$BF$80</definedName>
    <definedName name="dbFourier_PlyInpFld" localSheetId="25">'RES_zh-CN'!$BF$80</definedName>
    <definedName name="dbFourier_PlyInpFld" localSheetId="26">'RES_zh-TW'!$BF$80</definedName>
    <definedName name="dbFourier_PlyName" localSheetId="3">'RES_cs-CZ'!$BL$80</definedName>
    <definedName name="dbFourier_PlyName" localSheetId="4">'RES_da-DK'!$BL$80</definedName>
    <definedName name="dbFourier_PlyName" localSheetId="5">'RES_de-DE'!$BL$80</definedName>
    <definedName name="dbFourier_PlyName" localSheetId="6">'RES_el-GR'!$BL$80</definedName>
    <definedName name="dbFourier_PlyName" localSheetId="2">'RES_en-US'!$BL$80</definedName>
    <definedName name="dbFourier_PlyName" localSheetId="7">'RES_es-ES'!$BL$80</definedName>
    <definedName name="dbFourier_PlyName" localSheetId="8">'RES_fi-FI'!$BL$80</definedName>
    <definedName name="dbFourier_PlyName" localSheetId="1">'RES_fr-FR'!$BL$80</definedName>
    <definedName name="dbFourier_PlyName" localSheetId="9">'RES_hr-HR'!$BL$80</definedName>
    <definedName name="dbFourier_PlyName" localSheetId="10">'RES_hu-HU'!$BL$80</definedName>
    <definedName name="dbFourier_PlyName" localSheetId="11">'RES_it-IT'!$BL$80</definedName>
    <definedName name="dbFourier_PlyName" localSheetId="12">'RES_ja-JP'!$BL$80</definedName>
    <definedName name="dbFourier_PlyName" localSheetId="13">'RES_ko-KR'!$BL$80</definedName>
    <definedName name="dbFourier_PlyName" localSheetId="14">'RES_lv-LV'!$BL$80</definedName>
    <definedName name="dbFourier_PlyName" localSheetId="15">'RES_nb-NO'!$BL$80</definedName>
    <definedName name="dbFourier_PlyName" localSheetId="16">'RES_nl-NL'!$BL$80</definedName>
    <definedName name="dbFourier_PlyName" localSheetId="17">'RES_pl-PL'!$BL$80</definedName>
    <definedName name="dbFourier_PlyName" localSheetId="18">'RES_pt-BR'!$BL$80</definedName>
    <definedName name="dbFourier_PlyName" localSheetId="19">'RES_pt-PT'!$BL$80</definedName>
    <definedName name="dbFourier_PlyName" localSheetId="20">'RES_ro-RO'!$BL$80</definedName>
    <definedName name="dbFourier_PlyName" localSheetId="21">'RES_ru-RU'!$BL$80</definedName>
    <definedName name="dbFourier_PlyName" localSheetId="22">'RES_sl-SI'!$BL$80</definedName>
    <definedName name="dbFourier_PlyName" localSheetId="23">'RES_sv-SE'!$BL$80</definedName>
    <definedName name="dbFourier_PlyName" localSheetId="24">'RES_tr-TR'!$BL$80</definedName>
    <definedName name="dbFourier_PlyName" localSheetId="25">'RES_zh-CN'!$BL$80</definedName>
    <definedName name="dbFourier_PlyName" localSheetId="26">'RES_zh-TW'!$BL$80</definedName>
    <definedName name="dbFourier_RangeInpFld" localSheetId="3">'RES_cs-CZ'!$BF$79</definedName>
    <definedName name="dbFourier_RangeInpFld" localSheetId="4">'RES_da-DK'!$BF$79</definedName>
    <definedName name="dbFourier_RangeInpFld" localSheetId="5">'RES_de-DE'!$BF$79</definedName>
    <definedName name="dbFourier_RangeInpFld" localSheetId="6">'RES_el-GR'!$BF$79</definedName>
    <definedName name="dbFourier_RangeInpFld" localSheetId="2">'RES_en-US'!$BF$79</definedName>
    <definedName name="dbFourier_RangeInpFld" localSheetId="7">'RES_es-ES'!$BF$79</definedName>
    <definedName name="dbFourier_RangeInpFld" localSheetId="8">'RES_fi-FI'!$BF$79</definedName>
    <definedName name="dbFourier_RangeInpFld" localSheetId="1">'RES_fr-FR'!$BF$79</definedName>
    <definedName name="dbFourier_RangeInpFld" localSheetId="9">'RES_hr-HR'!$BF$79</definedName>
    <definedName name="dbFourier_RangeInpFld" localSheetId="10">'RES_hu-HU'!$BF$79</definedName>
    <definedName name="dbFourier_RangeInpFld" localSheetId="11">'RES_it-IT'!$BF$79</definedName>
    <definedName name="dbFourier_RangeInpFld" localSheetId="12">'RES_ja-JP'!$BF$79</definedName>
    <definedName name="dbFourier_RangeInpFld" localSheetId="13">'RES_ko-KR'!$BF$79</definedName>
    <definedName name="dbFourier_RangeInpFld" localSheetId="14">'RES_lv-LV'!$BF$79</definedName>
    <definedName name="dbFourier_RangeInpFld" localSheetId="15">'RES_nb-NO'!$BF$79</definedName>
    <definedName name="dbFourier_RangeInpFld" localSheetId="16">'RES_nl-NL'!$BF$79</definedName>
    <definedName name="dbFourier_RangeInpFld" localSheetId="17">'RES_pl-PL'!$BF$79</definedName>
    <definedName name="dbFourier_RangeInpFld" localSheetId="18">'RES_pt-BR'!$BF$79</definedName>
    <definedName name="dbFourier_RangeInpFld" localSheetId="19">'RES_pt-PT'!$BF$79</definedName>
    <definedName name="dbFourier_RangeInpFld" localSheetId="20">'RES_ro-RO'!$BF$79</definedName>
    <definedName name="dbFourier_RangeInpFld" localSheetId="21">'RES_ru-RU'!$BF$79</definedName>
    <definedName name="dbFourier_RangeInpFld" localSheetId="22">'RES_sl-SI'!$BF$79</definedName>
    <definedName name="dbFourier_RangeInpFld" localSheetId="23">'RES_sv-SE'!$BF$79</definedName>
    <definedName name="dbFourier_RangeInpFld" localSheetId="24">'RES_tr-TR'!$BF$79</definedName>
    <definedName name="dbFourier_RangeInpFld" localSheetId="25">'RES_zh-CN'!$BF$79</definedName>
    <definedName name="dbFourier_RangeInpFld" localSheetId="26">'RES_zh-TW'!$BF$79</definedName>
    <definedName name="dbFourier_RangeRef" localSheetId="3">'RES_cs-CZ'!$BL$79</definedName>
    <definedName name="dbFourier_RangeRef" localSheetId="4">'RES_da-DK'!$BL$79</definedName>
    <definedName name="dbFourier_RangeRef" localSheetId="5">'RES_de-DE'!$BL$79</definedName>
    <definedName name="dbFourier_RangeRef" localSheetId="6">'RES_el-GR'!$BL$79</definedName>
    <definedName name="dbFourier_RangeRef" localSheetId="2">'RES_en-US'!$BL$79</definedName>
    <definedName name="dbFourier_RangeRef" localSheetId="7">'RES_es-ES'!$BL$79</definedName>
    <definedName name="dbFourier_RangeRef" localSheetId="8">'RES_fi-FI'!$BL$79</definedName>
    <definedName name="dbFourier_RangeRef" localSheetId="1">'RES_fr-FR'!$BL$79</definedName>
    <definedName name="dbFourier_RangeRef" localSheetId="9">'RES_hr-HR'!$BL$79</definedName>
    <definedName name="dbFourier_RangeRef" localSheetId="10">'RES_hu-HU'!$BL$79</definedName>
    <definedName name="dbFourier_RangeRef" localSheetId="11">'RES_it-IT'!$BL$79</definedName>
    <definedName name="dbFourier_RangeRef" localSheetId="12">'RES_ja-JP'!$BL$79</definedName>
    <definedName name="dbFourier_RangeRef" localSheetId="13">'RES_ko-KR'!$BL$79</definedName>
    <definedName name="dbFourier_RangeRef" localSheetId="14">'RES_lv-LV'!$BL$79</definedName>
    <definedName name="dbFourier_RangeRef" localSheetId="15">'RES_nb-NO'!$BL$79</definedName>
    <definedName name="dbFourier_RangeRef" localSheetId="16">'RES_nl-NL'!$BL$79</definedName>
    <definedName name="dbFourier_RangeRef" localSheetId="17">'RES_pl-PL'!$BL$79</definedName>
    <definedName name="dbFourier_RangeRef" localSheetId="18">'RES_pt-BR'!$BL$79</definedName>
    <definedName name="dbFourier_RangeRef" localSheetId="19">'RES_pt-PT'!$BL$79</definedName>
    <definedName name="dbFourier_RangeRef" localSheetId="20">'RES_ro-RO'!$BL$79</definedName>
    <definedName name="dbFourier_RangeRef" localSheetId="21">'RES_ru-RU'!$BL$79</definedName>
    <definedName name="dbFourier_RangeRef" localSheetId="22">'RES_sl-SI'!$BL$79</definedName>
    <definedName name="dbFourier_RangeRef" localSheetId="23">'RES_sv-SE'!$BL$79</definedName>
    <definedName name="dbFourier_RangeRef" localSheetId="24">'RES_tr-TR'!$BL$79</definedName>
    <definedName name="dbFourier_RangeRef" localSheetId="25">'RES_zh-CN'!$BL$79</definedName>
    <definedName name="dbFourier_RangeRef" localSheetId="26">'RES_zh-TW'!$BL$79</definedName>
    <definedName name="dbFourierTitle" localSheetId="3">'RES_cs-CZ'!$BK$67</definedName>
    <definedName name="dbFourierTitle" localSheetId="4">'RES_da-DK'!$BK$67</definedName>
    <definedName name="dbFourierTitle" localSheetId="5">'RES_de-DE'!$BK$67</definedName>
    <definedName name="dbFourierTitle" localSheetId="6">'RES_el-GR'!$BK$67</definedName>
    <definedName name="dbFourierTitle" localSheetId="2">'RES_en-US'!$BK$67</definedName>
    <definedName name="dbFourierTitle" localSheetId="7">'RES_es-ES'!$BK$67</definedName>
    <definedName name="dbFourierTitle" localSheetId="8">'RES_fi-FI'!$BK$67</definedName>
    <definedName name="dbFourierTitle" localSheetId="1">'RES_fr-FR'!$BK$67</definedName>
    <definedName name="dbFourierTitle" localSheetId="9">'RES_hr-HR'!$BK$67</definedName>
    <definedName name="dbFourierTitle" localSheetId="10">'RES_hu-HU'!$BK$67</definedName>
    <definedName name="dbFourierTitle" localSheetId="11">'RES_it-IT'!$BK$67</definedName>
    <definedName name="dbFourierTitle" localSheetId="12">'RES_ja-JP'!$BK$67</definedName>
    <definedName name="dbFourierTitle" localSheetId="13">'RES_ko-KR'!$BK$67</definedName>
    <definedName name="dbFourierTitle" localSheetId="14">'RES_lv-LV'!$BK$67</definedName>
    <definedName name="dbFourierTitle" localSheetId="15">'RES_nb-NO'!$BK$67</definedName>
    <definedName name="dbFourierTitle" localSheetId="16">'RES_nl-NL'!$BK$67</definedName>
    <definedName name="dbFourierTitle" localSheetId="17">'RES_pl-PL'!$BK$67</definedName>
    <definedName name="dbFourierTitle" localSheetId="18">'RES_pt-BR'!$BK$67</definedName>
    <definedName name="dbFourierTitle" localSheetId="19">'RES_pt-PT'!$BK$67</definedName>
    <definedName name="dbFourierTitle" localSheetId="20">'RES_ro-RO'!$BK$67</definedName>
    <definedName name="dbFourierTitle" localSheetId="21">'RES_ru-RU'!$BK$67</definedName>
    <definedName name="dbFourierTitle" localSheetId="22">'RES_sl-SI'!$BK$67</definedName>
    <definedName name="dbFourierTitle" localSheetId="23">'RES_sv-SE'!$BK$67</definedName>
    <definedName name="dbFourierTitle" localSheetId="24">'RES_tr-TR'!$BK$67</definedName>
    <definedName name="dbFourierTitle" localSheetId="25">'RES_zh-CN'!$BK$67</definedName>
    <definedName name="dbFourierTitle" localSheetId="26">'RES_zh-TW'!$BK$67</definedName>
    <definedName name="dbFTest" localSheetId="3">'RES_cs-CZ'!$CD$2:$CJ$20</definedName>
    <definedName name="dbFTest" localSheetId="4">'RES_da-DK'!$CD$2:$CJ$20</definedName>
    <definedName name="dbFTest" localSheetId="5">'RES_de-DE'!$CD$2:$CJ$20</definedName>
    <definedName name="dbFTest" localSheetId="6">'RES_el-GR'!$CD$2:$CJ$20</definedName>
    <definedName name="dbFTest" localSheetId="2">'RES_en-US'!$CD$2:$CJ$20</definedName>
    <definedName name="dbFTest" localSheetId="7">'RES_es-ES'!$CD$2:$CJ$20</definedName>
    <definedName name="dbFTest" localSheetId="8">'RES_fi-FI'!$CD$2:$CJ$20</definedName>
    <definedName name="dbFTest" localSheetId="1">'RES_fr-FR'!$CD$2:$CJ$20</definedName>
    <definedName name="dbFTest" localSheetId="9">'RES_hr-HR'!$CD$2:$CJ$20</definedName>
    <definedName name="dbFTest" localSheetId="10">'RES_hu-HU'!$CD$2:$CJ$20</definedName>
    <definedName name="dbFTest" localSheetId="11">'RES_it-IT'!$CD$2:$CJ$20</definedName>
    <definedName name="dbFTest" localSheetId="12">'RES_ja-JP'!$CD$2:$CJ$20</definedName>
    <definedName name="dbFTest" localSheetId="13">'RES_ko-KR'!$CD$2:$CJ$20</definedName>
    <definedName name="dbFTest" localSheetId="14">'RES_lv-LV'!$CD$2:$CJ$20</definedName>
    <definedName name="dbFTest" localSheetId="15">'RES_nb-NO'!$CD$2:$CJ$20</definedName>
    <definedName name="dbFTest" localSheetId="16">'RES_nl-NL'!$CD$2:$CJ$20</definedName>
    <definedName name="dbFTest" localSheetId="17">'RES_pl-PL'!$CD$2:$CJ$20</definedName>
    <definedName name="dbFTest" localSheetId="18">'RES_pt-BR'!$CD$2:$CJ$20</definedName>
    <definedName name="dbFTest" localSheetId="19">'RES_pt-PT'!$CD$2:$CJ$20</definedName>
    <definedName name="dbFTest" localSheetId="20">'RES_ro-RO'!$CD$2:$CJ$20</definedName>
    <definedName name="dbFTest" localSheetId="21">'RES_ru-RU'!$CD$2:$CJ$20</definedName>
    <definedName name="dbFTest" localSheetId="22">'RES_sl-SI'!$CD$2:$CJ$20</definedName>
    <definedName name="dbFTest" localSheetId="23">'RES_sv-SE'!$CD$2:$CJ$20</definedName>
    <definedName name="dbFTest" localSheetId="24">'RES_tr-TR'!$CD$2:$CJ$20</definedName>
    <definedName name="dbFTest" localSheetId="25">'RES_zh-CN'!$CD$2:$CJ$20</definedName>
    <definedName name="dbFTest" localSheetId="26">'RES_zh-TW'!$CD$2:$CJ$20</definedName>
    <definedName name="dbFTest_AlphaValue" localSheetId="3">'RES_cs-CZ'!$CJ$12</definedName>
    <definedName name="dbFTest_AlphaValue" localSheetId="4">'RES_da-DK'!$CJ$12</definedName>
    <definedName name="dbFTest_AlphaValue" localSheetId="5">'RES_de-DE'!$CJ$12</definedName>
    <definedName name="dbFTest_AlphaValue" localSheetId="6">'RES_el-GR'!$CJ$12</definedName>
    <definedName name="dbFTest_AlphaValue" localSheetId="2">'RES_en-US'!$CJ$12</definedName>
    <definedName name="dbFTest_AlphaValue" localSheetId="7">'RES_es-ES'!$CJ$12</definedName>
    <definedName name="dbFTest_AlphaValue" localSheetId="8">'RES_fi-FI'!$CJ$12</definedName>
    <definedName name="dbFTest_AlphaValue" localSheetId="1">'RES_fr-FR'!$CJ$12</definedName>
    <definedName name="dbFTest_AlphaValue" localSheetId="9">'RES_hr-HR'!$CJ$12</definedName>
    <definedName name="dbFTest_AlphaValue" localSheetId="10">'RES_hu-HU'!$CJ$12</definedName>
    <definedName name="dbFTest_AlphaValue" localSheetId="11">'RES_it-IT'!$CJ$12</definedName>
    <definedName name="dbFTest_AlphaValue" localSheetId="12">'RES_ja-JP'!$CJ$12</definedName>
    <definedName name="dbFTest_AlphaValue" localSheetId="13">'RES_ko-KR'!$CJ$12</definedName>
    <definedName name="dbFTest_AlphaValue" localSheetId="14">'RES_lv-LV'!$CJ$12</definedName>
    <definedName name="dbFTest_AlphaValue" localSheetId="15">'RES_nb-NO'!$CJ$12</definedName>
    <definedName name="dbFTest_AlphaValue" localSheetId="16">'RES_nl-NL'!$CJ$12</definedName>
    <definedName name="dbFTest_AlphaValue" localSheetId="17">'RES_pl-PL'!$CJ$12</definedName>
    <definedName name="dbFTest_AlphaValue" localSheetId="18">'RES_pt-BR'!$CJ$12</definedName>
    <definedName name="dbFTest_AlphaValue" localSheetId="19">'RES_pt-PT'!$CJ$12</definedName>
    <definedName name="dbFTest_AlphaValue" localSheetId="20">'RES_ro-RO'!$CJ$12</definedName>
    <definedName name="dbFTest_AlphaValue" localSheetId="21">'RES_ru-RU'!$CJ$12</definedName>
    <definedName name="dbFTest_AlphaValue" localSheetId="22">'RES_sl-SI'!$CJ$12</definedName>
    <definedName name="dbFTest_AlphaValue" localSheetId="23">'RES_sv-SE'!$CJ$12</definedName>
    <definedName name="dbFTest_AlphaValue" localSheetId="24">'RES_tr-TR'!$CJ$12</definedName>
    <definedName name="dbFTest_AlphaValue" localSheetId="25">'RES_zh-CN'!$CJ$12</definedName>
    <definedName name="dbFTest_AlphaValue" localSheetId="26">'RES_zh-TW'!$CJ$12</definedName>
    <definedName name="dbFTest_LabelText" localSheetId="3">'RES_cs-CZ'!$CI$10</definedName>
    <definedName name="dbFTest_LabelText" localSheetId="4">'RES_da-DK'!$CI$10</definedName>
    <definedName name="dbFTest_LabelText" localSheetId="5">'RES_de-DE'!$CI$10</definedName>
    <definedName name="dbFTest_LabelText" localSheetId="6">'RES_el-GR'!$CI$10</definedName>
    <definedName name="dbFTest_LabelText" localSheetId="2">'RES_en-US'!$CI$10</definedName>
    <definedName name="dbFTest_LabelText" localSheetId="7">'RES_es-ES'!$CI$10</definedName>
    <definedName name="dbFTest_LabelText" localSheetId="8">'RES_fi-FI'!$CI$10</definedName>
    <definedName name="dbFTest_LabelText" localSheetId="1">'RES_fr-FR'!$CI$10</definedName>
    <definedName name="dbFTest_LabelText" localSheetId="9">'RES_hr-HR'!$CI$10</definedName>
    <definedName name="dbFTest_LabelText" localSheetId="10">'RES_hu-HU'!$CI$10</definedName>
    <definedName name="dbFTest_LabelText" localSheetId="11">'RES_it-IT'!$CI$10</definedName>
    <definedName name="dbFTest_LabelText" localSheetId="12">'RES_ja-JP'!$CI$10</definedName>
    <definedName name="dbFTest_LabelText" localSheetId="13">'RES_ko-KR'!$CI$10</definedName>
    <definedName name="dbFTest_LabelText" localSheetId="14">'RES_lv-LV'!$CI$10</definedName>
    <definedName name="dbFTest_LabelText" localSheetId="15">'RES_nb-NO'!$CI$10</definedName>
    <definedName name="dbFTest_LabelText" localSheetId="16">'RES_nl-NL'!$CI$10</definedName>
    <definedName name="dbFTest_LabelText" localSheetId="17">'RES_pl-PL'!$CI$10</definedName>
    <definedName name="dbFTest_LabelText" localSheetId="18">'RES_pt-BR'!$CI$10</definedName>
    <definedName name="dbFTest_LabelText" localSheetId="19">'RES_pt-PT'!$CI$10</definedName>
    <definedName name="dbFTest_LabelText" localSheetId="20">'RES_ro-RO'!$CI$10</definedName>
    <definedName name="dbFTest_LabelText" localSheetId="21">'RES_ru-RU'!$CI$10</definedName>
    <definedName name="dbFTest_LabelText" localSheetId="22">'RES_sl-SI'!$CI$10</definedName>
    <definedName name="dbFTest_LabelText" localSheetId="23">'RES_sv-SE'!$CI$10</definedName>
    <definedName name="dbFTest_LabelText" localSheetId="24">'RES_tr-TR'!$CI$10</definedName>
    <definedName name="dbFTest_LabelText" localSheetId="25">'RES_zh-CN'!$CI$10</definedName>
    <definedName name="dbFTest_LabelText" localSheetId="26">'RES_zh-TW'!$CI$10</definedName>
    <definedName name="dbFTest_LblChkBox" localSheetId="3">'RES_cs-CZ'!$CJ$10</definedName>
    <definedName name="dbFTest_LblChkBox" localSheetId="4">'RES_da-DK'!$CJ$10</definedName>
    <definedName name="dbFTest_LblChkBox" localSheetId="5">'RES_de-DE'!$CJ$10</definedName>
    <definedName name="dbFTest_LblChkBox" localSheetId="6">'RES_el-GR'!$CJ$10</definedName>
    <definedName name="dbFTest_LblChkBox" localSheetId="2">'RES_en-US'!$CJ$10</definedName>
    <definedName name="dbFTest_LblChkBox" localSheetId="7">'RES_es-ES'!$CJ$10</definedName>
    <definedName name="dbFTest_LblChkBox" localSheetId="8">'RES_fi-FI'!$CJ$10</definedName>
    <definedName name="dbFTest_LblChkBox" localSheetId="1">'RES_fr-FR'!$CJ$10</definedName>
    <definedName name="dbFTest_LblChkBox" localSheetId="9">'RES_hr-HR'!$CJ$10</definedName>
    <definedName name="dbFTest_LblChkBox" localSheetId="10">'RES_hu-HU'!$CJ$10</definedName>
    <definedName name="dbFTest_LblChkBox" localSheetId="11">'RES_it-IT'!$CJ$10</definedName>
    <definedName name="dbFTest_LblChkBox" localSheetId="12">'RES_ja-JP'!$CJ$10</definedName>
    <definedName name="dbFTest_LblChkBox" localSheetId="13">'RES_ko-KR'!$CJ$10</definedName>
    <definedName name="dbFTest_LblChkBox" localSheetId="14">'RES_lv-LV'!$CJ$10</definedName>
    <definedName name="dbFTest_LblChkBox" localSheetId="15">'RES_nb-NO'!$CJ$10</definedName>
    <definedName name="dbFTest_LblChkBox" localSheetId="16">'RES_nl-NL'!$CJ$10</definedName>
    <definedName name="dbFTest_LblChkBox" localSheetId="17">'RES_pl-PL'!$CJ$10</definedName>
    <definedName name="dbFTest_LblChkBox" localSheetId="18">'RES_pt-BR'!$CJ$10</definedName>
    <definedName name="dbFTest_LblChkBox" localSheetId="19">'RES_pt-PT'!$CJ$10</definedName>
    <definedName name="dbFTest_LblChkBox" localSheetId="20">'RES_ro-RO'!$CJ$10</definedName>
    <definedName name="dbFTest_LblChkBox" localSheetId="21">'RES_ru-RU'!$CJ$10</definedName>
    <definedName name="dbFTest_LblChkBox" localSheetId="22">'RES_sl-SI'!$CJ$10</definedName>
    <definedName name="dbFTest_LblChkBox" localSheetId="23">'RES_sv-SE'!$CJ$10</definedName>
    <definedName name="dbFTest_LblChkBox" localSheetId="24">'RES_tr-TR'!$CJ$10</definedName>
    <definedName name="dbFTest_LblChkBox" localSheetId="25">'RES_zh-CN'!$CJ$10</definedName>
    <definedName name="dbFTest_LblChkBox" localSheetId="26">'RES_zh-TW'!$CJ$10</definedName>
    <definedName name="dbFTest_OutOption" localSheetId="3">'RES_cs-CZ'!$CJ$14</definedName>
    <definedName name="dbFTest_OutOption" localSheetId="4">'RES_da-DK'!$CJ$14</definedName>
    <definedName name="dbFTest_OutOption" localSheetId="5">'RES_de-DE'!$CJ$14</definedName>
    <definedName name="dbFTest_OutOption" localSheetId="6">'RES_el-GR'!$CJ$14</definedName>
    <definedName name="dbFTest_OutOption" localSheetId="2">'RES_en-US'!$CJ$14</definedName>
    <definedName name="dbFTest_OutOption" localSheetId="7">'RES_es-ES'!$CJ$14</definedName>
    <definedName name="dbFTest_OutOption" localSheetId="8">'RES_fi-FI'!$CJ$14</definedName>
    <definedName name="dbFTest_OutOption" localSheetId="1">'RES_fr-FR'!$CJ$14</definedName>
    <definedName name="dbFTest_OutOption" localSheetId="9">'RES_hr-HR'!$CJ$14</definedName>
    <definedName name="dbFTest_OutOption" localSheetId="10">'RES_hu-HU'!$CJ$14</definedName>
    <definedName name="dbFTest_OutOption" localSheetId="11">'RES_it-IT'!$CJ$14</definedName>
    <definedName name="dbFTest_OutOption" localSheetId="12">'RES_ja-JP'!$CJ$14</definedName>
    <definedName name="dbFTest_OutOption" localSheetId="13">'RES_ko-KR'!$CJ$14</definedName>
    <definedName name="dbFTest_OutOption" localSheetId="14">'RES_lv-LV'!$CJ$14</definedName>
    <definedName name="dbFTest_OutOption" localSheetId="15">'RES_nb-NO'!$CJ$14</definedName>
    <definedName name="dbFTest_OutOption" localSheetId="16">'RES_nl-NL'!$CJ$14</definedName>
    <definedName name="dbFTest_OutOption" localSheetId="17">'RES_pl-PL'!$CJ$14</definedName>
    <definedName name="dbFTest_OutOption" localSheetId="18">'RES_pt-BR'!$CJ$14</definedName>
    <definedName name="dbFTest_OutOption" localSheetId="19">'RES_pt-PT'!$CJ$14</definedName>
    <definedName name="dbFTest_OutOption" localSheetId="20">'RES_ro-RO'!$CJ$14</definedName>
    <definedName name="dbFTest_OutOption" localSheetId="21">'RES_ru-RU'!$CJ$14</definedName>
    <definedName name="dbFTest_OutOption" localSheetId="22">'RES_sl-SI'!$CJ$14</definedName>
    <definedName name="dbFTest_OutOption" localSheetId="23">'RES_sv-SE'!$CJ$14</definedName>
    <definedName name="dbFTest_OutOption" localSheetId="24">'RES_tr-TR'!$CJ$14</definedName>
    <definedName name="dbFTest_OutOption" localSheetId="25">'RES_zh-CN'!$CJ$14</definedName>
    <definedName name="dbFTest_OutOption" localSheetId="26">'RES_zh-TW'!$CJ$14</definedName>
    <definedName name="dbFTest_PlyInpFld" localSheetId="3">'RES_cs-CZ'!$CD$19</definedName>
    <definedName name="dbFTest_PlyInpFld" localSheetId="4">'RES_da-DK'!$CD$19</definedName>
    <definedName name="dbFTest_PlyInpFld" localSheetId="5">'RES_de-DE'!$CD$19</definedName>
    <definedName name="dbFTest_PlyInpFld" localSheetId="6">'RES_el-GR'!$CD$19</definedName>
    <definedName name="dbFTest_PlyInpFld" localSheetId="2">'RES_en-US'!$CD$19</definedName>
    <definedName name="dbFTest_PlyInpFld" localSheetId="7">'RES_es-ES'!$CD$19</definedName>
    <definedName name="dbFTest_PlyInpFld" localSheetId="8">'RES_fi-FI'!$CD$19</definedName>
    <definedName name="dbFTest_PlyInpFld" localSheetId="1">'RES_fr-FR'!$CD$19</definedName>
    <definedName name="dbFTest_PlyInpFld" localSheetId="9">'RES_hr-HR'!$CD$19</definedName>
    <definedName name="dbFTest_PlyInpFld" localSheetId="10">'RES_hu-HU'!$CD$19</definedName>
    <definedName name="dbFTest_PlyInpFld" localSheetId="11">'RES_it-IT'!$CD$19</definedName>
    <definedName name="dbFTest_PlyInpFld" localSheetId="12">'RES_ja-JP'!$CD$19</definedName>
    <definedName name="dbFTest_PlyInpFld" localSheetId="13">'RES_ko-KR'!$CD$19</definedName>
    <definedName name="dbFTest_PlyInpFld" localSheetId="14">'RES_lv-LV'!$CD$19</definedName>
    <definedName name="dbFTest_PlyInpFld" localSheetId="15">'RES_nb-NO'!$CD$19</definedName>
    <definedName name="dbFTest_PlyInpFld" localSheetId="16">'RES_nl-NL'!$CD$19</definedName>
    <definedName name="dbFTest_PlyInpFld" localSheetId="17">'RES_pl-PL'!$CD$19</definedName>
    <definedName name="dbFTest_PlyInpFld" localSheetId="18">'RES_pt-BR'!$CD$19</definedName>
    <definedName name="dbFTest_PlyInpFld" localSheetId="19">'RES_pt-PT'!$CD$19</definedName>
    <definedName name="dbFTest_PlyInpFld" localSheetId="20">'RES_ro-RO'!$CD$19</definedName>
    <definedName name="dbFTest_PlyInpFld" localSheetId="21">'RES_ru-RU'!$CD$19</definedName>
    <definedName name="dbFTest_PlyInpFld" localSheetId="22">'RES_sl-SI'!$CD$19</definedName>
    <definedName name="dbFTest_PlyInpFld" localSheetId="23">'RES_sv-SE'!$CD$19</definedName>
    <definedName name="dbFTest_PlyInpFld" localSheetId="24">'RES_tr-TR'!$CD$19</definedName>
    <definedName name="dbFTest_PlyInpFld" localSheetId="25">'RES_zh-CN'!$CD$19</definedName>
    <definedName name="dbFTest_PlyInpFld" localSheetId="26">'RES_zh-TW'!$CD$19</definedName>
    <definedName name="dbFTest_PlyName" localSheetId="3">'RES_cs-CZ'!$CJ$19</definedName>
    <definedName name="dbFTest_PlyName" localSheetId="4">'RES_da-DK'!$CJ$19</definedName>
    <definedName name="dbFTest_PlyName" localSheetId="5">'RES_de-DE'!$CJ$19</definedName>
    <definedName name="dbFTest_PlyName" localSheetId="6">'RES_el-GR'!$CJ$19</definedName>
    <definedName name="dbFTest_PlyName" localSheetId="2">'RES_en-US'!$CJ$19</definedName>
    <definedName name="dbFTest_PlyName" localSheetId="7">'RES_es-ES'!$CJ$19</definedName>
    <definedName name="dbFTest_PlyName" localSheetId="8">'RES_fi-FI'!$CJ$19</definedName>
    <definedName name="dbFTest_PlyName" localSheetId="1">'RES_fr-FR'!$CJ$19</definedName>
    <definedName name="dbFTest_PlyName" localSheetId="9">'RES_hr-HR'!$CJ$19</definedName>
    <definedName name="dbFTest_PlyName" localSheetId="10">'RES_hu-HU'!$CJ$19</definedName>
    <definedName name="dbFTest_PlyName" localSheetId="11">'RES_it-IT'!$CJ$19</definedName>
    <definedName name="dbFTest_PlyName" localSheetId="12">'RES_ja-JP'!$CJ$19</definedName>
    <definedName name="dbFTest_PlyName" localSheetId="13">'RES_ko-KR'!$CJ$19</definedName>
    <definedName name="dbFTest_PlyName" localSheetId="14">'RES_lv-LV'!$CJ$19</definedName>
    <definedName name="dbFTest_PlyName" localSheetId="15">'RES_nb-NO'!$CJ$19</definedName>
    <definedName name="dbFTest_PlyName" localSheetId="16">'RES_nl-NL'!$CJ$19</definedName>
    <definedName name="dbFTest_PlyName" localSheetId="17">'RES_pl-PL'!$CJ$19</definedName>
    <definedName name="dbFTest_PlyName" localSheetId="18">'RES_pt-BR'!$CJ$19</definedName>
    <definedName name="dbFTest_PlyName" localSheetId="19">'RES_pt-PT'!$CJ$19</definedName>
    <definedName name="dbFTest_PlyName" localSheetId="20">'RES_ro-RO'!$CJ$19</definedName>
    <definedName name="dbFTest_PlyName" localSheetId="21">'RES_ru-RU'!$CJ$19</definedName>
    <definedName name="dbFTest_PlyName" localSheetId="22">'RES_sl-SI'!$CJ$19</definedName>
    <definedName name="dbFTest_PlyName" localSheetId="23">'RES_sv-SE'!$CJ$19</definedName>
    <definedName name="dbFTest_PlyName" localSheetId="24">'RES_tr-TR'!$CJ$19</definedName>
    <definedName name="dbFTest_PlyName" localSheetId="25">'RES_zh-CN'!$CJ$19</definedName>
    <definedName name="dbFTest_PlyName" localSheetId="26">'RES_zh-TW'!$CJ$19</definedName>
    <definedName name="dbFTest_RangeInpFld" localSheetId="3">'RES_cs-CZ'!$CD$18</definedName>
    <definedName name="dbFTest_RangeInpFld" localSheetId="4">'RES_da-DK'!$CD$18</definedName>
    <definedName name="dbFTest_RangeInpFld" localSheetId="5">'RES_de-DE'!$CD$18</definedName>
    <definedName name="dbFTest_RangeInpFld" localSheetId="6">'RES_el-GR'!$CD$18</definedName>
    <definedName name="dbFTest_RangeInpFld" localSheetId="2">'RES_en-US'!$CD$18</definedName>
    <definedName name="dbFTest_RangeInpFld" localSheetId="7">'RES_es-ES'!$CD$18</definedName>
    <definedName name="dbFTest_RangeInpFld" localSheetId="8">'RES_fi-FI'!$CD$18</definedName>
    <definedName name="dbFTest_RangeInpFld" localSheetId="1">'RES_fr-FR'!$CD$18</definedName>
    <definedName name="dbFTest_RangeInpFld" localSheetId="9">'RES_hr-HR'!$CD$18</definedName>
    <definedName name="dbFTest_RangeInpFld" localSheetId="10">'RES_hu-HU'!$CD$18</definedName>
    <definedName name="dbFTest_RangeInpFld" localSheetId="11">'RES_it-IT'!$CD$18</definedName>
    <definedName name="dbFTest_RangeInpFld" localSheetId="12">'RES_ja-JP'!$CD$18</definedName>
    <definedName name="dbFTest_RangeInpFld" localSheetId="13">'RES_ko-KR'!$CD$18</definedName>
    <definedName name="dbFTest_RangeInpFld" localSheetId="14">'RES_lv-LV'!$CD$18</definedName>
    <definedName name="dbFTest_RangeInpFld" localSheetId="15">'RES_nb-NO'!$CD$18</definedName>
    <definedName name="dbFTest_RangeInpFld" localSheetId="16">'RES_nl-NL'!$CD$18</definedName>
    <definedName name="dbFTest_RangeInpFld" localSheetId="17">'RES_pl-PL'!$CD$18</definedName>
    <definedName name="dbFTest_RangeInpFld" localSheetId="18">'RES_pt-BR'!$CD$18</definedName>
    <definedName name="dbFTest_RangeInpFld" localSheetId="19">'RES_pt-PT'!$CD$18</definedName>
    <definedName name="dbFTest_RangeInpFld" localSheetId="20">'RES_ro-RO'!$CD$18</definedName>
    <definedName name="dbFTest_RangeInpFld" localSheetId="21">'RES_ru-RU'!$CD$18</definedName>
    <definedName name="dbFTest_RangeInpFld" localSheetId="22">'RES_sl-SI'!$CD$18</definedName>
    <definedName name="dbFTest_RangeInpFld" localSheetId="23">'RES_sv-SE'!$CD$18</definedName>
    <definedName name="dbFTest_RangeInpFld" localSheetId="24">'RES_tr-TR'!$CD$18</definedName>
    <definedName name="dbFTest_RangeInpFld" localSheetId="25">'RES_zh-CN'!$CD$18</definedName>
    <definedName name="dbFTest_RangeInpFld" localSheetId="26">'RES_zh-TW'!$CD$18</definedName>
    <definedName name="dbFTest_RangeRef" localSheetId="3">'RES_cs-CZ'!$CJ$18</definedName>
    <definedName name="dbFTest_RangeRef" localSheetId="4">'RES_da-DK'!$CJ$18</definedName>
    <definedName name="dbFTest_RangeRef" localSheetId="5">'RES_de-DE'!$CJ$18</definedName>
    <definedName name="dbFTest_RangeRef" localSheetId="6">'RES_el-GR'!$CJ$18</definedName>
    <definedName name="dbFTest_RangeRef" localSheetId="2">'RES_en-US'!$CJ$18</definedName>
    <definedName name="dbFTest_RangeRef" localSheetId="7">'RES_es-ES'!$CJ$18</definedName>
    <definedName name="dbFTest_RangeRef" localSheetId="8">'RES_fi-FI'!$CJ$18</definedName>
    <definedName name="dbFTest_RangeRef" localSheetId="1">'RES_fr-FR'!$CJ$18</definedName>
    <definedName name="dbFTest_RangeRef" localSheetId="9">'RES_hr-HR'!$CJ$18</definedName>
    <definedName name="dbFTest_RangeRef" localSheetId="10">'RES_hu-HU'!$CJ$18</definedName>
    <definedName name="dbFTest_RangeRef" localSheetId="11">'RES_it-IT'!$CJ$18</definedName>
    <definedName name="dbFTest_RangeRef" localSheetId="12">'RES_ja-JP'!$CJ$18</definedName>
    <definedName name="dbFTest_RangeRef" localSheetId="13">'RES_ko-KR'!$CJ$18</definedName>
    <definedName name="dbFTest_RangeRef" localSheetId="14">'RES_lv-LV'!$CJ$18</definedName>
    <definedName name="dbFTest_RangeRef" localSheetId="15">'RES_nb-NO'!$CJ$18</definedName>
    <definedName name="dbFTest_RangeRef" localSheetId="16">'RES_nl-NL'!$CJ$18</definedName>
    <definedName name="dbFTest_RangeRef" localSheetId="17">'RES_pl-PL'!$CJ$18</definedName>
    <definedName name="dbFTest_RangeRef" localSheetId="18">'RES_pt-BR'!$CJ$18</definedName>
    <definedName name="dbFTest_RangeRef" localSheetId="19">'RES_pt-PT'!$CJ$18</definedName>
    <definedName name="dbFTest_RangeRef" localSheetId="20">'RES_ro-RO'!$CJ$18</definedName>
    <definedName name="dbFTest_RangeRef" localSheetId="21">'RES_ru-RU'!$CJ$18</definedName>
    <definedName name="dbFTest_RangeRef" localSheetId="22">'RES_sl-SI'!$CJ$18</definedName>
    <definedName name="dbFTest_RangeRef" localSheetId="23">'RES_sv-SE'!$CJ$18</definedName>
    <definedName name="dbFTest_RangeRef" localSheetId="24">'RES_tr-TR'!$CJ$18</definedName>
    <definedName name="dbFTest_RangeRef" localSheetId="25">'RES_zh-CN'!$CJ$18</definedName>
    <definedName name="dbFTest_RangeRef" localSheetId="26">'RES_zh-TW'!$CJ$18</definedName>
    <definedName name="dbFTest_VarRng1" localSheetId="3">'RES_cs-CZ'!$CJ$7</definedName>
    <definedName name="dbFTest_VarRng1" localSheetId="4">'RES_da-DK'!$CJ$7</definedName>
    <definedName name="dbFTest_VarRng1" localSheetId="5">'RES_de-DE'!$CJ$7</definedName>
    <definedName name="dbFTest_VarRng1" localSheetId="6">'RES_el-GR'!$CJ$7</definedName>
    <definedName name="dbFTest_VarRng1" localSheetId="2">'RES_en-US'!$CJ$7</definedName>
    <definedName name="dbFTest_VarRng1" localSheetId="7">'RES_es-ES'!$CJ$7</definedName>
    <definedName name="dbFTest_VarRng1" localSheetId="8">'RES_fi-FI'!$CJ$7</definedName>
    <definedName name="dbFTest_VarRng1" localSheetId="1">'RES_fr-FR'!$CJ$7</definedName>
    <definedName name="dbFTest_VarRng1" localSheetId="9">'RES_hr-HR'!$CJ$7</definedName>
    <definedName name="dbFTest_VarRng1" localSheetId="10">'RES_hu-HU'!$CJ$7</definedName>
    <definedName name="dbFTest_VarRng1" localSheetId="11">'RES_it-IT'!$CJ$7</definedName>
    <definedName name="dbFTest_VarRng1" localSheetId="12">'RES_ja-JP'!$CJ$7</definedName>
    <definedName name="dbFTest_VarRng1" localSheetId="13">'RES_ko-KR'!$CJ$7</definedName>
    <definedName name="dbFTest_VarRng1" localSheetId="14">'RES_lv-LV'!$CJ$7</definedName>
    <definedName name="dbFTest_VarRng1" localSheetId="15">'RES_nb-NO'!$CJ$7</definedName>
    <definedName name="dbFTest_VarRng1" localSheetId="16">'RES_nl-NL'!$CJ$7</definedName>
    <definedName name="dbFTest_VarRng1" localSheetId="17">'RES_pl-PL'!$CJ$7</definedName>
    <definedName name="dbFTest_VarRng1" localSheetId="18">'RES_pt-BR'!$CJ$7</definedName>
    <definedName name="dbFTest_VarRng1" localSheetId="19">'RES_pt-PT'!$CJ$7</definedName>
    <definedName name="dbFTest_VarRng1" localSheetId="20">'RES_ro-RO'!$CJ$7</definedName>
    <definedName name="dbFTest_VarRng1" localSheetId="21">'RES_ru-RU'!$CJ$7</definedName>
    <definedName name="dbFTest_VarRng1" localSheetId="22">'RES_sl-SI'!$CJ$7</definedName>
    <definedName name="dbFTest_VarRng1" localSheetId="23">'RES_sv-SE'!$CJ$7</definedName>
    <definedName name="dbFTest_VarRng1" localSheetId="24">'RES_tr-TR'!$CJ$7</definedName>
    <definedName name="dbFTest_VarRng1" localSheetId="25">'RES_zh-CN'!$CJ$7</definedName>
    <definedName name="dbFTest_VarRng1" localSheetId="26">'RES_zh-TW'!$CJ$7</definedName>
    <definedName name="dbFTest_VarRng2" localSheetId="3">'RES_cs-CZ'!$CJ$9</definedName>
    <definedName name="dbFTest_VarRng2" localSheetId="4">'RES_da-DK'!$CJ$9</definedName>
    <definedName name="dbFTest_VarRng2" localSheetId="5">'RES_de-DE'!$CJ$9</definedName>
    <definedName name="dbFTest_VarRng2" localSheetId="6">'RES_el-GR'!$CJ$9</definedName>
    <definedName name="dbFTest_VarRng2" localSheetId="2">'RES_en-US'!$CJ$9</definedName>
    <definedName name="dbFTest_VarRng2" localSheetId="7">'RES_es-ES'!$CJ$9</definedName>
    <definedName name="dbFTest_VarRng2" localSheetId="8">'RES_fi-FI'!$CJ$9</definedName>
    <definedName name="dbFTest_VarRng2" localSheetId="1">'RES_fr-FR'!$CJ$9</definedName>
    <definedName name="dbFTest_VarRng2" localSheetId="9">'RES_hr-HR'!$CJ$9</definedName>
    <definedName name="dbFTest_VarRng2" localSheetId="10">'RES_hu-HU'!$CJ$9</definedName>
    <definedName name="dbFTest_VarRng2" localSheetId="11">'RES_it-IT'!$CJ$9</definedName>
    <definedName name="dbFTest_VarRng2" localSheetId="12">'RES_ja-JP'!$CJ$9</definedName>
    <definedName name="dbFTest_VarRng2" localSheetId="13">'RES_ko-KR'!$CJ$9</definedName>
    <definedName name="dbFTest_VarRng2" localSheetId="14">'RES_lv-LV'!$CJ$9</definedName>
    <definedName name="dbFTest_VarRng2" localSheetId="15">'RES_nb-NO'!$CJ$9</definedName>
    <definedName name="dbFTest_VarRng2" localSheetId="16">'RES_nl-NL'!$CJ$9</definedName>
    <definedName name="dbFTest_VarRng2" localSheetId="17">'RES_pl-PL'!$CJ$9</definedName>
    <definedName name="dbFTest_VarRng2" localSheetId="18">'RES_pt-BR'!$CJ$9</definedName>
    <definedName name="dbFTest_VarRng2" localSheetId="19">'RES_pt-PT'!$CJ$9</definedName>
    <definedName name="dbFTest_VarRng2" localSheetId="20">'RES_ro-RO'!$CJ$9</definedName>
    <definedName name="dbFTest_VarRng2" localSheetId="21">'RES_ru-RU'!$CJ$9</definedName>
    <definedName name="dbFTest_VarRng2" localSheetId="22">'RES_sl-SI'!$CJ$9</definedName>
    <definedName name="dbFTest_VarRng2" localSheetId="23">'RES_sv-SE'!$CJ$9</definedName>
    <definedName name="dbFTest_VarRng2" localSheetId="24">'RES_tr-TR'!$CJ$9</definedName>
    <definedName name="dbFTest_VarRng2" localSheetId="25">'RES_zh-CN'!$CJ$9</definedName>
    <definedName name="dbFTest_VarRng2" localSheetId="26">'RES_zh-TW'!$CJ$9</definedName>
    <definedName name="dbFTestTitle" localSheetId="3">'RES_cs-CZ'!$CI$2</definedName>
    <definedName name="dbFTestTitle" localSheetId="4">'RES_da-DK'!$CI$2</definedName>
    <definedName name="dbFTestTitle" localSheetId="5">'RES_de-DE'!$CI$2</definedName>
    <definedName name="dbFTestTitle" localSheetId="6">'RES_el-GR'!$CI$2</definedName>
    <definedName name="dbFTestTitle" localSheetId="2">'RES_en-US'!$CI$2</definedName>
    <definedName name="dbFTestTitle" localSheetId="7">'RES_es-ES'!$CI$2</definedName>
    <definedName name="dbFTestTitle" localSheetId="8">'RES_fi-FI'!$CI$2</definedName>
    <definedName name="dbFTestTitle" localSheetId="1">'RES_fr-FR'!$CI$2</definedName>
    <definedName name="dbFTestTitle" localSheetId="9">'RES_hr-HR'!$CI$2</definedName>
    <definedName name="dbFTestTitle" localSheetId="10">'RES_hu-HU'!$CI$2</definedName>
    <definedName name="dbFTestTitle" localSheetId="11">'RES_it-IT'!$CI$2</definedName>
    <definedName name="dbFTestTitle" localSheetId="12">'RES_ja-JP'!$CI$2</definedName>
    <definedName name="dbFTestTitle" localSheetId="13">'RES_ko-KR'!$CI$2</definedName>
    <definedName name="dbFTestTitle" localSheetId="14">'RES_lv-LV'!$CI$2</definedName>
    <definedName name="dbFTestTitle" localSheetId="15">'RES_nb-NO'!$CI$2</definedName>
    <definedName name="dbFTestTitle" localSheetId="16">'RES_nl-NL'!$CI$2</definedName>
    <definedName name="dbFTestTitle" localSheetId="17">'RES_pl-PL'!$CI$2</definedName>
    <definedName name="dbFTestTitle" localSheetId="18">'RES_pt-BR'!$CI$2</definedName>
    <definedName name="dbFTestTitle" localSheetId="19">'RES_pt-PT'!$CI$2</definedName>
    <definedName name="dbFTestTitle" localSheetId="20">'RES_ro-RO'!$CI$2</definedName>
    <definedName name="dbFTestTitle" localSheetId="21">'RES_ru-RU'!$CI$2</definedName>
    <definedName name="dbFTestTitle" localSheetId="22">'RES_sl-SI'!$CI$2</definedName>
    <definedName name="dbFTestTitle" localSheetId="23">'RES_sv-SE'!$CI$2</definedName>
    <definedName name="dbFTestTitle" localSheetId="24">'RES_tr-TR'!$CI$2</definedName>
    <definedName name="dbFTestTitle" localSheetId="25">'RES_zh-CN'!$CI$2</definedName>
    <definedName name="dbFTestTitle" localSheetId="26">'RES_zh-TW'!$CI$2</definedName>
    <definedName name="dBHistogram" localSheetId="3">'RES_cs-CZ'!$BF$87:$BL$106</definedName>
    <definedName name="dBHistogram" localSheetId="4">'RES_da-DK'!$BF$87:$BL$106</definedName>
    <definedName name="dBHistogram" localSheetId="5">'RES_de-DE'!$BF$87:$BL$106</definedName>
    <definedName name="dBHistogram" localSheetId="6">'RES_el-GR'!$BF$87:$BL$106</definedName>
    <definedName name="dBHistogram" localSheetId="2">'RES_en-US'!$BF$87:$BL$106</definedName>
    <definedName name="dBHistogram" localSheetId="7">'RES_es-ES'!$BF$87:$BL$106</definedName>
    <definedName name="dBHistogram" localSheetId="8">'RES_fi-FI'!$BF$87:$BL$106</definedName>
    <definedName name="dBHistogram" localSheetId="1">'RES_fr-FR'!$BF$87:$BL$106</definedName>
    <definedName name="dBHistogram" localSheetId="9">'RES_hr-HR'!$BF$87:$BL$106</definedName>
    <definedName name="dBHistogram" localSheetId="10">'RES_hu-HU'!$BF$87:$BL$106</definedName>
    <definedName name="dBHistogram" localSheetId="11">'RES_it-IT'!$BF$87:$BL$106</definedName>
    <definedName name="dBHistogram" localSheetId="12">'RES_ja-JP'!$BF$87:$BL$106</definedName>
    <definedName name="dBHistogram" localSheetId="13">'RES_ko-KR'!$BF$87:$BL$106</definedName>
    <definedName name="dBHistogram" localSheetId="14">'RES_lv-LV'!$BF$87:$BL$106</definedName>
    <definedName name="dBHistogram" localSheetId="15">'RES_nb-NO'!$BF$87:$BL$106</definedName>
    <definedName name="dBHistogram" localSheetId="16">'RES_nl-NL'!$BF$87:$BL$106</definedName>
    <definedName name="dBHistogram" localSheetId="17">'RES_pl-PL'!$BF$87:$BL$106</definedName>
    <definedName name="dBHistogram" localSheetId="18">'RES_pt-BR'!$BF$87:$BL$106</definedName>
    <definedName name="dBHistogram" localSheetId="19">'RES_pt-PT'!$BF$87:$BL$106</definedName>
    <definedName name="dBHistogram" localSheetId="20">'RES_ro-RO'!$BF$87:$BL$106</definedName>
    <definedName name="dBHistogram" localSheetId="21">'RES_ru-RU'!$BF$87:$BL$106</definedName>
    <definedName name="dBHistogram" localSheetId="22">'RES_sl-SI'!$BF$87:$BL$106</definedName>
    <definedName name="dBHistogram" localSheetId="23">'RES_sv-SE'!$BF$87:$BL$106</definedName>
    <definedName name="dBHistogram" localSheetId="24">'RES_tr-TR'!$BF$87:$BL$106</definedName>
    <definedName name="dBHistogram" localSheetId="25">'RES_zh-CN'!$BF$87:$BL$106</definedName>
    <definedName name="dBHistogram" localSheetId="26">'RES_zh-TW'!$BF$87:$BL$106</definedName>
    <definedName name="dbHistogram_BinRange" localSheetId="3">'RES_cs-CZ'!$BL$94</definedName>
    <definedName name="dbHistogram_BinRange" localSheetId="4">'RES_da-DK'!$BL$94</definedName>
    <definedName name="dbHistogram_BinRange" localSheetId="5">'RES_de-DE'!$BL$94</definedName>
    <definedName name="dbHistogram_BinRange" localSheetId="6">'RES_el-GR'!$BL$94</definedName>
    <definedName name="dbHistogram_BinRange" localSheetId="2">'RES_en-US'!$BL$94</definedName>
    <definedName name="dbHistogram_BinRange" localSheetId="7">'RES_es-ES'!$BL$94</definedName>
    <definedName name="dbHistogram_BinRange" localSheetId="8">'RES_fi-FI'!$BL$94</definedName>
    <definedName name="dbHistogram_BinRange" localSheetId="1">'RES_fr-FR'!$BL$94</definedName>
    <definedName name="dbHistogram_BinRange" localSheetId="9">'RES_hr-HR'!$BL$94</definedName>
    <definedName name="dbHistogram_BinRange" localSheetId="10">'RES_hu-HU'!$BL$94</definedName>
    <definedName name="dbHistogram_BinRange" localSheetId="11">'RES_it-IT'!$BL$94</definedName>
    <definedName name="dbHistogram_BinRange" localSheetId="12">'RES_ja-JP'!$BL$94</definedName>
    <definedName name="dbHistogram_BinRange" localSheetId="13">'RES_ko-KR'!$BL$94</definedName>
    <definedName name="dbHistogram_BinRange" localSheetId="14">'RES_lv-LV'!$BL$94</definedName>
    <definedName name="dbHistogram_BinRange" localSheetId="15">'RES_nb-NO'!$BL$94</definedName>
    <definedName name="dbHistogram_BinRange" localSheetId="16">'RES_nl-NL'!$BL$94</definedName>
    <definedName name="dbHistogram_BinRange" localSheetId="17">'RES_pl-PL'!$BL$94</definedName>
    <definedName name="dbHistogram_BinRange" localSheetId="18">'RES_pt-BR'!$BL$94</definedName>
    <definedName name="dbHistogram_BinRange" localSheetId="19">'RES_pt-PT'!$BL$94</definedName>
    <definedName name="dbHistogram_BinRange" localSheetId="20">'RES_ro-RO'!$BL$94</definedName>
    <definedName name="dbHistogram_BinRange" localSheetId="21">'RES_ru-RU'!$BL$94</definedName>
    <definedName name="dbHistogram_BinRange" localSheetId="22">'RES_sl-SI'!$BL$94</definedName>
    <definedName name="dbHistogram_BinRange" localSheetId="23">'RES_sv-SE'!$BL$94</definedName>
    <definedName name="dbHistogram_BinRange" localSheetId="24">'RES_tr-TR'!$BL$94</definedName>
    <definedName name="dbHistogram_BinRange" localSheetId="25">'RES_zh-CN'!$BL$94</definedName>
    <definedName name="dbHistogram_BinRange" localSheetId="26">'RES_zh-TW'!$BL$94</definedName>
    <definedName name="dbHistogram_ChartChkBox" localSheetId="3">'RES_cs-CZ'!$BL$105</definedName>
    <definedName name="dbHistogram_ChartChkBox" localSheetId="4">'RES_da-DK'!$BL$105</definedName>
    <definedName name="dbHistogram_ChartChkBox" localSheetId="5">'RES_de-DE'!$BL$105</definedName>
    <definedName name="dbHistogram_ChartChkBox" localSheetId="6">'RES_el-GR'!$BL$105</definedName>
    <definedName name="dbHistogram_ChartChkBox" localSheetId="2">'RES_en-US'!$BL$105</definedName>
    <definedName name="dbHistogram_ChartChkBox" localSheetId="7">'RES_es-ES'!$BL$105</definedName>
    <definedName name="dbHistogram_ChartChkBox" localSheetId="8">'RES_fi-FI'!$BL$105</definedName>
    <definedName name="dbHistogram_ChartChkBox" localSheetId="1">'RES_fr-FR'!$BL$105</definedName>
    <definedName name="dbHistogram_ChartChkBox" localSheetId="9">'RES_hr-HR'!$BL$105</definedName>
    <definedName name="dbHistogram_ChartChkBox" localSheetId="10">'RES_hu-HU'!$BL$105</definedName>
    <definedName name="dbHistogram_ChartChkBox" localSheetId="11">'RES_it-IT'!$BL$105</definedName>
    <definedName name="dbHistogram_ChartChkBox" localSheetId="12">'RES_ja-JP'!$BL$105</definedName>
    <definedName name="dbHistogram_ChartChkBox" localSheetId="13">'RES_ko-KR'!$BL$105</definedName>
    <definedName name="dbHistogram_ChartChkBox" localSheetId="14">'RES_lv-LV'!$BL$105</definedName>
    <definedName name="dbHistogram_ChartChkBox" localSheetId="15">'RES_nb-NO'!$BL$105</definedName>
    <definedName name="dbHistogram_ChartChkBox" localSheetId="16">'RES_nl-NL'!$BL$105</definedName>
    <definedName name="dbHistogram_ChartChkBox" localSheetId="17">'RES_pl-PL'!$BL$105</definedName>
    <definedName name="dbHistogram_ChartChkBox" localSheetId="18">'RES_pt-BR'!$BL$105</definedName>
    <definedName name="dbHistogram_ChartChkBox" localSheetId="19">'RES_pt-PT'!$BL$105</definedName>
    <definedName name="dbHistogram_ChartChkBox" localSheetId="20">'RES_ro-RO'!$BL$105</definedName>
    <definedName name="dbHistogram_ChartChkBox" localSheetId="21">'RES_ru-RU'!$BL$105</definedName>
    <definedName name="dbHistogram_ChartChkBox" localSheetId="22">'RES_sl-SI'!$BL$105</definedName>
    <definedName name="dbHistogram_ChartChkBox" localSheetId="23">'RES_sv-SE'!$BL$105</definedName>
    <definedName name="dbHistogram_ChartChkBox" localSheetId="24">'RES_tr-TR'!$BL$105</definedName>
    <definedName name="dbHistogram_ChartChkBox" localSheetId="25">'RES_zh-CN'!$BL$105</definedName>
    <definedName name="dbHistogram_ChartChkBox" localSheetId="26">'RES_zh-TW'!$BL$105</definedName>
    <definedName name="dbHistogram_CumuChkBox" localSheetId="3">'RES_cs-CZ'!$BL$104</definedName>
    <definedName name="dbHistogram_CumuChkBox" localSheetId="4">'RES_da-DK'!$BL$104</definedName>
    <definedName name="dbHistogram_CumuChkBox" localSheetId="5">'RES_de-DE'!$BL$104</definedName>
    <definedName name="dbHistogram_CumuChkBox" localSheetId="6">'RES_el-GR'!$BL$104</definedName>
    <definedName name="dbHistogram_CumuChkBox" localSheetId="2">'RES_en-US'!$BL$104</definedName>
    <definedName name="dbHistogram_CumuChkBox" localSheetId="7">'RES_es-ES'!$BL$104</definedName>
    <definedName name="dbHistogram_CumuChkBox" localSheetId="8">'RES_fi-FI'!$BL$104</definedName>
    <definedName name="dbHistogram_CumuChkBox" localSheetId="1">'RES_fr-FR'!$BL$104</definedName>
    <definedName name="dbHistogram_CumuChkBox" localSheetId="9">'RES_hr-HR'!$BL$104</definedName>
    <definedName name="dbHistogram_CumuChkBox" localSheetId="10">'RES_hu-HU'!$BL$104</definedName>
    <definedName name="dbHistogram_CumuChkBox" localSheetId="11">'RES_it-IT'!$BL$104</definedName>
    <definedName name="dbHistogram_CumuChkBox" localSheetId="12">'RES_ja-JP'!$BL$104</definedName>
    <definedName name="dbHistogram_CumuChkBox" localSheetId="13">'RES_ko-KR'!$BL$104</definedName>
    <definedName name="dbHistogram_CumuChkBox" localSheetId="14">'RES_lv-LV'!$BL$104</definedName>
    <definedName name="dbHistogram_CumuChkBox" localSheetId="15">'RES_nb-NO'!$BL$104</definedName>
    <definedName name="dbHistogram_CumuChkBox" localSheetId="16">'RES_nl-NL'!$BL$104</definedName>
    <definedName name="dbHistogram_CumuChkBox" localSheetId="17">'RES_pl-PL'!$BL$104</definedName>
    <definedName name="dbHistogram_CumuChkBox" localSheetId="18">'RES_pt-BR'!$BL$104</definedName>
    <definedName name="dbHistogram_CumuChkBox" localSheetId="19">'RES_pt-PT'!$BL$104</definedName>
    <definedName name="dbHistogram_CumuChkBox" localSheetId="20">'RES_ro-RO'!$BL$104</definedName>
    <definedName name="dbHistogram_CumuChkBox" localSheetId="21">'RES_ru-RU'!$BL$104</definedName>
    <definedName name="dbHistogram_CumuChkBox" localSheetId="22">'RES_sl-SI'!$BL$104</definedName>
    <definedName name="dbHistogram_CumuChkBox" localSheetId="23">'RES_sv-SE'!$BL$104</definedName>
    <definedName name="dbHistogram_CumuChkBox" localSheetId="24">'RES_tr-TR'!$BL$104</definedName>
    <definedName name="dbHistogram_CumuChkBox" localSheetId="25">'RES_zh-CN'!$BL$104</definedName>
    <definedName name="dbHistogram_CumuChkBox" localSheetId="26">'RES_zh-TW'!$BL$104</definedName>
    <definedName name="dbHistogram_InRange" localSheetId="3">'RES_cs-CZ'!$BL$92</definedName>
    <definedName name="dbHistogram_InRange" localSheetId="4">'RES_da-DK'!$BL$92</definedName>
    <definedName name="dbHistogram_InRange" localSheetId="5">'RES_de-DE'!$BL$92</definedName>
    <definedName name="dbHistogram_InRange" localSheetId="6">'RES_el-GR'!$BL$92</definedName>
    <definedName name="dbHistogram_InRange" localSheetId="2">'RES_en-US'!$BL$92</definedName>
    <definedName name="dbHistogram_InRange" localSheetId="7">'RES_es-ES'!$BL$92</definedName>
    <definedName name="dbHistogram_InRange" localSheetId="8">'RES_fi-FI'!$BL$92</definedName>
    <definedName name="dbHistogram_InRange" localSheetId="1">'RES_fr-FR'!$BL$92</definedName>
    <definedName name="dbHistogram_InRange" localSheetId="9">'RES_hr-HR'!$BL$92</definedName>
    <definedName name="dbHistogram_InRange" localSheetId="10">'RES_hu-HU'!$BL$92</definedName>
    <definedName name="dbHistogram_InRange" localSheetId="11">'RES_it-IT'!$BL$92</definedName>
    <definedName name="dbHistogram_InRange" localSheetId="12">'RES_ja-JP'!$BL$92</definedName>
    <definedName name="dbHistogram_InRange" localSheetId="13">'RES_ko-KR'!$BL$92</definedName>
    <definedName name="dbHistogram_InRange" localSheetId="14">'RES_lv-LV'!$BL$92</definedName>
    <definedName name="dbHistogram_InRange" localSheetId="15">'RES_nb-NO'!$BL$92</definedName>
    <definedName name="dbHistogram_InRange" localSheetId="16">'RES_nl-NL'!$BL$92</definedName>
    <definedName name="dbHistogram_InRange" localSheetId="17">'RES_pl-PL'!$BL$92</definedName>
    <definedName name="dbHistogram_InRange" localSheetId="18">'RES_pt-BR'!$BL$92</definedName>
    <definedName name="dbHistogram_InRange" localSheetId="19">'RES_pt-PT'!$BL$92</definedName>
    <definedName name="dbHistogram_InRange" localSheetId="20">'RES_ro-RO'!$BL$92</definedName>
    <definedName name="dbHistogram_InRange" localSheetId="21">'RES_ru-RU'!$BL$92</definedName>
    <definedName name="dbHistogram_InRange" localSheetId="22">'RES_sl-SI'!$BL$92</definedName>
    <definedName name="dbHistogram_InRange" localSheetId="23">'RES_sv-SE'!$BL$92</definedName>
    <definedName name="dbHistogram_InRange" localSheetId="24">'RES_tr-TR'!$BL$92</definedName>
    <definedName name="dbHistogram_InRange" localSheetId="25">'RES_zh-CN'!$BL$92</definedName>
    <definedName name="dbHistogram_InRange" localSheetId="26">'RES_zh-TW'!$BL$92</definedName>
    <definedName name="dbHistogram_LabelText" localSheetId="3">'RES_cs-CZ'!$BK$95</definedName>
    <definedName name="dbHistogram_LabelText" localSheetId="4">'RES_da-DK'!$BK$95</definedName>
    <definedName name="dbHistogram_LabelText" localSheetId="5">'RES_de-DE'!$BK$95</definedName>
    <definedName name="dbHistogram_LabelText" localSheetId="6">'RES_el-GR'!$BK$95</definedName>
    <definedName name="dbHistogram_LabelText" localSheetId="2">'RES_en-US'!$BK$95</definedName>
    <definedName name="dbHistogram_LabelText" localSheetId="7">'RES_es-ES'!$BK$95</definedName>
    <definedName name="dbHistogram_LabelText" localSheetId="8">'RES_fi-FI'!$BK$95</definedName>
    <definedName name="dbHistogram_LabelText" localSheetId="1">'RES_fr-FR'!$BK$95</definedName>
    <definedName name="dbHistogram_LabelText" localSheetId="9">'RES_hr-HR'!$BK$95</definedName>
    <definedName name="dbHistogram_LabelText" localSheetId="10">'RES_hu-HU'!$BK$95</definedName>
    <definedName name="dbHistogram_LabelText" localSheetId="11">'RES_it-IT'!$BK$95</definedName>
    <definedName name="dbHistogram_LabelText" localSheetId="12">'RES_ja-JP'!$BK$95</definedName>
    <definedName name="dbHistogram_LabelText" localSheetId="13">'RES_ko-KR'!$BK$95</definedName>
    <definedName name="dbHistogram_LabelText" localSheetId="14">'RES_lv-LV'!$BK$95</definedName>
    <definedName name="dbHistogram_LabelText" localSheetId="15">'RES_nb-NO'!$BK$95</definedName>
    <definedName name="dbHistogram_LabelText" localSheetId="16">'RES_nl-NL'!$BK$95</definedName>
    <definedName name="dbHistogram_LabelText" localSheetId="17">'RES_pl-PL'!$BK$95</definedName>
    <definedName name="dbHistogram_LabelText" localSheetId="18">'RES_pt-BR'!$BK$95</definedName>
    <definedName name="dbHistogram_LabelText" localSheetId="19">'RES_pt-PT'!$BK$95</definedName>
    <definedName name="dbHistogram_LabelText" localSheetId="20">'RES_ro-RO'!$BK$95</definedName>
    <definedName name="dbHistogram_LabelText" localSheetId="21">'RES_ru-RU'!$BK$95</definedName>
    <definedName name="dbHistogram_LabelText" localSheetId="22">'RES_sl-SI'!$BK$95</definedName>
    <definedName name="dbHistogram_LabelText" localSheetId="23">'RES_sv-SE'!$BK$95</definedName>
    <definedName name="dbHistogram_LabelText" localSheetId="24">'RES_tr-TR'!$BK$95</definedName>
    <definedName name="dbHistogram_LabelText" localSheetId="25">'RES_zh-CN'!$BK$95</definedName>
    <definedName name="dbHistogram_LabelText" localSheetId="26">'RES_zh-TW'!$BK$95</definedName>
    <definedName name="dbHistogram_LblChkBox" localSheetId="3">'RES_cs-CZ'!$BL$95</definedName>
    <definedName name="dbHistogram_LblChkBox" localSheetId="4">'RES_da-DK'!$BL$95</definedName>
    <definedName name="dbHistogram_LblChkBox" localSheetId="5">'RES_de-DE'!$BL$95</definedName>
    <definedName name="dbHistogram_LblChkBox" localSheetId="6">'RES_el-GR'!$BL$95</definedName>
    <definedName name="dbHistogram_LblChkBox" localSheetId="2">'RES_en-US'!$BL$95</definedName>
    <definedName name="dbHistogram_LblChkBox" localSheetId="7">'RES_es-ES'!$BL$95</definedName>
    <definedName name="dbHistogram_LblChkBox" localSheetId="8">'RES_fi-FI'!$BL$95</definedName>
    <definedName name="dbHistogram_LblChkBox" localSheetId="1">'RES_fr-FR'!$BL$95</definedName>
    <definedName name="dbHistogram_LblChkBox" localSheetId="9">'RES_hr-HR'!$BL$95</definedName>
    <definedName name="dbHistogram_LblChkBox" localSheetId="10">'RES_hu-HU'!$BL$95</definedName>
    <definedName name="dbHistogram_LblChkBox" localSheetId="11">'RES_it-IT'!$BL$95</definedName>
    <definedName name="dbHistogram_LblChkBox" localSheetId="12">'RES_ja-JP'!$BL$95</definedName>
    <definedName name="dbHistogram_LblChkBox" localSheetId="13">'RES_ko-KR'!$BL$95</definedName>
    <definedName name="dbHistogram_LblChkBox" localSheetId="14">'RES_lv-LV'!$BL$95</definedName>
    <definedName name="dbHistogram_LblChkBox" localSheetId="15">'RES_nb-NO'!$BL$95</definedName>
    <definedName name="dbHistogram_LblChkBox" localSheetId="16">'RES_nl-NL'!$BL$95</definedName>
    <definedName name="dbHistogram_LblChkBox" localSheetId="17">'RES_pl-PL'!$BL$95</definedName>
    <definedName name="dbHistogram_LblChkBox" localSheetId="18">'RES_pt-BR'!$BL$95</definedName>
    <definedName name="dbHistogram_LblChkBox" localSheetId="19">'RES_pt-PT'!$BL$95</definedName>
    <definedName name="dbHistogram_LblChkBox" localSheetId="20">'RES_ro-RO'!$BL$95</definedName>
    <definedName name="dbHistogram_LblChkBox" localSheetId="21">'RES_ru-RU'!$BL$95</definedName>
    <definedName name="dbHistogram_LblChkBox" localSheetId="22">'RES_sl-SI'!$BL$95</definedName>
    <definedName name="dbHistogram_LblChkBox" localSheetId="23">'RES_sv-SE'!$BL$95</definedName>
    <definedName name="dbHistogram_LblChkBox" localSheetId="24">'RES_tr-TR'!$BL$95</definedName>
    <definedName name="dbHistogram_LblChkBox" localSheetId="25">'RES_zh-CN'!$BL$95</definedName>
    <definedName name="dbHistogram_LblChkBox" localSheetId="26">'RES_zh-TW'!$BL$95</definedName>
    <definedName name="dbHistogram_OutOption" localSheetId="3">'RES_cs-CZ'!$BL$97</definedName>
    <definedName name="dbHistogram_OutOption" localSheetId="4">'RES_da-DK'!$BL$97</definedName>
    <definedName name="dbHistogram_OutOption" localSheetId="5">'RES_de-DE'!$BL$97</definedName>
    <definedName name="dbHistogram_OutOption" localSheetId="6">'RES_el-GR'!$BL$97</definedName>
    <definedName name="dbHistogram_OutOption" localSheetId="2">'RES_en-US'!$BL$97</definedName>
    <definedName name="dbHistogram_OutOption" localSheetId="7">'RES_es-ES'!$BL$97</definedName>
    <definedName name="dbHistogram_OutOption" localSheetId="8">'RES_fi-FI'!$BL$97</definedName>
    <definedName name="dbHistogram_OutOption" localSheetId="1">'RES_fr-FR'!$BL$97</definedName>
    <definedName name="dbHistogram_OutOption" localSheetId="9">'RES_hr-HR'!$BL$97</definedName>
    <definedName name="dbHistogram_OutOption" localSheetId="10">'RES_hu-HU'!$BL$97</definedName>
    <definedName name="dbHistogram_OutOption" localSheetId="11">'RES_it-IT'!$BL$97</definedName>
    <definedName name="dbHistogram_OutOption" localSheetId="12">'RES_ja-JP'!$BL$97</definedName>
    <definedName name="dbHistogram_OutOption" localSheetId="13">'RES_ko-KR'!$BL$97</definedName>
    <definedName name="dbHistogram_OutOption" localSheetId="14">'RES_lv-LV'!$BL$97</definedName>
    <definedName name="dbHistogram_OutOption" localSheetId="15">'RES_nb-NO'!$BL$97</definedName>
    <definedName name="dbHistogram_OutOption" localSheetId="16">'RES_nl-NL'!$BL$97</definedName>
    <definedName name="dbHistogram_OutOption" localSheetId="17">'RES_pl-PL'!$BL$97</definedName>
    <definedName name="dbHistogram_OutOption" localSheetId="18">'RES_pt-BR'!$BL$97</definedName>
    <definedName name="dbHistogram_OutOption" localSheetId="19">'RES_pt-PT'!$BL$97</definedName>
    <definedName name="dbHistogram_OutOption" localSheetId="20">'RES_ro-RO'!$BL$97</definedName>
    <definedName name="dbHistogram_OutOption" localSheetId="21">'RES_ru-RU'!$BL$97</definedName>
    <definedName name="dbHistogram_OutOption" localSheetId="22">'RES_sl-SI'!$BL$97</definedName>
    <definedName name="dbHistogram_OutOption" localSheetId="23">'RES_sv-SE'!$BL$97</definedName>
    <definedName name="dbHistogram_OutOption" localSheetId="24">'RES_tr-TR'!$BL$97</definedName>
    <definedName name="dbHistogram_OutOption" localSheetId="25">'RES_zh-CN'!$BL$97</definedName>
    <definedName name="dbHistogram_OutOption" localSheetId="26">'RES_zh-TW'!$BL$97</definedName>
    <definedName name="dbHistogram_ParetoChkBox" localSheetId="3">'RES_cs-CZ'!$BL$103</definedName>
    <definedName name="dbHistogram_ParetoChkBox" localSheetId="4">'RES_da-DK'!$BL$103</definedName>
    <definedName name="dbHistogram_ParetoChkBox" localSheetId="5">'RES_de-DE'!$BL$103</definedName>
    <definedName name="dbHistogram_ParetoChkBox" localSheetId="6">'RES_el-GR'!$BL$103</definedName>
    <definedName name="dbHistogram_ParetoChkBox" localSheetId="2">'RES_en-US'!$BL$103</definedName>
    <definedName name="dbHistogram_ParetoChkBox" localSheetId="7">'RES_es-ES'!$BL$103</definedName>
    <definedName name="dbHistogram_ParetoChkBox" localSheetId="8">'RES_fi-FI'!$BL$103</definedName>
    <definedName name="dbHistogram_ParetoChkBox" localSheetId="1">'RES_fr-FR'!$BL$103</definedName>
    <definedName name="dbHistogram_ParetoChkBox" localSheetId="9">'RES_hr-HR'!$BL$103</definedName>
    <definedName name="dbHistogram_ParetoChkBox" localSheetId="10">'RES_hu-HU'!$BL$103</definedName>
    <definedName name="dbHistogram_ParetoChkBox" localSheetId="11">'RES_it-IT'!$BL$103</definedName>
    <definedName name="dbHistogram_ParetoChkBox" localSheetId="12">'RES_ja-JP'!$BL$103</definedName>
    <definedName name="dbHistogram_ParetoChkBox" localSheetId="13">'RES_ko-KR'!$BL$103</definedName>
    <definedName name="dbHistogram_ParetoChkBox" localSheetId="14">'RES_lv-LV'!$BL$103</definedName>
    <definedName name="dbHistogram_ParetoChkBox" localSheetId="15">'RES_nb-NO'!$BL$103</definedName>
    <definedName name="dbHistogram_ParetoChkBox" localSheetId="16">'RES_nl-NL'!$BL$103</definedName>
    <definedName name="dbHistogram_ParetoChkBox" localSheetId="17">'RES_pl-PL'!$BL$103</definedName>
    <definedName name="dbHistogram_ParetoChkBox" localSheetId="18">'RES_pt-BR'!$BL$103</definedName>
    <definedName name="dbHistogram_ParetoChkBox" localSheetId="19">'RES_pt-PT'!$BL$103</definedName>
    <definedName name="dbHistogram_ParetoChkBox" localSheetId="20">'RES_ro-RO'!$BL$103</definedName>
    <definedName name="dbHistogram_ParetoChkBox" localSheetId="21">'RES_ru-RU'!$BL$103</definedName>
    <definedName name="dbHistogram_ParetoChkBox" localSheetId="22">'RES_sl-SI'!$BL$103</definedName>
    <definedName name="dbHistogram_ParetoChkBox" localSheetId="23">'RES_sv-SE'!$BL$103</definedName>
    <definedName name="dbHistogram_ParetoChkBox" localSheetId="24">'RES_tr-TR'!$BL$103</definedName>
    <definedName name="dbHistogram_ParetoChkBox" localSheetId="25">'RES_zh-CN'!$BL$103</definedName>
    <definedName name="dbHistogram_ParetoChkBox" localSheetId="26">'RES_zh-TW'!$BL$103</definedName>
    <definedName name="dbHistogram_PlyInpFld" localSheetId="3">'RES_cs-CZ'!$BF$102</definedName>
    <definedName name="dbHistogram_PlyInpFld" localSheetId="4">'RES_da-DK'!$BF$102</definedName>
    <definedName name="dbHistogram_PlyInpFld" localSheetId="5">'RES_de-DE'!$BF$102</definedName>
    <definedName name="dbHistogram_PlyInpFld" localSheetId="6">'RES_el-GR'!$BF$102</definedName>
    <definedName name="dbHistogram_PlyInpFld" localSheetId="2">'RES_en-US'!$BF$102</definedName>
    <definedName name="dbHistogram_PlyInpFld" localSheetId="7">'RES_es-ES'!$BF$102</definedName>
    <definedName name="dbHistogram_PlyInpFld" localSheetId="8">'RES_fi-FI'!$BF$102</definedName>
    <definedName name="dbHistogram_PlyInpFld" localSheetId="1">'RES_fr-FR'!$BF$102</definedName>
    <definedName name="dbHistogram_PlyInpFld" localSheetId="9">'RES_hr-HR'!$BF$102</definedName>
    <definedName name="dbHistogram_PlyInpFld" localSheetId="10">'RES_hu-HU'!$BF$102</definedName>
    <definedName name="dbHistogram_PlyInpFld" localSheetId="11">'RES_it-IT'!$BF$102</definedName>
    <definedName name="dbHistogram_PlyInpFld" localSheetId="12">'RES_ja-JP'!$BF$102</definedName>
    <definedName name="dbHistogram_PlyInpFld" localSheetId="13">'RES_ko-KR'!$BF$102</definedName>
    <definedName name="dbHistogram_PlyInpFld" localSheetId="14">'RES_lv-LV'!$BF$102</definedName>
    <definedName name="dbHistogram_PlyInpFld" localSheetId="15">'RES_nb-NO'!$BF$102</definedName>
    <definedName name="dbHistogram_PlyInpFld" localSheetId="16">'RES_nl-NL'!$BF$102</definedName>
    <definedName name="dbHistogram_PlyInpFld" localSheetId="17">'RES_pl-PL'!$BF$102</definedName>
    <definedName name="dbHistogram_PlyInpFld" localSheetId="18">'RES_pt-BR'!$BF$102</definedName>
    <definedName name="dbHistogram_PlyInpFld" localSheetId="19">'RES_pt-PT'!$BF$102</definedName>
    <definedName name="dbHistogram_PlyInpFld" localSheetId="20">'RES_ro-RO'!$BF$102</definedName>
    <definedName name="dbHistogram_PlyInpFld" localSheetId="21">'RES_ru-RU'!$BF$102</definedName>
    <definedName name="dbHistogram_PlyInpFld" localSheetId="22">'RES_sl-SI'!$BF$102</definedName>
    <definedName name="dbHistogram_PlyInpFld" localSheetId="23">'RES_sv-SE'!$BF$102</definedName>
    <definedName name="dbHistogram_PlyInpFld" localSheetId="24">'RES_tr-TR'!$BF$102</definedName>
    <definedName name="dbHistogram_PlyInpFld" localSheetId="25">'RES_zh-CN'!$BF$102</definedName>
    <definedName name="dbHistogram_PlyInpFld" localSheetId="26">'RES_zh-TW'!$BF$102</definedName>
    <definedName name="dbHistogram_PlyName" localSheetId="3">'RES_cs-CZ'!$BL$102</definedName>
    <definedName name="dbHistogram_PlyName" localSheetId="4">'RES_da-DK'!$BL$102</definedName>
    <definedName name="dbHistogram_PlyName" localSheetId="5">'RES_de-DE'!$BL$102</definedName>
    <definedName name="dbHistogram_PlyName" localSheetId="6">'RES_el-GR'!$BL$102</definedName>
    <definedName name="dbHistogram_PlyName" localSheetId="2">'RES_en-US'!$BL$102</definedName>
    <definedName name="dbHistogram_PlyName" localSheetId="7">'RES_es-ES'!$BL$102</definedName>
    <definedName name="dbHistogram_PlyName" localSheetId="8">'RES_fi-FI'!$BL$102</definedName>
    <definedName name="dbHistogram_PlyName" localSheetId="1">'RES_fr-FR'!$BL$102</definedName>
    <definedName name="dbHistogram_PlyName" localSheetId="9">'RES_hr-HR'!$BL$102</definedName>
    <definedName name="dbHistogram_PlyName" localSheetId="10">'RES_hu-HU'!$BL$102</definedName>
    <definedName name="dbHistogram_PlyName" localSheetId="11">'RES_it-IT'!$BL$102</definedName>
    <definedName name="dbHistogram_PlyName" localSheetId="12">'RES_ja-JP'!$BL$102</definedName>
    <definedName name="dbHistogram_PlyName" localSheetId="13">'RES_ko-KR'!$BL$102</definedName>
    <definedName name="dbHistogram_PlyName" localSheetId="14">'RES_lv-LV'!$BL$102</definedName>
    <definedName name="dbHistogram_PlyName" localSheetId="15">'RES_nb-NO'!$BL$102</definedName>
    <definedName name="dbHistogram_PlyName" localSheetId="16">'RES_nl-NL'!$BL$102</definedName>
    <definedName name="dbHistogram_PlyName" localSheetId="17">'RES_pl-PL'!$BL$102</definedName>
    <definedName name="dbHistogram_PlyName" localSheetId="18">'RES_pt-BR'!$BL$102</definedName>
    <definedName name="dbHistogram_PlyName" localSheetId="19">'RES_pt-PT'!$BL$102</definedName>
    <definedName name="dbHistogram_PlyName" localSheetId="20">'RES_ro-RO'!$BL$102</definedName>
    <definedName name="dbHistogram_PlyName" localSheetId="21">'RES_ru-RU'!$BL$102</definedName>
    <definedName name="dbHistogram_PlyName" localSheetId="22">'RES_sl-SI'!$BL$102</definedName>
    <definedName name="dbHistogram_PlyName" localSheetId="23">'RES_sv-SE'!$BL$102</definedName>
    <definedName name="dbHistogram_PlyName" localSheetId="24">'RES_tr-TR'!$BL$102</definedName>
    <definedName name="dbHistogram_PlyName" localSheetId="25">'RES_zh-CN'!$BL$102</definedName>
    <definedName name="dbHistogram_PlyName" localSheetId="26">'RES_zh-TW'!$BL$102</definedName>
    <definedName name="dbHistogram_RangeInpFld" localSheetId="3">'RES_cs-CZ'!$BF$101</definedName>
    <definedName name="dbHistogram_RangeInpFld" localSheetId="4">'RES_da-DK'!$BF$101</definedName>
    <definedName name="dbHistogram_RangeInpFld" localSheetId="5">'RES_de-DE'!$BF$101</definedName>
    <definedName name="dbHistogram_RangeInpFld" localSheetId="6">'RES_el-GR'!$BF$101</definedName>
    <definedName name="dbHistogram_RangeInpFld" localSheetId="2">'RES_en-US'!$BF$101</definedName>
    <definedName name="dbHistogram_RangeInpFld" localSheetId="7">'RES_es-ES'!$BF$101</definedName>
    <definedName name="dbHistogram_RangeInpFld" localSheetId="8">'RES_fi-FI'!$BF$101</definedName>
    <definedName name="dbHistogram_RangeInpFld" localSheetId="1">'RES_fr-FR'!$BF$101</definedName>
    <definedName name="dbHistogram_RangeInpFld" localSheetId="9">'RES_hr-HR'!$BF$101</definedName>
    <definedName name="dbHistogram_RangeInpFld" localSheetId="10">'RES_hu-HU'!$BF$101</definedName>
    <definedName name="dbHistogram_RangeInpFld" localSheetId="11">'RES_it-IT'!$BF$101</definedName>
    <definedName name="dbHistogram_RangeInpFld" localSheetId="12">'RES_ja-JP'!$BF$101</definedName>
    <definedName name="dbHistogram_RangeInpFld" localSheetId="13">'RES_ko-KR'!$BF$101</definedName>
    <definedName name="dbHistogram_RangeInpFld" localSheetId="14">'RES_lv-LV'!$BF$101</definedName>
    <definedName name="dbHistogram_RangeInpFld" localSheetId="15">'RES_nb-NO'!$BF$101</definedName>
    <definedName name="dbHistogram_RangeInpFld" localSheetId="16">'RES_nl-NL'!$BF$101</definedName>
    <definedName name="dbHistogram_RangeInpFld" localSheetId="17">'RES_pl-PL'!$BF$101</definedName>
    <definedName name="dbHistogram_RangeInpFld" localSheetId="18">'RES_pt-BR'!$BF$101</definedName>
    <definedName name="dbHistogram_RangeInpFld" localSheetId="19">'RES_pt-PT'!$BF$101</definedName>
    <definedName name="dbHistogram_RangeInpFld" localSheetId="20">'RES_ro-RO'!$BF$101</definedName>
    <definedName name="dbHistogram_RangeInpFld" localSheetId="21">'RES_ru-RU'!$BF$101</definedName>
    <definedName name="dbHistogram_RangeInpFld" localSheetId="22">'RES_sl-SI'!$BF$101</definedName>
    <definedName name="dbHistogram_RangeInpFld" localSheetId="23">'RES_sv-SE'!$BF$101</definedName>
    <definedName name="dbHistogram_RangeInpFld" localSheetId="24">'RES_tr-TR'!$BF$101</definedName>
    <definedName name="dbHistogram_RangeInpFld" localSheetId="25">'RES_zh-CN'!$BF$101</definedName>
    <definedName name="dbHistogram_RangeInpFld" localSheetId="26">'RES_zh-TW'!$BF$101</definedName>
    <definedName name="dbHistogram_RangeRef" localSheetId="3">'RES_cs-CZ'!$BL$101</definedName>
    <definedName name="dbHistogram_RangeRef" localSheetId="4">'RES_da-DK'!$BL$101</definedName>
    <definedName name="dbHistogram_RangeRef" localSheetId="5">'RES_de-DE'!$BL$101</definedName>
    <definedName name="dbHistogram_RangeRef" localSheetId="6">'RES_el-GR'!$BL$101</definedName>
    <definedName name="dbHistogram_RangeRef" localSheetId="2">'RES_en-US'!$BL$101</definedName>
    <definedName name="dbHistogram_RangeRef" localSheetId="7">'RES_es-ES'!$BL$101</definedName>
    <definedName name="dbHistogram_RangeRef" localSheetId="8">'RES_fi-FI'!$BL$101</definedName>
    <definedName name="dbHistogram_RangeRef" localSheetId="1">'RES_fr-FR'!$BL$101</definedName>
    <definedName name="dbHistogram_RangeRef" localSheetId="9">'RES_hr-HR'!$BL$101</definedName>
    <definedName name="dbHistogram_RangeRef" localSheetId="10">'RES_hu-HU'!$BL$101</definedName>
    <definedName name="dbHistogram_RangeRef" localSheetId="11">'RES_it-IT'!$BL$101</definedName>
    <definedName name="dbHistogram_RangeRef" localSheetId="12">'RES_ja-JP'!$BL$101</definedName>
    <definedName name="dbHistogram_RangeRef" localSheetId="13">'RES_ko-KR'!$BL$101</definedName>
    <definedName name="dbHistogram_RangeRef" localSheetId="14">'RES_lv-LV'!$BL$101</definedName>
    <definedName name="dbHistogram_RangeRef" localSheetId="15">'RES_nb-NO'!$BL$101</definedName>
    <definedName name="dbHistogram_RangeRef" localSheetId="16">'RES_nl-NL'!$BL$101</definedName>
    <definedName name="dbHistogram_RangeRef" localSheetId="17">'RES_pl-PL'!$BL$101</definedName>
    <definedName name="dbHistogram_RangeRef" localSheetId="18">'RES_pt-BR'!$BL$101</definedName>
    <definedName name="dbHistogram_RangeRef" localSheetId="19">'RES_pt-PT'!$BL$101</definedName>
    <definedName name="dbHistogram_RangeRef" localSheetId="20">'RES_ro-RO'!$BL$101</definedName>
    <definedName name="dbHistogram_RangeRef" localSheetId="21">'RES_ru-RU'!$BL$101</definedName>
    <definedName name="dbHistogram_RangeRef" localSheetId="22">'RES_sl-SI'!$BL$101</definedName>
    <definedName name="dbHistogram_RangeRef" localSheetId="23">'RES_sv-SE'!$BL$101</definedName>
    <definedName name="dbHistogram_RangeRef" localSheetId="24">'RES_tr-TR'!$BL$101</definedName>
    <definedName name="dbHistogram_RangeRef" localSheetId="25">'RES_zh-CN'!$BL$101</definedName>
    <definedName name="dbHistogram_RangeRef" localSheetId="26">'RES_zh-TW'!$BL$101</definedName>
    <definedName name="dbHistogramTitle" localSheetId="3">'RES_cs-CZ'!$BK$87</definedName>
    <definedName name="dbHistogramTitle" localSheetId="4">'RES_da-DK'!$BK$87</definedName>
    <definedName name="dbHistogramTitle" localSheetId="5">'RES_de-DE'!$BK$87</definedName>
    <definedName name="dbHistogramTitle" localSheetId="6">'RES_el-GR'!$BK$87</definedName>
    <definedName name="dbHistogramTitle" localSheetId="2">'RES_en-US'!$BK$87</definedName>
    <definedName name="dbHistogramTitle" localSheetId="7">'RES_es-ES'!$BK$87</definedName>
    <definedName name="dbHistogramTitle" localSheetId="8">'RES_fi-FI'!$BK$87</definedName>
    <definedName name="dbHistogramTitle" localSheetId="1">'RES_fr-FR'!$BK$87</definedName>
    <definedName name="dbHistogramTitle" localSheetId="9">'RES_hr-HR'!$BK$87</definedName>
    <definedName name="dbHistogramTitle" localSheetId="10">'RES_hu-HU'!$BK$87</definedName>
    <definedName name="dbHistogramTitle" localSheetId="11">'RES_it-IT'!$BK$87</definedName>
    <definedName name="dbHistogramTitle" localSheetId="12">'RES_ja-JP'!$BK$87</definedName>
    <definedName name="dbHistogramTitle" localSheetId="13">'RES_ko-KR'!$BK$87</definedName>
    <definedName name="dbHistogramTitle" localSheetId="14">'RES_lv-LV'!$BK$87</definedName>
    <definedName name="dbHistogramTitle" localSheetId="15">'RES_nb-NO'!$BK$87</definedName>
    <definedName name="dbHistogramTitle" localSheetId="16">'RES_nl-NL'!$BK$87</definedName>
    <definedName name="dbHistogramTitle" localSheetId="17">'RES_pl-PL'!$BK$87</definedName>
    <definedName name="dbHistogramTitle" localSheetId="18">'RES_pt-BR'!$BK$87</definedName>
    <definedName name="dbHistogramTitle" localSheetId="19">'RES_pt-PT'!$BK$87</definedName>
    <definedName name="dbHistogramTitle" localSheetId="20">'RES_ro-RO'!$BK$87</definedName>
    <definedName name="dbHistogramTitle" localSheetId="21">'RES_ru-RU'!$BK$87</definedName>
    <definedName name="dbHistogramTitle" localSheetId="22">'RES_sl-SI'!$BK$87</definedName>
    <definedName name="dbHistogramTitle" localSheetId="23">'RES_sv-SE'!$BK$87</definedName>
    <definedName name="dbHistogramTitle" localSheetId="24">'RES_tr-TR'!$BK$87</definedName>
    <definedName name="dbHistogramTitle" localSheetId="25">'RES_zh-CN'!$BK$87</definedName>
    <definedName name="dbHistogramTitle" localSheetId="26">'RES_zh-TW'!$BK$87</definedName>
    <definedName name="dbMoving" localSheetId="3">'RES_cs-CZ'!$AH$69:$AN$87</definedName>
    <definedName name="dbMoving" localSheetId="4">'RES_da-DK'!$AH$69:$AN$87</definedName>
    <definedName name="dbMoving" localSheetId="5">'RES_de-DE'!$AH$69:$AN$87</definedName>
    <definedName name="dbMoving" localSheetId="6">'RES_el-GR'!$AH$69:$AN$87</definedName>
    <definedName name="dbMoving" localSheetId="2">'RES_en-US'!$AH$69:$AN$87</definedName>
    <definedName name="dbMoving" localSheetId="7">'RES_es-ES'!$AH$69:$AN$87</definedName>
    <definedName name="dbMoving" localSheetId="8">'RES_fi-FI'!$AH$69:$AN$87</definedName>
    <definedName name="dbMoving" localSheetId="1">'RES_fr-FR'!$AH$69:$AN$87</definedName>
    <definedName name="dbMoving" localSheetId="9">'RES_hr-HR'!$AH$69:$AN$87</definedName>
    <definedName name="dbMoving" localSheetId="10">'RES_hu-HU'!$AH$69:$AN$87</definedName>
    <definedName name="dbMoving" localSheetId="11">'RES_it-IT'!$AH$69:$AN$87</definedName>
    <definedName name="dbMoving" localSheetId="12">'RES_ja-JP'!$AH$69:$AN$87</definedName>
    <definedName name="dbMoving" localSheetId="13">'RES_ko-KR'!$AH$69:$AN$87</definedName>
    <definedName name="dbMoving" localSheetId="14">'RES_lv-LV'!$AH$69:$AN$87</definedName>
    <definedName name="dbMoving" localSheetId="15">'RES_nb-NO'!$AH$69:$AN$87</definedName>
    <definedName name="dbMoving" localSheetId="16">'RES_nl-NL'!$AH$69:$AN$87</definedName>
    <definedName name="dbMoving" localSheetId="17">'RES_pl-PL'!$AH$69:$AN$87</definedName>
    <definedName name="dbMoving" localSheetId="18">'RES_pt-BR'!$AH$69:$AN$87</definedName>
    <definedName name="dbMoving" localSheetId="19">'RES_pt-PT'!$AH$69:$AN$87</definedName>
    <definedName name="dbMoving" localSheetId="20">'RES_ro-RO'!$AH$69:$AN$87</definedName>
    <definedName name="dbMoving" localSheetId="21">'RES_ru-RU'!$AH$69:$AN$87</definedName>
    <definedName name="dbMoving" localSheetId="22">'RES_sl-SI'!$AH$69:$AN$87</definedName>
    <definedName name="dbMoving" localSheetId="23">'RES_sv-SE'!$AH$69:$AN$87</definedName>
    <definedName name="dbMoving" localSheetId="24">'RES_tr-TR'!$AH$69:$AN$87</definedName>
    <definedName name="dbMoving" localSheetId="25">'RES_zh-CN'!$AH$69:$AN$87</definedName>
    <definedName name="dbMoving" localSheetId="26">'RES_zh-TW'!$AH$69:$AN$87</definedName>
    <definedName name="dbMoving_ChartChkBox" localSheetId="3">'RES_cs-CZ'!$AN$85</definedName>
    <definedName name="dbMoving_ChartChkBox" localSheetId="4">'RES_da-DK'!$AN$85</definedName>
    <definedName name="dbMoving_ChartChkBox" localSheetId="5">'RES_de-DE'!$AN$85</definedName>
    <definedName name="dbMoving_ChartChkBox" localSheetId="6">'RES_el-GR'!$AN$85</definedName>
    <definedName name="dbMoving_ChartChkBox" localSheetId="2">'RES_en-US'!$AN$85</definedName>
    <definedName name="dbMoving_ChartChkBox" localSheetId="7">'RES_es-ES'!$AN$85</definedName>
    <definedName name="dbMoving_ChartChkBox" localSheetId="8">'RES_fi-FI'!$AN$85</definedName>
    <definedName name="dbMoving_ChartChkBox" localSheetId="1">'RES_fr-FR'!$AN$85</definedName>
    <definedName name="dbMoving_ChartChkBox" localSheetId="9">'RES_hr-HR'!$AN$85</definedName>
    <definedName name="dbMoving_ChartChkBox" localSheetId="10">'RES_hu-HU'!$AN$85</definedName>
    <definedName name="dbMoving_ChartChkBox" localSheetId="11">'RES_it-IT'!$AN$85</definedName>
    <definedName name="dbMoving_ChartChkBox" localSheetId="12">'RES_ja-JP'!$AN$85</definedName>
    <definedName name="dbMoving_ChartChkBox" localSheetId="13">'RES_ko-KR'!$AN$85</definedName>
    <definedName name="dbMoving_ChartChkBox" localSheetId="14">'RES_lv-LV'!$AN$85</definedName>
    <definedName name="dbMoving_ChartChkBox" localSheetId="15">'RES_nb-NO'!$AN$85</definedName>
    <definedName name="dbMoving_ChartChkBox" localSheetId="16">'RES_nl-NL'!$AN$85</definedName>
    <definedName name="dbMoving_ChartChkBox" localSheetId="17">'RES_pl-PL'!$AN$85</definedName>
    <definedName name="dbMoving_ChartChkBox" localSheetId="18">'RES_pt-BR'!$AN$85</definedName>
    <definedName name="dbMoving_ChartChkBox" localSheetId="19">'RES_pt-PT'!$AN$85</definedName>
    <definedName name="dbMoving_ChartChkBox" localSheetId="20">'RES_ro-RO'!$AN$85</definedName>
    <definedName name="dbMoving_ChartChkBox" localSheetId="21">'RES_ru-RU'!$AN$85</definedName>
    <definedName name="dbMoving_ChartChkBox" localSheetId="22">'RES_sl-SI'!$AN$85</definedName>
    <definedName name="dbMoving_ChartChkBox" localSheetId="23">'RES_sv-SE'!$AN$85</definedName>
    <definedName name="dbMoving_ChartChkBox" localSheetId="24">'RES_tr-TR'!$AN$85</definedName>
    <definedName name="dbMoving_ChartChkBox" localSheetId="25">'RES_zh-CN'!$AN$85</definedName>
    <definedName name="dbMoving_ChartChkBox" localSheetId="26">'RES_zh-TW'!$AN$85</definedName>
    <definedName name="dbMoving_InRange" localSheetId="3">'RES_cs-CZ'!$AN$74</definedName>
    <definedName name="dbMoving_InRange" localSheetId="4">'RES_da-DK'!$AN$74</definedName>
    <definedName name="dbMoving_InRange" localSheetId="5">'RES_de-DE'!$AN$74</definedName>
    <definedName name="dbMoving_InRange" localSheetId="6">'RES_el-GR'!$AN$74</definedName>
    <definedName name="dbMoving_InRange" localSheetId="2">'RES_en-US'!$AN$74</definedName>
    <definedName name="dbMoving_InRange" localSheetId="7">'RES_es-ES'!$AN$74</definedName>
    <definedName name="dbMoving_InRange" localSheetId="8">'RES_fi-FI'!$AN$74</definedName>
    <definedName name="dbMoving_InRange" localSheetId="1">'RES_fr-FR'!$AN$74</definedName>
    <definedName name="dbMoving_InRange" localSheetId="9">'RES_hr-HR'!$AN$74</definedName>
    <definedName name="dbMoving_InRange" localSheetId="10">'RES_hu-HU'!$AN$74</definedName>
    <definedName name="dbMoving_InRange" localSheetId="11">'RES_it-IT'!$AN$74</definedName>
    <definedName name="dbMoving_InRange" localSheetId="12">'RES_ja-JP'!$AN$74</definedName>
    <definedName name="dbMoving_InRange" localSheetId="13">'RES_ko-KR'!$AN$74</definedName>
    <definedName name="dbMoving_InRange" localSheetId="14">'RES_lv-LV'!$AN$74</definedName>
    <definedName name="dbMoving_InRange" localSheetId="15">'RES_nb-NO'!$AN$74</definedName>
    <definedName name="dbMoving_InRange" localSheetId="16">'RES_nl-NL'!$AN$74</definedName>
    <definedName name="dbMoving_InRange" localSheetId="17">'RES_pl-PL'!$AN$74</definedName>
    <definedName name="dbMoving_InRange" localSheetId="18">'RES_pt-BR'!$AN$74</definedName>
    <definedName name="dbMoving_InRange" localSheetId="19">'RES_pt-PT'!$AN$74</definedName>
    <definedName name="dbMoving_InRange" localSheetId="20">'RES_ro-RO'!$AN$74</definedName>
    <definedName name="dbMoving_InRange" localSheetId="21">'RES_ru-RU'!$AN$74</definedName>
    <definedName name="dbMoving_InRange" localSheetId="22">'RES_sl-SI'!$AN$74</definedName>
    <definedName name="dbMoving_InRange" localSheetId="23">'RES_sv-SE'!$AN$74</definedName>
    <definedName name="dbMoving_InRange" localSheetId="24">'RES_tr-TR'!$AN$74</definedName>
    <definedName name="dbMoving_InRange" localSheetId="25">'RES_zh-CN'!$AN$74</definedName>
    <definedName name="dbMoving_InRange" localSheetId="26">'RES_zh-TW'!$AN$74</definedName>
    <definedName name="dbMoving_Interval" localSheetId="3">'RES_cs-CZ'!$AN$77</definedName>
    <definedName name="dbMoving_Interval" localSheetId="4">'RES_da-DK'!$AN$77</definedName>
    <definedName name="dbMoving_Interval" localSheetId="5">'RES_de-DE'!$AN$77</definedName>
    <definedName name="dbMoving_Interval" localSheetId="6">'RES_el-GR'!$AN$77</definedName>
    <definedName name="dbMoving_Interval" localSheetId="2">'RES_en-US'!$AN$77</definedName>
    <definedName name="dbMoving_Interval" localSheetId="7">'RES_es-ES'!$AN$77</definedName>
    <definedName name="dbMoving_Interval" localSheetId="8">'RES_fi-FI'!$AN$77</definedName>
    <definedName name="dbMoving_Interval" localSheetId="1">'RES_fr-FR'!$AN$77</definedName>
    <definedName name="dbMoving_Interval" localSheetId="9">'RES_hr-HR'!$AN$77</definedName>
    <definedName name="dbMoving_Interval" localSheetId="10">'RES_hu-HU'!$AN$77</definedName>
    <definedName name="dbMoving_Interval" localSheetId="11">'RES_it-IT'!$AN$77</definedName>
    <definedName name="dbMoving_Interval" localSheetId="12">'RES_ja-JP'!$AN$77</definedName>
    <definedName name="dbMoving_Interval" localSheetId="13">'RES_ko-KR'!$AN$77</definedName>
    <definedName name="dbMoving_Interval" localSheetId="14">'RES_lv-LV'!$AN$77</definedName>
    <definedName name="dbMoving_Interval" localSheetId="15">'RES_nb-NO'!$AN$77</definedName>
    <definedName name="dbMoving_Interval" localSheetId="16">'RES_nl-NL'!$AN$77</definedName>
    <definedName name="dbMoving_Interval" localSheetId="17">'RES_pl-PL'!$AN$77</definedName>
    <definedName name="dbMoving_Interval" localSheetId="18">'RES_pt-BR'!$AN$77</definedName>
    <definedName name="dbMoving_Interval" localSheetId="19">'RES_pt-PT'!$AN$77</definedName>
    <definedName name="dbMoving_Interval" localSheetId="20">'RES_ro-RO'!$AN$77</definedName>
    <definedName name="dbMoving_Interval" localSheetId="21">'RES_ru-RU'!$AN$77</definedName>
    <definedName name="dbMoving_Interval" localSheetId="22">'RES_sl-SI'!$AN$77</definedName>
    <definedName name="dbMoving_Interval" localSheetId="23">'RES_sv-SE'!$AN$77</definedName>
    <definedName name="dbMoving_Interval" localSheetId="24">'RES_tr-TR'!$AN$77</definedName>
    <definedName name="dbMoving_Interval" localSheetId="25">'RES_zh-CN'!$AN$77</definedName>
    <definedName name="dbMoving_Interval" localSheetId="26">'RES_zh-TW'!$AN$77</definedName>
    <definedName name="dbMoving_LabelFlag" localSheetId="3">'RES_cs-CZ'!$AM$75</definedName>
    <definedName name="dbMoving_LabelFlag" localSheetId="4">'RES_da-DK'!$AM$75</definedName>
    <definedName name="dbMoving_LabelFlag" localSheetId="5">'RES_de-DE'!$AM$75</definedName>
    <definedName name="dbMoving_LabelFlag" localSheetId="6">'RES_el-GR'!$AM$75</definedName>
    <definedName name="dbMoving_LabelFlag" localSheetId="2">'RES_en-US'!$AM$75</definedName>
    <definedName name="dbMoving_LabelFlag" localSheetId="7">'RES_es-ES'!$AM$75</definedName>
    <definedName name="dbMoving_LabelFlag" localSheetId="8">'RES_fi-FI'!$AM$75</definedName>
    <definedName name="dbMoving_LabelFlag" localSheetId="1">'RES_fr-FR'!$AM$75</definedName>
    <definedName name="dbMoving_LabelFlag" localSheetId="9">'RES_hr-HR'!$AM$75</definedName>
    <definedName name="dbMoving_LabelFlag" localSheetId="10">'RES_hu-HU'!$AM$75</definedName>
    <definedName name="dbMoving_LabelFlag" localSheetId="11">'RES_it-IT'!$AM$75</definedName>
    <definedName name="dbMoving_LabelFlag" localSheetId="12">'RES_ja-JP'!$AM$75</definedName>
    <definedName name="dbMoving_LabelFlag" localSheetId="13">'RES_ko-KR'!$AM$75</definedName>
    <definedName name="dbMoving_LabelFlag" localSheetId="14">'RES_lv-LV'!$AM$75</definedName>
    <definedName name="dbMoving_LabelFlag" localSheetId="15">'RES_nb-NO'!$AM$75</definedName>
    <definedName name="dbMoving_LabelFlag" localSheetId="16">'RES_nl-NL'!$AM$75</definedName>
    <definedName name="dbMoving_LabelFlag" localSheetId="17">'RES_pl-PL'!$AM$75</definedName>
    <definedName name="dbMoving_LabelFlag" localSheetId="18">'RES_pt-BR'!$AM$75</definedName>
    <definedName name="dbMoving_LabelFlag" localSheetId="19">'RES_pt-PT'!$AM$75</definedName>
    <definedName name="dbMoving_LabelFlag" localSheetId="20">'RES_ro-RO'!$AM$75</definedName>
    <definedName name="dbMoving_LabelFlag" localSheetId="21">'RES_ru-RU'!$AM$75</definedName>
    <definedName name="dbMoving_LabelFlag" localSheetId="22">'RES_sl-SI'!$AM$75</definedName>
    <definedName name="dbMoving_LabelFlag" localSheetId="23">'RES_sv-SE'!$AM$75</definedName>
    <definedName name="dbMoving_LabelFlag" localSheetId="24">'RES_tr-TR'!$AM$75</definedName>
    <definedName name="dbMoving_LabelFlag" localSheetId="25">'RES_zh-CN'!$AM$75</definedName>
    <definedName name="dbMoving_LabelFlag" localSheetId="26">'RES_zh-TW'!$AM$75</definedName>
    <definedName name="dbMoving_LblChkBox" localSheetId="3">'RES_cs-CZ'!$AN$75</definedName>
    <definedName name="dbMoving_LblChkBox" localSheetId="4">'RES_da-DK'!$AN$75</definedName>
    <definedName name="dbMoving_LblChkBox" localSheetId="5">'RES_de-DE'!$AN$75</definedName>
    <definedName name="dbMoving_LblChkBox" localSheetId="6">'RES_el-GR'!$AN$75</definedName>
    <definedName name="dbMoving_LblChkBox" localSheetId="2">'RES_en-US'!$AN$75</definedName>
    <definedName name="dbMoving_LblChkBox" localSheetId="7">'RES_es-ES'!$AN$75</definedName>
    <definedName name="dbMoving_LblChkBox" localSheetId="8">'RES_fi-FI'!$AN$75</definedName>
    <definedName name="dbMoving_LblChkBox" localSheetId="1">'RES_fr-FR'!$AN$75</definedName>
    <definedName name="dbMoving_LblChkBox" localSheetId="9">'RES_hr-HR'!$AN$75</definedName>
    <definedName name="dbMoving_LblChkBox" localSheetId="10">'RES_hu-HU'!$AN$75</definedName>
    <definedName name="dbMoving_LblChkBox" localSheetId="11">'RES_it-IT'!$AN$75</definedName>
    <definedName name="dbMoving_LblChkBox" localSheetId="12">'RES_ja-JP'!$AN$75</definedName>
    <definedName name="dbMoving_LblChkBox" localSheetId="13">'RES_ko-KR'!$AN$75</definedName>
    <definedName name="dbMoving_LblChkBox" localSheetId="14">'RES_lv-LV'!$AN$75</definedName>
    <definedName name="dbMoving_LblChkBox" localSheetId="15">'RES_nb-NO'!$AN$75</definedName>
    <definedName name="dbMoving_LblChkBox" localSheetId="16">'RES_nl-NL'!$AN$75</definedName>
    <definedName name="dbMoving_LblChkBox" localSheetId="17">'RES_pl-PL'!$AN$75</definedName>
    <definedName name="dbMoving_LblChkBox" localSheetId="18">'RES_pt-BR'!$AN$75</definedName>
    <definedName name="dbMoving_LblChkBox" localSheetId="19">'RES_pt-PT'!$AN$75</definedName>
    <definedName name="dbMoving_LblChkBox" localSheetId="20">'RES_ro-RO'!$AN$75</definedName>
    <definedName name="dbMoving_LblChkBox" localSheetId="21">'RES_ru-RU'!$AN$75</definedName>
    <definedName name="dbMoving_LblChkBox" localSheetId="22">'RES_sl-SI'!$AN$75</definedName>
    <definedName name="dbMoving_LblChkBox" localSheetId="23">'RES_sv-SE'!$AN$75</definedName>
    <definedName name="dbMoving_LblChkBox" localSheetId="24">'RES_tr-TR'!$AN$75</definedName>
    <definedName name="dbMoving_LblChkBox" localSheetId="25">'RES_zh-CN'!$AN$75</definedName>
    <definedName name="dbMoving_LblChkBox" localSheetId="26">'RES_zh-TW'!$AN$75</definedName>
    <definedName name="dbMoving_OutOption" localSheetId="3">'RES_cs-CZ'!$AN$79</definedName>
    <definedName name="dbMoving_OutOption" localSheetId="4">'RES_da-DK'!$AN$79</definedName>
    <definedName name="dbMoving_OutOption" localSheetId="5">'RES_de-DE'!$AN$79</definedName>
    <definedName name="dbMoving_OutOption" localSheetId="6">'RES_el-GR'!$AN$79</definedName>
    <definedName name="dbMoving_OutOption" localSheetId="2">'RES_en-US'!$AN$79</definedName>
    <definedName name="dbMoving_OutOption" localSheetId="7">'RES_es-ES'!$AN$79</definedName>
    <definedName name="dbMoving_OutOption" localSheetId="8">'RES_fi-FI'!$AN$79</definedName>
    <definedName name="dbMoving_OutOption" localSheetId="1">'RES_fr-FR'!$AN$79</definedName>
    <definedName name="dbMoving_OutOption" localSheetId="9">'RES_hr-HR'!$AN$79</definedName>
    <definedName name="dbMoving_OutOption" localSheetId="10">'RES_hu-HU'!$AN$79</definedName>
    <definedName name="dbMoving_OutOption" localSheetId="11">'RES_it-IT'!$AN$79</definedName>
    <definedName name="dbMoving_OutOption" localSheetId="12">'RES_ja-JP'!$AN$79</definedName>
    <definedName name="dbMoving_OutOption" localSheetId="13">'RES_ko-KR'!$AN$79</definedName>
    <definedName name="dbMoving_OutOption" localSheetId="14">'RES_lv-LV'!$AN$79</definedName>
    <definedName name="dbMoving_OutOption" localSheetId="15">'RES_nb-NO'!$AN$79</definedName>
    <definedName name="dbMoving_OutOption" localSheetId="16">'RES_nl-NL'!$AN$79</definedName>
    <definedName name="dbMoving_OutOption" localSheetId="17">'RES_pl-PL'!$AN$79</definedName>
    <definedName name="dbMoving_OutOption" localSheetId="18">'RES_pt-BR'!$AN$79</definedName>
    <definedName name="dbMoving_OutOption" localSheetId="19">'RES_pt-PT'!$AN$79</definedName>
    <definedName name="dbMoving_OutOption" localSheetId="20">'RES_ro-RO'!$AN$79</definedName>
    <definedName name="dbMoving_OutOption" localSheetId="21">'RES_ru-RU'!$AN$79</definedName>
    <definedName name="dbMoving_OutOption" localSheetId="22">'RES_sl-SI'!$AN$79</definedName>
    <definedName name="dbMoving_OutOption" localSheetId="23">'RES_sv-SE'!$AN$79</definedName>
    <definedName name="dbMoving_OutOption" localSheetId="24">'RES_tr-TR'!$AN$79</definedName>
    <definedName name="dbMoving_OutOption" localSheetId="25">'RES_zh-CN'!$AN$79</definedName>
    <definedName name="dbMoving_OutOption" localSheetId="26">'RES_zh-TW'!$AN$79</definedName>
    <definedName name="dbMoving_PlyInpFld" localSheetId="3">'RES_cs-CZ'!$AH$83</definedName>
    <definedName name="dbMoving_PlyInpFld" localSheetId="4">'RES_da-DK'!$AH$83</definedName>
    <definedName name="dbMoving_PlyInpFld" localSheetId="5">'RES_de-DE'!$AH$83</definedName>
    <definedName name="dbMoving_PlyInpFld" localSheetId="6">'RES_el-GR'!$AH$83</definedName>
    <definedName name="dbMoving_PlyInpFld" localSheetId="2">'RES_en-US'!$AH$83</definedName>
    <definedName name="dbMoving_PlyInpFld" localSheetId="7">'RES_es-ES'!$AH$83</definedName>
    <definedName name="dbMoving_PlyInpFld" localSheetId="8">'RES_fi-FI'!$AH$83</definedName>
    <definedName name="dbMoving_PlyInpFld" localSheetId="1">'RES_fr-FR'!$AH$83</definedName>
    <definedName name="dbMoving_PlyInpFld" localSheetId="9">'RES_hr-HR'!$AH$83</definedName>
    <definedName name="dbMoving_PlyInpFld" localSheetId="10">'RES_hu-HU'!$AH$83</definedName>
    <definedName name="dbMoving_PlyInpFld" localSheetId="11">'RES_it-IT'!$AH$83</definedName>
    <definedName name="dbMoving_PlyInpFld" localSheetId="12">'RES_ja-JP'!$AH$83</definedName>
    <definedName name="dbMoving_PlyInpFld" localSheetId="13">'RES_ko-KR'!$AH$83</definedName>
    <definedName name="dbMoving_PlyInpFld" localSheetId="14">'RES_lv-LV'!$AH$83</definedName>
    <definedName name="dbMoving_PlyInpFld" localSheetId="15">'RES_nb-NO'!$AH$83</definedName>
    <definedName name="dbMoving_PlyInpFld" localSheetId="16">'RES_nl-NL'!$AH$83</definedName>
    <definedName name="dbMoving_PlyInpFld" localSheetId="17">'RES_pl-PL'!$AH$83</definedName>
    <definedName name="dbMoving_PlyInpFld" localSheetId="18">'RES_pt-BR'!$AH$83</definedName>
    <definedName name="dbMoving_PlyInpFld" localSheetId="19">'RES_pt-PT'!$AH$83</definedName>
    <definedName name="dbMoving_PlyInpFld" localSheetId="20">'RES_ro-RO'!$AH$83</definedName>
    <definedName name="dbMoving_PlyInpFld" localSheetId="21">'RES_ru-RU'!$AH$83</definedName>
    <definedName name="dbMoving_PlyInpFld" localSheetId="22">'RES_sl-SI'!$AH$83</definedName>
    <definedName name="dbMoving_PlyInpFld" localSheetId="23">'RES_sv-SE'!$AH$83</definedName>
    <definedName name="dbMoving_PlyInpFld" localSheetId="24">'RES_tr-TR'!$AH$83</definedName>
    <definedName name="dbMoving_PlyInpFld" localSheetId="25">'RES_zh-CN'!$AH$83</definedName>
    <definedName name="dbMoving_PlyInpFld" localSheetId="26">'RES_zh-TW'!$AH$83</definedName>
    <definedName name="dbMoving_PlyName" localSheetId="3">'RES_cs-CZ'!$AN$83</definedName>
    <definedName name="dbMoving_PlyName" localSheetId="4">'RES_da-DK'!$AN$83</definedName>
    <definedName name="dbMoving_PlyName" localSheetId="5">'RES_de-DE'!$AN$83</definedName>
    <definedName name="dbMoving_PlyName" localSheetId="6">'RES_el-GR'!$AN$83</definedName>
    <definedName name="dbMoving_PlyName" localSheetId="2">'RES_en-US'!$AN$83</definedName>
    <definedName name="dbMoving_PlyName" localSheetId="7">'RES_es-ES'!$AN$83</definedName>
    <definedName name="dbMoving_PlyName" localSheetId="8">'RES_fi-FI'!$AN$83</definedName>
    <definedName name="dbMoving_PlyName" localSheetId="1">'RES_fr-FR'!$AN$83</definedName>
    <definedName name="dbMoving_PlyName" localSheetId="9">'RES_hr-HR'!$AN$83</definedName>
    <definedName name="dbMoving_PlyName" localSheetId="10">'RES_hu-HU'!$AN$83</definedName>
    <definedName name="dbMoving_PlyName" localSheetId="11">'RES_it-IT'!$AN$83</definedName>
    <definedName name="dbMoving_PlyName" localSheetId="12">'RES_ja-JP'!$AN$83</definedName>
    <definedName name="dbMoving_PlyName" localSheetId="13">'RES_ko-KR'!$AN$83</definedName>
    <definedName name="dbMoving_PlyName" localSheetId="14">'RES_lv-LV'!$AN$83</definedName>
    <definedName name="dbMoving_PlyName" localSheetId="15">'RES_nb-NO'!$AN$83</definedName>
    <definedName name="dbMoving_PlyName" localSheetId="16">'RES_nl-NL'!$AN$83</definedName>
    <definedName name="dbMoving_PlyName" localSheetId="17">'RES_pl-PL'!$AN$83</definedName>
    <definedName name="dbMoving_PlyName" localSheetId="18">'RES_pt-BR'!$AN$83</definedName>
    <definedName name="dbMoving_PlyName" localSheetId="19">'RES_pt-PT'!$AN$83</definedName>
    <definedName name="dbMoving_PlyName" localSheetId="20">'RES_ro-RO'!$AN$83</definedName>
    <definedName name="dbMoving_PlyName" localSheetId="21">'RES_ru-RU'!$AN$83</definedName>
    <definedName name="dbMoving_PlyName" localSheetId="22">'RES_sl-SI'!$AN$83</definedName>
    <definedName name="dbMoving_PlyName" localSheetId="23">'RES_sv-SE'!$AN$83</definedName>
    <definedName name="dbMoving_PlyName" localSheetId="24">'RES_tr-TR'!$AN$83</definedName>
    <definedName name="dbMoving_PlyName" localSheetId="25">'RES_zh-CN'!$AN$83</definedName>
    <definedName name="dbMoving_PlyName" localSheetId="26">'RES_zh-TW'!$AN$83</definedName>
    <definedName name="dbMoving_RangeInpFld" localSheetId="3">'RES_cs-CZ'!$AH$81</definedName>
    <definedName name="dbMoving_RangeInpFld" localSheetId="4">'RES_da-DK'!$AH$81</definedName>
    <definedName name="dbMoving_RangeInpFld" localSheetId="5">'RES_de-DE'!$AH$81</definedName>
    <definedName name="dbMoving_RangeInpFld" localSheetId="6">'RES_el-GR'!$AH$81</definedName>
    <definedName name="dbMoving_RangeInpFld" localSheetId="2">'RES_en-US'!$AH$81</definedName>
    <definedName name="dbMoving_RangeInpFld" localSheetId="7">'RES_es-ES'!$AH$81</definedName>
    <definedName name="dbMoving_RangeInpFld" localSheetId="8">'RES_fi-FI'!$AH$81</definedName>
    <definedName name="dbMoving_RangeInpFld" localSheetId="1">'RES_fr-FR'!$AH$81</definedName>
    <definedName name="dbMoving_RangeInpFld" localSheetId="9">'RES_hr-HR'!$AH$81</definedName>
    <definedName name="dbMoving_RangeInpFld" localSheetId="10">'RES_hu-HU'!$AH$81</definedName>
    <definedName name="dbMoving_RangeInpFld" localSheetId="11">'RES_it-IT'!$AH$81</definedName>
    <definedName name="dbMoving_RangeInpFld" localSheetId="12">'RES_ja-JP'!$AH$81</definedName>
    <definedName name="dbMoving_RangeInpFld" localSheetId="13">'RES_ko-KR'!$AH$81</definedName>
    <definedName name="dbMoving_RangeInpFld" localSheetId="14">'RES_lv-LV'!$AH$81</definedName>
    <definedName name="dbMoving_RangeInpFld" localSheetId="15">'RES_nb-NO'!$AH$81</definedName>
    <definedName name="dbMoving_RangeInpFld" localSheetId="16">'RES_nl-NL'!$AH$81</definedName>
    <definedName name="dbMoving_RangeInpFld" localSheetId="17">'RES_pl-PL'!$AH$81</definedName>
    <definedName name="dbMoving_RangeInpFld" localSheetId="18">'RES_pt-BR'!$AH$81</definedName>
    <definedName name="dbMoving_RangeInpFld" localSheetId="19">'RES_pt-PT'!$AH$81</definedName>
    <definedName name="dbMoving_RangeInpFld" localSheetId="20">'RES_ro-RO'!$AH$81</definedName>
    <definedName name="dbMoving_RangeInpFld" localSheetId="21">'RES_ru-RU'!$AH$81</definedName>
    <definedName name="dbMoving_RangeInpFld" localSheetId="22">'RES_sl-SI'!$AH$81</definedName>
    <definedName name="dbMoving_RangeInpFld" localSheetId="23">'RES_sv-SE'!$AH$81</definedName>
    <definedName name="dbMoving_RangeInpFld" localSheetId="24">'RES_tr-TR'!$AH$81</definedName>
    <definedName name="dbMoving_RangeInpFld" localSheetId="25">'RES_zh-CN'!$AH$81</definedName>
    <definedName name="dbMoving_RangeInpFld" localSheetId="26">'RES_zh-TW'!$AH$81</definedName>
    <definedName name="dbMoving_RangeRef" localSheetId="3">'RES_cs-CZ'!$AN$81</definedName>
    <definedName name="dbMoving_RangeRef" localSheetId="4">'RES_da-DK'!$AN$81</definedName>
    <definedName name="dbMoving_RangeRef" localSheetId="5">'RES_de-DE'!$AN$81</definedName>
    <definedName name="dbMoving_RangeRef" localSheetId="6">'RES_el-GR'!$AN$81</definedName>
    <definedName name="dbMoving_RangeRef" localSheetId="2">'RES_en-US'!$AN$81</definedName>
    <definedName name="dbMoving_RangeRef" localSheetId="7">'RES_es-ES'!$AN$81</definedName>
    <definedName name="dbMoving_RangeRef" localSheetId="8">'RES_fi-FI'!$AN$81</definedName>
    <definedName name="dbMoving_RangeRef" localSheetId="1">'RES_fr-FR'!$AN$81</definedName>
    <definedName name="dbMoving_RangeRef" localSheetId="9">'RES_hr-HR'!$AN$81</definedName>
    <definedName name="dbMoving_RangeRef" localSheetId="10">'RES_hu-HU'!$AN$81</definedName>
    <definedName name="dbMoving_RangeRef" localSheetId="11">'RES_it-IT'!$AN$81</definedName>
    <definedName name="dbMoving_RangeRef" localSheetId="12">'RES_ja-JP'!$AN$81</definedName>
    <definedName name="dbMoving_RangeRef" localSheetId="13">'RES_ko-KR'!$AN$81</definedName>
    <definedName name="dbMoving_RangeRef" localSheetId="14">'RES_lv-LV'!$AN$81</definedName>
    <definedName name="dbMoving_RangeRef" localSheetId="15">'RES_nb-NO'!$AN$81</definedName>
    <definedName name="dbMoving_RangeRef" localSheetId="16">'RES_nl-NL'!$AN$81</definedName>
    <definedName name="dbMoving_RangeRef" localSheetId="17">'RES_pl-PL'!$AN$81</definedName>
    <definedName name="dbMoving_RangeRef" localSheetId="18">'RES_pt-BR'!$AN$81</definedName>
    <definedName name="dbMoving_RangeRef" localSheetId="19">'RES_pt-PT'!$AN$81</definedName>
    <definedName name="dbMoving_RangeRef" localSheetId="20">'RES_ro-RO'!$AN$81</definedName>
    <definedName name="dbMoving_RangeRef" localSheetId="21">'RES_ru-RU'!$AN$81</definedName>
    <definedName name="dbMoving_RangeRef" localSheetId="22">'RES_sl-SI'!$AN$81</definedName>
    <definedName name="dbMoving_RangeRef" localSheetId="23">'RES_sv-SE'!$AN$81</definedName>
    <definedName name="dbMoving_RangeRef" localSheetId="24">'RES_tr-TR'!$AN$81</definedName>
    <definedName name="dbMoving_RangeRef" localSheetId="25">'RES_zh-CN'!$AN$81</definedName>
    <definedName name="dbMoving_RangeRef" localSheetId="26">'RES_zh-TW'!$AN$81</definedName>
    <definedName name="dbMoving_StderrChkBox" localSheetId="3">'RES_cs-CZ'!$AN$86</definedName>
    <definedName name="dbMoving_StderrChkBox" localSheetId="4">'RES_da-DK'!$AN$86</definedName>
    <definedName name="dbMoving_StderrChkBox" localSheetId="5">'RES_de-DE'!$AN$86</definedName>
    <definedName name="dbMoving_StderrChkBox" localSheetId="6">'RES_el-GR'!$AN$86</definedName>
    <definedName name="dbMoving_StderrChkBox" localSheetId="2">'RES_en-US'!$AN$86</definedName>
    <definedName name="dbMoving_StderrChkBox" localSheetId="7">'RES_es-ES'!$AN$86</definedName>
    <definedName name="dbMoving_StderrChkBox" localSheetId="8">'RES_fi-FI'!$AN$86</definedName>
    <definedName name="dbMoving_StderrChkBox" localSheetId="1">'RES_fr-FR'!$AN$86</definedName>
    <definedName name="dbMoving_StderrChkBox" localSheetId="9">'RES_hr-HR'!$AN$86</definedName>
    <definedName name="dbMoving_StderrChkBox" localSheetId="10">'RES_hu-HU'!$AN$86</definedName>
    <definedName name="dbMoving_StderrChkBox" localSheetId="11">'RES_it-IT'!$AN$86</definedName>
    <definedName name="dbMoving_StderrChkBox" localSheetId="12">'RES_ja-JP'!$AN$86</definedName>
    <definedName name="dbMoving_StderrChkBox" localSheetId="13">'RES_ko-KR'!$AN$86</definedName>
    <definedName name="dbMoving_StderrChkBox" localSheetId="14">'RES_lv-LV'!$AN$86</definedName>
    <definedName name="dbMoving_StderrChkBox" localSheetId="15">'RES_nb-NO'!$AN$86</definedName>
    <definedName name="dbMoving_StderrChkBox" localSheetId="16">'RES_nl-NL'!$AN$86</definedName>
    <definedName name="dbMoving_StderrChkBox" localSheetId="17">'RES_pl-PL'!$AN$86</definedName>
    <definedName name="dbMoving_StderrChkBox" localSheetId="18">'RES_pt-BR'!$AN$86</definedName>
    <definedName name="dbMoving_StderrChkBox" localSheetId="19">'RES_pt-PT'!$AN$86</definedName>
    <definedName name="dbMoving_StderrChkBox" localSheetId="20">'RES_ro-RO'!$AN$86</definedName>
    <definedName name="dbMoving_StderrChkBox" localSheetId="21">'RES_ru-RU'!$AN$86</definedName>
    <definedName name="dbMoving_StderrChkBox" localSheetId="22">'RES_sl-SI'!$AN$86</definedName>
    <definedName name="dbMoving_StderrChkBox" localSheetId="23">'RES_sv-SE'!$AN$86</definedName>
    <definedName name="dbMoving_StderrChkBox" localSheetId="24">'RES_tr-TR'!$AN$86</definedName>
    <definedName name="dbMoving_StderrChkBox" localSheetId="25">'RES_zh-CN'!$AN$86</definedName>
    <definedName name="dbMoving_StderrChkBox" localSheetId="26">'RES_zh-TW'!$AN$86</definedName>
    <definedName name="dbMovingTitle" localSheetId="3">'RES_cs-CZ'!$AM$69</definedName>
    <definedName name="dbMovingTitle" localSheetId="4">'RES_da-DK'!$AM$69</definedName>
    <definedName name="dbMovingTitle" localSheetId="5">'RES_de-DE'!$AM$69</definedName>
    <definedName name="dbMovingTitle" localSheetId="6">'RES_el-GR'!$AM$69</definedName>
    <definedName name="dbMovingTitle" localSheetId="2">'RES_en-US'!$AM$69</definedName>
    <definedName name="dbMovingTitle" localSheetId="7">'RES_es-ES'!$AM$69</definedName>
    <definedName name="dbMovingTitle" localSheetId="8">'RES_fi-FI'!$AM$69</definedName>
    <definedName name="dbMovingTitle" localSheetId="1">'RES_fr-FR'!$AM$69</definedName>
    <definedName name="dbMovingTitle" localSheetId="9">'RES_hr-HR'!$AM$69</definedName>
    <definedName name="dbMovingTitle" localSheetId="10">'RES_hu-HU'!$AM$69</definedName>
    <definedName name="dbMovingTitle" localSheetId="11">'RES_it-IT'!$AM$69</definedName>
    <definedName name="dbMovingTitle" localSheetId="12">'RES_ja-JP'!$AM$69</definedName>
    <definedName name="dbMovingTitle" localSheetId="13">'RES_ko-KR'!$AM$69</definedName>
    <definedName name="dbMovingTitle" localSheetId="14">'RES_lv-LV'!$AM$69</definedName>
    <definedName name="dbMovingTitle" localSheetId="15">'RES_nb-NO'!$AM$69</definedName>
    <definedName name="dbMovingTitle" localSheetId="16">'RES_nl-NL'!$AM$69</definedName>
    <definedName name="dbMovingTitle" localSheetId="17">'RES_pl-PL'!$AM$69</definedName>
    <definedName name="dbMovingTitle" localSheetId="18">'RES_pt-BR'!$AM$69</definedName>
    <definedName name="dbMovingTitle" localSheetId="19">'RES_pt-PT'!$AM$69</definedName>
    <definedName name="dbMovingTitle" localSheetId="20">'RES_ro-RO'!$AM$69</definedName>
    <definedName name="dbMovingTitle" localSheetId="21">'RES_ru-RU'!$AM$69</definedName>
    <definedName name="dbMovingTitle" localSheetId="22">'RES_sl-SI'!$AM$69</definedName>
    <definedName name="dbMovingTitle" localSheetId="23">'RES_sv-SE'!$AM$69</definedName>
    <definedName name="dbMovingTitle" localSheetId="24">'RES_tr-TR'!$AM$69</definedName>
    <definedName name="dbMovingTitle" localSheetId="25">'RES_zh-CN'!$AM$69</definedName>
    <definedName name="dbMovingTitle" localSheetId="26">'RES_zh-TW'!$AM$69</definedName>
    <definedName name="dbNormal" localSheetId="3">'RES_cs-CZ'!$CT$64:$CZ$75</definedName>
    <definedName name="dbNormal" localSheetId="4">'RES_da-DK'!$CT$64:$CZ$75</definedName>
    <definedName name="dbNormal" localSheetId="5">'RES_de-DE'!$CT$64:$CZ$75</definedName>
    <definedName name="dbNormal" localSheetId="6">'RES_el-GR'!$CT$64:$CZ$75</definedName>
    <definedName name="dbNormal" localSheetId="2">'RES_en-US'!$CT$64:$CZ$75</definedName>
    <definedName name="dbNormal" localSheetId="7">'RES_es-ES'!$CT$64:$CZ$75</definedName>
    <definedName name="dbNormal" localSheetId="8">'RES_fi-FI'!$CT$64:$CZ$75</definedName>
    <definedName name="dbNormal" localSheetId="1">'RES_fr-FR'!$CT$64:$CZ$75</definedName>
    <definedName name="dbNormal" localSheetId="9">'RES_hr-HR'!$CT$64:$CZ$75</definedName>
    <definedName name="dbNormal" localSheetId="10">'RES_hu-HU'!$CT$64:$CZ$75</definedName>
    <definedName name="dbNormal" localSheetId="11">'RES_it-IT'!$CT$64:$CZ$75</definedName>
    <definedName name="dbNormal" localSheetId="12">'RES_ja-JP'!$CT$64:$CZ$75</definedName>
    <definedName name="dbNormal" localSheetId="13">'RES_ko-KR'!$CT$64:$CZ$75</definedName>
    <definedName name="dbNormal" localSheetId="14">'RES_lv-LV'!$CT$64:$CZ$75</definedName>
    <definedName name="dbNormal" localSheetId="15">'RES_nb-NO'!$CT$64:$CZ$75</definedName>
    <definedName name="dbNormal" localSheetId="16">'RES_nl-NL'!$CT$64:$CZ$75</definedName>
    <definedName name="dbNormal" localSheetId="17">'RES_pl-PL'!$CT$64:$CZ$75</definedName>
    <definedName name="dbNormal" localSheetId="18">'RES_pt-BR'!$CT$64:$CZ$75</definedName>
    <definedName name="dbNormal" localSheetId="19">'RES_pt-PT'!$CT$64:$CZ$75</definedName>
    <definedName name="dbNormal" localSheetId="20">'RES_ro-RO'!$CT$64:$CZ$75</definedName>
    <definedName name="dbNormal" localSheetId="21">'RES_ru-RU'!$CT$64:$CZ$75</definedName>
    <definedName name="dbNormal" localSheetId="22">'RES_sl-SI'!$CT$64:$CZ$75</definedName>
    <definedName name="dbNormal" localSheetId="23">'RES_sv-SE'!$CT$64:$CZ$75</definedName>
    <definedName name="dbNormal" localSheetId="24">'RES_tr-TR'!$CT$64:$CZ$75</definedName>
    <definedName name="dbNormal" localSheetId="25">'RES_zh-CN'!$CT$64:$CZ$75</definedName>
    <definedName name="dbNormal" localSheetId="26">'RES_zh-TW'!$CT$64:$CZ$75</definedName>
    <definedName name="dbOutput" localSheetId="3">'RES_cs-CZ'!$AX$2:$BD$15</definedName>
    <definedName name="dbOutput" localSheetId="4">'RES_da-DK'!$AX$2:$BD$15</definedName>
    <definedName name="dbOutput" localSheetId="5">'RES_de-DE'!$AX$2:$BD$15</definedName>
    <definedName name="dbOutput" localSheetId="6">'RES_el-GR'!$AX$2:$BD$15</definedName>
    <definedName name="dbOutput" localSheetId="2">'RES_en-US'!$AX$2:$BD$15</definedName>
    <definedName name="dbOutput" localSheetId="7">'RES_es-ES'!$AX$2:$BD$15</definedName>
    <definedName name="dbOutput" localSheetId="8">'RES_fi-FI'!$AX$2:$BD$15</definedName>
    <definedName name="dbOutput" localSheetId="1">'RES_fr-FR'!$AX$2:$BD$15</definedName>
    <definedName name="dbOutput" localSheetId="9">'RES_hr-HR'!$AX$2:$BD$15</definedName>
    <definedName name="dbOutput" localSheetId="10">'RES_hu-HU'!$AX$2:$BD$15</definedName>
    <definedName name="dbOutput" localSheetId="11">'RES_it-IT'!$AX$2:$BD$15</definedName>
    <definedName name="dbOutput" localSheetId="12">'RES_ja-JP'!$AX$2:$BD$15</definedName>
    <definedName name="dbOutput" localSheetId="13">'RES_ko-KR'!$AX$2:$BD$15</definedName>
    <definedName name="dbOutput" localSheetId="14">'RES_lv-LV'!$AX$2:$BD$15</definedName>
    <definedName name="dbOutput" localSheetId="15">'RES_nb-NO'!$AX$2:$BD$15</definedName>
    <definedName name="dbOutput" localSheetId="16">'RES_nl-NL'!$AX$2:$BD$15</definedName>
    <definedName name="dbOutput" localSheetId="17">'RES_pl-PL'!$AX$2:$BD$15</definedName>
    <definedName name="dbOutput" localSheetId="18">'RES_pt-BR'!$AX$2:$BD$15</definedName>
    <definedName name="dbOutput" localSheetId="19">'RES_pt-PT'!$AX$2:$BD$15</definedName>
    <definedName name="dbOutput" localSheetId="20">'RES_ro-RO'!$AX$2:$BD$15</definedName>
    <definedName name="dbOutput" localSheetId="21">'RES_ru-RU'!$AX$2:$BD$15</definedName>
    <definedName name="dbOutput" localSheetId="22">'RES_sl-SI'!$AX$2:$BD$15</definedName>
    <definedName name="dbOutput" localSheetId="23">'RES_sv-SE'!$AX$2:$BD$15</definedName>
    <definedName name="dbOutput" localSheetId="24">'RES_tr-TR'!$AX$2:$BD$15</definedName>
    <definedName name="dbOutput" localSheetId="25">'RES_zh-CN'!$AX$2:$BD$15</definedName>
    <definedName name="dbOutput" localSheetId="26">'RES_zh-TW'!$AX$2:$BD$15</definedName>
    <definedName name="dbOutput_NewRef" localSheetId="3">'RES_cs-CZ'!$BD$14</definedName>
    <definedName name="dbOutput_NewRef" localSheetId="4">'RES_da-DK'!$BD$14</definedName>
    <definedName name="dbOutput_NewRef" localSheetId="5">'RES_de-DE'!$BD$14</definedName>
    <definedName name="dbOutput_NewRef" localSheetId="6">'RES_el-GR'!$BD$14</definedName>
    <definedName name="dbOutput_NewRef" localSheetId="2">'RES_en-US'!$BD$14</definedName>
    <definedName name="dbOutput_NewRef" localSheetId="7">'RES_es-ES'!$BD$14</definedName>
    <definedName name="dbOutput_NewRef" localSheetId="8">'RES_fi-FI'!$BD$14</definedName>
    <definedName name="dbOutput_NewRef" localSheetId="1">'RES_fr-FR'!$BD$14</definedName>
    <definedName name="dbOutput_NewRef" localSheetId="9">'RES_hr-HR'!$BD$14</definedName>
    <definedName name="dbOutput_NewRef" localSheetId="10">'RES_hu-HU'!$BD$14</definedName>
    <definedName name="dbOutput_NewRef" localSheetId="11">'RES_it-IT'!$BD$14</definedName>
    <definedName name="dbOutput_NewRef" localSheetId="12">'RES_ja-JP'!$BD$14</definedName>
    <definedName name="dbOutput_NewRef" localSheetId="13">'RES_ko-KR'!$BD$14</definedName>
    <definedName name="dbOutput_NewRef" localSheetId="14">'RES_lv-LV'!$BD$14</definedName>
    <definedName name="dbOutput_NewRef" localSheetId="15">'RES_nb-NO'!$BD$14</definedName>
    <definedName name="dbOutput_NewRef" localSheetId="16">'RES_nl-NL'!$BD$14</definedName>
    <definedName name="dbOutput_NewRef" localSheetId="17">'RES_pl-PL'!$BD$14</definedName>
    <definedName name="dbOutput_NewRef" localSheetId="18">'RES_pt-BR'!$BD$14</definedName>
    <definedName name="dbOutput_NewRef" localSheetId="19">'RES_pt-PT'!$BD$14</definedName>
    <definedName name="dbOutput_NewRef" localSheetId="20">'RES_ro-RO'!$BD$14</definedName>
    <definedName name="dbOutput_NewRef" localSheetId="21">'RES_ru-RU'!$BD$14</definedName>
    <definedName name="dbOutput_NewRef" localSheetId="22">'RES_sl-SI'!$BD$14</definedName>
    <definedName name="dbOutput_NewRef" localSheetId="23">'RES_sv-SE'!$BD$14</definedName>
    <definedName name="dbOutput_NewRef" localSheetId="24">'RES_tr-TR'!$BD$14</definedName>
    <definedName name="dbOutput_NewRef" localSheetId="25">'RES_zh-CN'!$BD$14</definedName>
    <definedName name="dbOutput_NewRef" localSheetId="26">'RES_zh-TW'!$BD$14</definedName>
    <definedName name="dbOutput_NewType" localSheetId="3">'RES_cs-CZ'!$AX$14</definedName>
    <definedName name="dbOutput_NewType" localSheetId="4">'RES_da-DK'!$AX$14</definedName>
    <definedName name="dbOutput_NewType" localSheetId="5">'RES_de-DE'!$AX$14</definedName>
    <definedName name="dbOutput_NewType" localSheetId="6">'RES_el-GR'!$AX$14</definedName>
    <definedName name="dbOutput_NewType" localSheetId="2">'RES_en-US'!$AX$14</definedName>
    <definedName name="dbOutput_NewType" localSheetId="7">'RES_es-ES'!$AX$14</definedName>
    <definedName name="dbOutput_NewType" localSheetId="8">'RES_fi-FI'!$AX$14</definedName>
    <definedName name="dbOutput_NewType" localSheetId="1">'RES_fr-FR'!$AX$14</definedName>
    <definedName name="dbOutput_NewType" localSheetId="9">'RES_hr-HR'!$AX$14</definedName>
    <definedName name="dbOutput_NewType" localSheetId="10">'RES_hu-HU'!$AX$14</definedName>
    <definedName name="dbOutput_NewType" localSheetId="11">'RES_it-IT'!$AX$14</definedName>
    <definedName name="dbOutput_NewType" localSheetId="12">'RES_ja-JP'!$AX$14</definedName>
    <definedName name="dbOutput_NewType" localSheetId="13">'RES_ko-KR'!$AX$14</definedName>
    <definedName name="dbOutput_NewType" localSheetId="14">'RES_lv-LV'!$AX$14</definedName>
    <definedName name="dbOutput_NewType" localSheetId="15">'RES_nb-NO'!$AX$14</definedName>
    <definedName name="dbOutput_NewType" localSheetId="16">'RES_nl-NL'!$AX$14</definedName>
    <definedName name="dbOutput_NewType" localSheetId="17">'RES_pl-PL'!$AX$14</definedName>
    <definedName name="dbOutput_NewType" localSheetId="18">'RES_pt-BR'!$AX$14</definedName>
    <definedName name="dbOutput_NewType" localSheetId="19">'RES_pt-PT'!$AX$14</definedName>
    <definedName name="dbOutput_NewType" localSheetId="20">'RES_ro-RO'!$AX$14</definedName>
    <definedName name="dbOutput_NewType" localSheetId="21">'RES_ru-RU'!$AX$14</definedName>
    <definedName name="dbOutput_NewType" localSheetId="22">'RES_sl-SI'!$AX$14</definedName>
    <definedName name="dbOutput_NewType" localSheetId="23">'RES_sv-SE'!$AX$14</definedName>
    <definedName name="dbOutput_NewType" localSheetId="24">'RES_tr-TR'!$AX$14</definedName>
    <definedName name="dbOutput_NewType" localSheetId="25">'RES_zh-CN'!$AX$14</definedName>
    <definedName name="dbOutput_NewType" localSheetId="26">'RES_zh-TW'!$AX$14</definedName>
    <definedName name="dbOutput_OutOption" localSheetId="3">'RES_cs-CZ'!$BD$6</definedName>
    <definedName name="dbOutput_OutOption" localSheetId="4">'RES_da-DK'!$BD$6</definedName>
    <definedName name="dbOutput_OutOption" localSheetId="5">'RES_de-DE'!$BD$6</definedName>
    <definedName name="dbOutput_OutOption" localSheetId="6">'RES_el-GR'!$BD$6</definedName>
    <definedName name="dbOutput_OutOption" localSheetId="2">'RES_en-US'!$BD$6</definedName>
    <definedName name="dbOutput_OutOption" localSheetId="7">'RES_es-ES'!$BD$6</definedName>
    <definedName name="dbOutput_OutOption" localSheetId="8">'RES_fi-FI'!$BD$6</definedName>
    <definedName name="dbOutput_OutOption" localSheetId="1">'RES_fr-FR'!$BD$6</definedName>
    <definedName name="dbOutput_OutOption" localSheetId="9">'RES_hr-HR'!$BD$6</definedName>
    <definedName name="dbOutput_OutOption" localSheetId="10">'RES_hu-HU'!$BD$6</definedName>
    <definedName name="dbOutput_OutOption" localSheetId="11">'RES_it-IT'!$BD$6</definedName>
    <definedName name="dbOutput_OutOption" localSheetId="12">'RES_ja-JP'!$BD$6</definedName>
    <definedName name="dbOutput_OutOption" localSheetId="13">'RES_ko-KR'!$BD$6</definedName>
    <definedName name="dbOutput_OutOption" localSheetId="14">'RES_lv-LV'!$BD$6</definedName>
    <definedName name="dbOutput_OutOption" localSheetId="15">'RES_nb-NO'!$BD$6</definedName>
    <definedName name="dbOutput_OutOption" localSheetId="16">'RES_nl-NL'!$BD$6</definedName>
    <definedName name="dbOutput_OutOption" localSheetId="17">'RES_pl-PL'!$BD$6</definedName>
    <definedName name="dbOutput_OutOption" localSheetId="18">'RES_pt-BR'!$BD$6</definedName>
    <definedName name="dbOutput_OutOption" localSheetId="19">'RES_pt-PT'!$BD$6</definedName>
    <definedName name="dbOutput_OutOption" localSheetId="20">'RES_ro-RO'!$BD$6</definedName>
    <definedName name="dbOutput_OutOption" localSheetId="21">'RES_ru-RU'!$BD$6</definedName>
    <definedName name="dbOutput_OutOption" localSheetId="22">'RES_sl-SI'!$BD$6</definedName>
    <definedName name="dbOutput_OutOption" localSheetId="23">'RES_sv-SE'!$BD$6</definedName>
    <definedName name="dbOutput_OutOption" localSheetId="24">'RES_tr-TR'!$BD$6</definedName>
    <definedName name="dbOutput_OutOption" localSheetId="25">'RES_zh-CN'!$BD$6</definedName>
    <definedName name="dbOutput_OutOption" localSheetId="26">'RES_zh-TW'!$BD$6</definedName>
    <definedName name="dbOutput_OutRef" localSheetId="3">'RES_cs-CZ'!$BD$13</definedName>
    <definedName name="dbOutput_OutRef" localSheetId="4">'RES_da-DK'!$BD$13</definedName>
    <definedName name="dbOutput_OutRef" localSheetId="5">'RES_de-DE'!$BD$13</definedName>
    <definedName name="dbOutput_OutRef" localSheetId="6">'RES_el-GR'!$BD$13</definedName>
    <definedName name="dbOutput_OutRef" localSheetId="2">'RES_en-US'!$BD$13</definedName>
    <definedName name="dbOutput_OutRef" localSheetId="7">'RES_es-ES'!$BD$13</definedName>
    <definedName name="dbOutput_OutRef" localSheetId="8">'RES_fi-FI'!$BD$13</definedName>
    <definedName name="dbOutput_OutRef" localSheetId="1">'RES_fr-FR'!$BD$13</definedName>
    <definedName name="dbOutput_OutRef" localSheetId="9">'RES_hr-HR'!$BD$13</definedName>
    <definedName name="dbOutput_OutRef" localSheetId="10">'RES_hu-HU'!$BD$13</definedName>
    <definedName name="dbOutput_OutRef" localSheetId="11">'RES_it-IT'!$BD$13</definedName>
    <definedName name="dbOutput_OutRef" localSheetId="12">'RES_ja-JP'!$BD$13</definedName>
    <definedName name="dbOutput_OutRef" localSheetId="13">'RES_ko-KR'!$BD$13</definedName>
    <definedName name="dbOutput_OutRef" localSheetId="14">'RES_lv-LV'!$BD$13</definedName>
    <definedName name="dbOutput_OutRef" localSheetId="15">'RES_nb-NO'!$BD$13</definedName>
    <definedName name="dbOutput_OutRef" localSheetId="16">'RES_nl-NL'!$BD$13</definedName>
    <definedName name="dbOutput_OutRef" localSheetId="17">'RES_pl-PL'!$BD$13</definedName>
    <definedName name="dbOutput_OutRef" localSheetId="18">'RES_pt-BR'!$BD$13</definedName>
    <definedName name="dbOutput_OutRef" localSheetId="19">'RES_pt-PT'!$BD$13</definedName>
    <definedName name="dbOutput_OutRef" localSheetId="20">'RES_ro-RO'!$BD$13</definedName>
    <definedName name="dbOutput_OutRef" localSheetId="21">'RES_ru-RU'!$BD$13</definedName>
    <definedName name="dbOutput_OutRef" localSheetId="22">'RES_sl-SI'!$BD$13</definedName>
    <definedName name="dbOutput_OutRef" localSheetId="23">'RES_sv-SE'!$BD$13</definedName>
    <definedName name="dbOutput_OutRef" localSheetId="24">'RES_tr-TR'!$BD$13</definedName>
    <definedName name="dbOutput_OutRef" localSheetId="25">'RES_zh-CN'!$BD$13</definedName>
    <definedName name="dbOutput_OutRef" localSheetId="26">'RES_zh-TW'!$BD$13</definedName>
    <definedName name="dbOutput_OutType" localSheetId="3">'RES_cs-CZ'!$AX$13</definedName>
    <definedName name="dbOutput_OutType" localSheetId="4">'RES_da-DK'!$AX$13</definedName>
    <definedName name="dbOutput_OutType" localSheetId="5">'RES_de-DE'!$AX$13</definedName>
    <definedName name="dbOutput_OutType" localSheetId="6">'RES_el-GR'!$AX$13</definedName>
    <definedName name="dbOutput_OutType" localSheetId="2">'RES_en-US'!$AX$13</definedName>
    <definedName name="dbOutput_OutType" localSheetId="7">'RES_es-ES'!$AX$13</definedName>
    <definedName name="dbOutput_OutType" localSheetId="8">'RES_fi-FI'!$AX$13</definedName>
    <definedName name="dbOutput_OutType" localSheetId="1">'RES_fr-FR'!$AX$13</definedName>
    <definedName name="dbOutput_OutType" localSheetId="9">'RES_hr-HR'!$AX$13</definedName>
    <definedName name="dbOutput_OutType" localSheetId="10">'RES_hu-HU'!$AX$13</definedName>
    <definedName name="dbOutput_OutType" localSheetId="11">'RES_it-IT'!$AX$13</definedName>
    <definedName name="dbOutput_OutType" localSheetId="12">'RES_ja-JP'!$AX$13</definedName>
    <definedName name="dbOutput_OutType" localSheetId="13">'RES_ko-KR'!$AX$13</definedName>
    <definedName name="dbOutput_OutType" localSheetId="14">'RES_lv-LV'!$AX$13</definedName>
    <definedName name="dbOutput_OutType" localSheetId="15">'RES_nb-NO'!$AX$13</definedName>
    <definedName name="dbOutput_OutType" localSheetId="16">'RES_nl-NL'!$AX$13</definedName>
    <definedName name="dbOutput_OutType" localSheetId="17">'RES_pl-PL'!$AX$13</definedName>
    <definedName name="dbOutput_OutType" localSheetId="18">'RES_pt-BR'!$AX$13</definedName>
    <definedName name="dbOutput_OutType" localSheetId="19">'RES_pt-PT'!$AX$13</definedName>
    <definedName name="dbOutput_OutType" localSheetId="20">'RES_ro-RO'!$AX$13</definedName>
    <definedName name="dbOutput_OutType" localSheetId="21">'RES_ru-RU'!$AX$13</definedName>
    <definedName name="dbOutput_OutType" localSheetId="22">'RES_sl-SI'!$AX$13</definedName>
    <definedName name="dbOutput_OutType" localSheetId="23">'RES_sv-SE'!$AX$13</definedName>
    <definedName name="dbOutput_OutType" localSheetId="24">'RES_tr-TR'!$AX$13</definedName>
    <definedName name="dbOutput_OutType" localSheetId="25">'RES_zh-CN'!$AX$13</definedName>
    <definedName name="dbOutput_OutType" localSheetId="26">'RES_zh-TW'!$AX$13</definedName>
    <definedName name="dbOutput_OWriteRange" localSheetId="3">'RES_cs-CZ'!$BC$12</definedName>
    <definedName name="dbOutput_OWriteRange" localSheetId="4">'RES_da-DK'!$BC$12</definedName>
    <definedName name="dbOutput_OWriteRange" localSheetId="5">'RES_de-DE'!$BC$12</definedName>
    <definedName name="dbOutput_OWriteRange" localSheetId="6">'RES_el-GR'!$BC$12</definedName>
    <definedName name="dbOutput_OWriteRange" localSheetId="2">'RES_en-US'!$BC$12</definedName>
    <definedName name="dbOutput_OWriteRange" localSheetId="7">'RES_es-ES'!$BC$12</definedName>
    <definedName name="dbOutput_OWriteRange" localSheetId="8">'RES_fi-FI'!$BC$12</definedName>
    <definedName name="dbOutput_OWriteRange" localSheetId="1">'RES_fr-FR'!$BC$12</definedName>
    <definedName name="dbOutput_OWriteRange" localSheetId="9">'RES_hr-HR'!$BC$12</definedName>
    <definedName name="dbOutput_OWriteRange" localSheetId="10">'RES_hu-HU'!$BC$12</definedName>
    <definedName name="dbOutput_OWriteRange" localSheetId="11">'RES_it-IT'!$BC$12</definedName>
    <definedName name="dbOutput_OWriteRange" localSheetId="12">'RES_ja-JP'!$BC$12</definedName>
    <definedName name="dbOutput_OWriteRange" localSheetId="13">'RES_ko-KR'!$BC$12</definedName>
    <definedName name="dbOutput_OWriteRange" localSheetId="14">'RES_lv-LV'!$BC$12</definedName>
    <definedName name="dbOutput_OWriteRange" localSheetId="15">'RES_nb-NO'!$BC$12</definedName>
    <definedName name="dbOutput_OWriteRange" localSheetId="16">'RES_nl-NL'!$BC$12</definedName>
    <definedName name="dbOutput_OWriteRange" localSheetId="17">'RES_pl-PL'!$BC$12</definedName>
    <definedName name="dbOutput_OWriteRange" localSheetId="18">'RES_pt-BR'!$BC$12</definedName>
    <definedName name="dbOutput_OWriteRange" localSheetId="19">'RES_pt-PT'!$BC$12</definedName>
    <definedName name="dbOutput_OWriteRange" localSheetId="20">'RES_ro-RO'!$BC$12</definedName>
    <definedName name="dbOutput_OWriteRange" localSheetId="21">'RES_ru-RU'!$BC$12</definedName>
    <definedName name="dbOutput_OWriteRange" localSheetId="22">'RES_sl-SI'!$BC$12</definedName>
    <definedName name="dbOutput_OWriteRange" localSheetId="23">'RES_sv-SE'!$BC$12</definedName>
    <definedName name="dbOutput_OWriteRange" localSheetId="24">'RES_tr-TR'!$BC$12</definedName>
    <definedName name="dbOutput_OWriteRange" localSheetId="25">'RES_zh-CN'!$BC$12</definedName>
    <definedName name="dbOutput_OWriteRange" localSheetId="26">'RES_zh-TW'!$BC$12</definedName>
    <definedName name="dbPatterned" localSheetId="3">'RES_cs-CZ'!$CT$50:$CZ$61</definedName>
    <definedName name="dbPatterned" localSheetId="4">'RES_da-DK'!$CT$50:$CZ$61</definedName>
    <definedName name="dbPatterned" localSheetId="5">'RES_de-DE'!$CT$50:$CZ$61</definedName>
    <definedName name="dbPatterned" localSheetId="6">'RES_el-GR'!$CT$50:$CZ$61</definedName>
    <definedName name="dbPatterned" localSheetId="2">'RES_en-US'!$CT$50:$CZ$61</definedName>
    <definedName name="dbPatterned" localSheetId="7">'RES_es-ES'!$CT$50:$CZ$61</definedName>
    <definedName name="dbPatterned" localSheetId="8">'RES_fi-FI'!$CT$50:$CZ$61</definedName>
    <definedName name="dbPatterned" localSheetId="1">'RES_fr-FR'!$CT$50:$CZ$61</definedName>
    <definedName name="dbPatterned" localSheetId="9">'RES_hr-HR'!$CT$50:$CZ$61</definedName>
    <definedName name="dbPatterned" localSheetId="10">'RES_hu-HU'!$CT$50:$CZ$61</definedName>
    <definedName name="dbPatterned" localSheetId="11">'RES_it-IT'!$CT$50:$CZ$61</definedName>
    <definedName name="dbPatterned" localSheetId="12">'RES_ja-JP'!$CT$50:$CZ$61</definedName>
    <definedName name="dbPatterned" localSheetId="13">'RES_ko-KR'!$CT$50:$CZ$61</definedName>
    <definedName name="dbPatterned" localSheetId="14">'RES_lv-LV'!$CT$50:$CZ$61</definedName>
    <definedName name="dbPatterned" localSheetId="15">'RES_nb-NO'!$CT$50:$CZ$61</definedName>
    <definedName name="dbPatterned" localSheetId="16">'RES_nl-NL'!$CT$50:$CZ$61</definedName>
    <definedName name="dbPatterned" localSheetId="17">'RES_pl-PL'!$CT$50:$CZ$61</definedName>
    <definedName name="dbPatterned" localSheetId="18">'RES_pt-BR'!$CT$50:$CZ$61</definedName>
    <definedName name="dbPatterned" localSheetId="19">'RES_pt-PT'!$CT$50:$CZ$61</definedName>
    <definedName name="dbPatterned" localSheetId="20">'RES_ro-RO'!$CT$50:$CZ$61</definedName>
    <definedName name="dbPatterned" localSheetId="21">'RES_ru-RU'!$CT$50:$CZ$61</definedName>
    <definedName name="dbPatterned" localSheetId="22">'RES_sl-SI'!$CT$50:$CZ$61</definedName>
    <definedName name="dbPatterned" localSheetId="23">'RES_sv-SE'!$CT$50:$CZ$61</definedName>
    <definedName name="dbPatterned" localSheetId="24">'RES_tr-TR'!$CT$50:$CZ$61</definedName>
    <definedName name="dbPatterned" localSheetId="25">'RES_zh-CN'!$CT$50:$CZ$61</definedName>
    <definedName name="dbPatterned" localSheetId="26">'RES_zh-TW'!$CT$50:$CZ$61</definedName>
    <definedName name="dbPoisson" localSheetId="3">'RES_cs-CZ'!$CT$106:$CZ$117</definedName>
    <definedName name="dbPoisson" localSheetId="4">'RES_da-DK'!$CT$106:$CZ$117</definedName>
    <definedName name="dbPoisson" localSheetId="5">'RES_de-DE'!$CT$106:$CZ$117</definedName>
    <definedName name="dbPoisson" localSheetId="6">'RES_el-GR'!$CT$106:$CZ$117</definedName>
    <definedName name="dbPoisson" localSheetId="2">'RES_en-US'!$CT$106:$CZ$117</definedName>
    <definedName name="dbPoisson" localSheetId="7">'RES_es-ES'!$CT$106:$CZ$117</definedName>
    <definedName name="dbPoisson" localSheetId="8">'RES_fi-FI'!$CT$106:$CZ$117</definedName>
    <definedName name="dbPoisson" localSheetId="1">'RES_fr-FR'!$CT$106:$CZ$117</definedName>
    <definedName name="dbPoisson" localSheetId="9">'RES_hr-HR'!$CT$106:$CZ$117</definedName>
    <definedName name="dbPoisson" localSheetId="10">'RES_hu-HU'!$CT$106:$CZ$117</definedName>
    <definedName name="dbPoisson" localSheetId="11">'RES_it-IT'!$CT$106:$CZ$117</definedName>
    <definedName name="dbPoisson" localSheetId="12">'RES_ja-JP'!$CT$106:$CZ$117</definedName>
    <definedName name="dbPoisson" localSheetId="13">'RES_ko-KR'!$CT$106:$CZ$117</definedName>
    <definedName name="dbPoisson" localSheetId="14">'RES_lv-LV'!$CT$106:$CZ$117</definedName>
    <definedName name="dbPoisson" localSheetId="15">'RES_nb-NO'!$CT$106:$CZ$117</definedName>
    <definedName name="dbPoisson" localSheetId="16">'RES_nl-NL'!$CT$106:$CZ$117</definedName>
    <definedName name="dbPoisson" localSheetId="17">'RES_pl-PL'!$CT$106:$CZ$117</definedName>
    <definedName name="dbPoisson" localSheetId="18">'RES_pt-BR'!$CT$106:$CZ$117</definedName>
    <definedName name="dbPoisson" localSheetId="19">'RES_pt-PT'!$CT$106:$CZ$117</definedName>
    <definedName name="dbPoisson" localSheetId="20">'RES_ro-RO'!$CT$106:$CZ$117</definedName>
    <definedName name="dbPoisson" localSheetId="21">'RES_ru-RU'!$CT$106:$CZ$117</definedName>
    <definedName name="dbPoisson" localSheetId="22">'RES_sl-SI'!$CT$106:$CZ$117</definedName>
    <definedName name="dbPoisson" localSheetId="23">'RES_sv-SE'!$CT$106:$CZ$117</definedName>
    <definedName name="dbPoisson" localSheetId="24">'RES_tr-TR'!$CT$106:$CZ$117</definedName>
    <definedName name="dbPoisson" localSheetId="25">'RES_zh-CN'!$CT$106:$CZ$117</definedName>
    <definedName name="dbPoisson" localSheetId="26">'RES_zh-TW'!$CT$106:$CZ$117</definedName>
    <definedName name="dbRandom" localSheetId="3">'RES_cs-CZ'!$CT$2:$CZ$33</definedName>
    <definedName name="dbRandom" localSheetId="4">'RES_da-DK'!$CT$2:$CZ$33</definedName>
    <definedName name="dbRandom" localSheetId="5">'RES_de-DE'!$CT$2:$CZ$33</definedName>
    <definedName name="dbRandom" localSheetId="6">'RES_el-GR'!$CT$2:$CZ$33</definedName>
    <definedName name="dbRandom" localSheetId="2">'RES_en-US'!$CT$2:$CZ$33</definedName>
    <definedName name="dbRandom" localSheetId="7">'RES_es-ES'!$CT$2:$CZ$33</definedName>
    <definedName name="dbRandom" localSheetId="8">'RES_fi-FI'!$CT$2:$CZ$33</definedName>
    <definedName name="dbRandom" localSheetId="1">'RES_fr-FR'!$CT$2:$CZ$33</definedName>
    <definedName name="dbRandom" localSheetId="9">'RES_hr-HR'!$CT$2:$CZ$33</definedName>
    <definedName name="dbRandom" localSheetId="10">'RES_hu-HU'!$CT$2:$CZ$33</definedName>
    <definedName name="dbRandom" localSheetId="11">'RES_it-IT'!$CT$2:$CZ$33</definedName>
    <definedName name="dbRandom" localSheetId="12">'RES_ja-JP'!$CT$2:$CZ$33</definedName>
    <definedName name="dbRandom" localSheetId="13">'RES_ko-KR'!$CT$2:$CZ$33</definedName>
    <definedName name="dbRandom" localSheetId="14">'RES_lv-LV'!$CT$2:$CZ$33</definedName>
    <definedName name="dbRandom" localSheetId="15">'RES_nb-NO'!$CT$2:$CZ$33</definedName>
    <definedName name="dbRandom" localSheetId="16">'RES_nl-NL'!$CT$2:$CZ$33</definedName>
    <definedName name="dbRandom" localSheetId="17">'RES_pl-PL'!$CT$2:$CZ$33</definedName>
    <definedName name="dbRandom" localSheetId="18">'RES_pt-BR'!$CT$2:$CZ$33</definedName>
    <definedName name="dbRandom" localSheetId="19">'RES_pt-PT'!$CT$2:$CZ$33</definedName>
    <definedName name="dbRandom" localSheetId="20">'RES_ro-RO'!$CT$2:$CZ$33</definedName>
    <definedName name="dbRandom" localSheetId="21">'RES_ru-RU'!$CT$2:$CZ$33</definedName>
    <definedName name="dbRandom" localSheetId="22">'RES_sl-SI'!$CT$2:$CZ$33</definedName>
    <definedName name="dbRandom" localSheetId="23">'RES_sv-SE'!$CT$2:$CZ$33</definedName>
    <definedName name="dbRandom" localSheetId="24">'RES_tr-TR'!$CT$2:$CZ$33</definedName>
    <definedName name="dbRandom" localSheetId="25">'RES_zh-CN'!$CT$2:$CZ$33</definedName>
    <definedName name="dbRandom" localSheetId="26">'RES_zh-TW'!$CT$2:$CZ$33</definedName>
    <definedName name="dbRandom_And" localSheetId="3">'RES_cs-CZ'!$CZ$23</definedName>
    <definedName name="dbRandom_And" localSheetId="4">'RES_da-DK'!$CZ$23</definedName>
    <definedName name="dbRandom_And" localSheetId="5">'RES_de-DE'!$CZ$23</definedName>
    <definedName name="dbRandom_And" localSheetId="6">'RES_el-GR'!$CZ$23</definedName>
    <definedName name="dbRandom_And" localSheetId="2">'RES_en-US'!$CZ$23</definedName>
    <definedName name="dbRandom_And" localSheetId="7">'RES_es-ES'!$CZ$23</definedName>
    <definedName name="dbRandom_And" localSheetId="8">'RES_fi-FI'!$CZ$23</definedName>
    <definedName name="dbRandom_And" localSheetId="1">'RES_fr-FR'!$CZ$23</definedName>
    <definedName name="dbRandom_And" localSheetId="9">'RES_hr-HR'!$CZ$23</definedName>
    <definedName name="dbRandom_And" localSheetId="10">'RES_hu-HU'!$CZ$23</definedName>
    <definedName name="dbRandom_And" localSheetId="11">'RES_it-IT'!$CZ$23</definedName>
    <definedName name="dbRandom_And" localSheetId="12">'RES_ja-JP'!$CZ$23</definedName>
    <definedName name="dbRandom_And" localSheetId="13">'RES_ko-KR'!$CZ$23</definedName>
    <definedName name="dbRandom_And" localSheetId="14">'RES_lv-LV'!$CZ$23</definedName>
    <definedName name="dbRandom_And" localSheetId="15">'RES_nb-NO'!$CZ$23</definedName>
    <definedName name="dbRandom_And" localSheetId="16">'RES_nl-NL'!$CZ$23</definedName>
    <definedName name="dbRandom_And" localSheetId="17">'RES_pl-PL'!$CZ$23</definedName>
    <definedName name="dbRandom_And" localSheetId="18">'RES_pt-BR'!$CZ$23</definedName>
    <definedName name="dbRandom_And" localSheetId="19">'RES_pt-PT'!$CZ$23</definedName>
    <definedName name="dbRandom_And" localSheetId="20">'RES_ro-RO'!$CZ$23</definedName>
    <definedName name="dbRandom_And" localSheetId="21">'RES_ru-RU'!$CZ$23</definedName>
    <definedName name="dbRandom_And" localSheetId="22">'RES_sl-SI'!$CZ$23</definedName>
    <definedName name="dbRandom_And" localSheetId="23">'RES_sv-SE'!$CZ$23</definedName>
    <definedName name="dbRandom_And" localSheetId="24">'RES_tr-TR'!$CZ$23</definedName>
    <definedName name="dbRandom_And" localSheetId="25">'RES_zh-CN'!$CZ$23</definedName>
    <definedName name="dbRandom_And" localSheetId="26">'RES_zh-TW'!$CZ$23</definedName>
    <definedName name="dbRandom_Between" localSheetId="3">'RES_cs-CZ'!$CZ$21</definedName>
    <definedName name="dbRandom_Between" localSheetId="4">'RES_da-DK'!$CZ$21</definedName>
    <definedName name="dbRandom_Between" localSheetId="5">'RES_de-DE'!$CZ$21</definedName>
    <definedName name="dbRandom_Between" localSheetId="6">'RES_el-GR'!$CZ$21</definedName>
    <definedName name="dbRandom_Between" localSheetId="2">'RES_en-US'!$CZ$21</definedName>
    <definedName name="dbRandom_Between" localSheetId="7">'RES_es-ES'!$CZ$21</definedName>
    <definedName name="dbRandom_Between" localSheetId="8">'RES_fi-FI'!$CZ$21</definedName>
    <definedName name="dbRandom_Between" localSheetId="1">'RES_fr-FR'!$CZ$21</definedName>
    <definedName name="dbRandom_Between" localSheetId="9">'RES_hr-HR'!$CZ$21</definedName>
    <definedName name="dbRandom_Between" localSheetId="10">'RES_hu-HU'!$CZ$21</definedName>
    <definedName name="dbRandom_Between" localSheetId="11">'RES_it-IT'!$CZ$21</definedName>
    <definedName name="dbRandom_Between" localSheetId="12">'RES_ja-JP'!$CZ$21</definedName>
    <definedName name="dbRandom_Between" localSheetId="13">'RES_ko-KR'!$CZ$21</definedName>
    <definedName name="dbRandom_Between" localSheetId="14">'RES_lv-LV'!$CZ$21</definedName>
    <definedName name="dbRandom_Between" localSheetId="15">'RES_nb-NO'!$CZ$21</definedName>
    <definedName name="dbRandom_Between" localSheetId="16">'RES_nl-NL'!$CZ$21</definedName>
    <definedName name="dbRandom_Between" localSheetId="17">'RES_pl-PL'!$CZ$21</definedName>
    <definedName name="dbRandom_Between" localSheetId="18">'RES_pt-BR'!$CZ$21</definedName>
    <definedName name="dbRandom_Between" localSheetId="19">'RES_pt-PT'!$CZ$21</definedName>
    <definedName name="dbRandom_Between" localSheetId="20">'RES_ro-RO'!$CZ$21</definedName>
    <definedName name="dbRandom_Between" localSheetId="21">'RES_ru-RU'!$CZ$21</definedName>
    <definedName name="dbRandom_Between" localSheetId="22">'RES_sl-SI'!$CZ$21</definedName>
    <definedName name="dbRandom_Between" localSheetId="23">'RES_sv-SE'!$CZ$21</definedName>
    <definedName name="dbRandom_Between" localSheetId="24">'RES_tr-TR'!$CZ$21</definedName>
    <definedName name="dbRandom_Between" localSheetId="25">'RES_zh-CN'!$CZ$21</definedName>
    <definedName name="dbRandom_Between" localSheetId="26">'RES_zh-TW'!$CZ$21</definedName>
    <definedName name="dbRandom_CurrDistDBName" localSheetId="3">'RES_cs-CZ'!$CZ$12</definedName>
    <definedName name="dbRandom_CurrDistDBName" localSheetId="4">'RES_da-DK'!$CZ$12</definedName>
    <definedName name="dbRandom_CurrDistDBName" localSheetId="5">'RES_de-DE'!$CZ$12</definedName>
    <definedName name="dbRandom_CurrDistDBName" localSheetId="6">'RES_el-GR'!$CZ$12</definedName>
    <definedName name="dbRandom_CurrDistDBName" localSheetId="2">'RES_en-US'!$CZ$12</definedName>
    <definedName name="dbRandom_CurrDistDBName" localSheetId="7">'RES_es-ES'!$CZ$12</definedName>
    <definedName name="dbRandom_CurrDistDBName" localSheetId="8">'RES_fi-FI'!$CZ$12</definedName>
    <definedName name="dbRandom_CurrDistDBName" localSheetId="1">'RES_fr-FR'!$CZ$12</definedName>
    <definedName name="dbRandom_CurrDistDBName" localSheetId="9">'RES_hr-HR'!$CZ$12</definedName>
    <definedName name="dbRandom_CurrDistDBName" localSheetId="10">'RES_hu-HU'!$CZ$12</definedName>
    <definedName name="dbRandom_CurrDistDBName" localSheetId="11">'RES_it-IT'!$CZ$12</definedName>
    <definedName name="dbRandom_CurrDistDBName" localSheetId="12">'RES_ja-JP'!$CZ$12</definedName>
    <definedName name="dbRandom_CurrDistDBName" localSheetId="13">'RES_ko-KR'!$CZ$12</definedName>
    <definedName name="dbRandom_CurrDistDBName" localSheetId="14">'RES_lv-LV'!$CZ$12</definedName>
    <definedName name="dbRandom_CurrDistDBName" localSheetId="15">'RES_nb-NO'!$CZ$12</definedName>
    <definedName name="dbRandom_CurrDistDBName" localSheetId="16">'RES_nl-NL'!$CZ$12</definedName>
    <definedName name="dbRandom_CurrDistDBName" localSheetId="17">'RES_pl-PL'!$CZ$12</definedName>
    <definedName name="dbRandom_CurrDistDBName" localSheetId="18">'RES_pt-BR'!$CZ$12</definedName>
    <definedName name="dbRandom_CurrDistDBName" localSheetId="19">'RES_pt-PT'!$CZ$12</definedName>
    <definedName name="dbRandom_CurrDistDBName" localSheetId="20">'RES_ro-RO'!$CZ$12</definedName>
    <definedName name="dbRandom_CurrDistDBName" localSheetId="21">'RES_ru-RU'!$CZ$12</definedName>
    <definedName name="dbRandom_CurrDistDBName" localSheetId="22">'RES_sl-SI'!$CZ$12</definedName>
    <definedName name="dbRandom_CurrDistDBName" localSheetId="23">'RES_sv-SE'!$CZ$12</definedName>
    <definedName name="dbRandom_CurrDistDBName" localSheetId="24">'RES_tr-TR'!$CZ$12</definedName>
    <definedName name="dbRandom_CurrDistDBName" localSheetId="25">'RES_zh-CN'!$CZ$12</definedName>
    <definedName name="dbRandom_CurrDistDBName" localSheetId="26">'RES_zh-TW'!$CZ$12</definedName>
    <definedName name="dbRandom_From" localSheetId="3">'RES_cs-CZ'!$CZ$13</definedName>
    <definedName name="dbRandom_From" localSheetId="4">'RES_da-DK'!$CZ$13</definedName>
    <definedName name="dbRandom_From" localSheetId="5">'RES_de-DE'!$CZ$13</definedName>
    <definedName name="dbRandom_From" localSheetId="6">'RES_el-GR'!$CZ$13</definedName>
    <definedName name="dbRandom_From" localSheetId="2">'RES_en-US'!$CZ$13</definedName>
    <definedName name="dbRandom_From" localSheetId="7">'RES_es-ES'!$CZ$13</definedName>
    <definedName name="dbRandom_From" localSheetId="8">'RES_fi-FI'!$CZ$13</definedName>
    <definedName name="dbRandom_From" localSheetId="1">'RES_fr-FR'!$CZ$13</definedName>
    <definedName name="dbRandom_From" localSheetId="9">'RES_hr-HR'!$CZ$13</definedName>
    <definedName name="dbRandom_From" localSheetId="10">'RES_hu-HU'!$CZ$13</definedName>
    <definedName name="dbRandom_From" localSheetId="11">'RES_it-IT'!$CZ$13</definedName>
    <definedName name="dbRandom_From" localSheetId="12">'RES_ja-JP'!$CZ$13</definedName>
    <definedName name="dbRandom_From" localSheetId="13">'RES_ko-KR'!$CZ$13</definedName>
    <definedName name="dbRandom_From" localSheetId="14">'RES_lv-LV'!$CZ$13</definedName>
    <definedName name="dbRandom_From" localSheetId="15">'RES_nb-NO'!$CZ$13</definedName>
    <definedName name="dbRandom_From" localSheetId="16">'RES_nl-NL'!$CZ$13</definedName>
    <definedName name="dbRandom_From" localSheetId="17">'RES_pl-PL'!$CZ$13</definedName>
    <definedName name="dbRandom_From" localSheetId="18">'RES_pt-BR'!$CZ$13</definedName>
    <definedName name="dbRandom_From" localSheetId="19">'RES_pt-PT'!$CZ$13</definedName>
    <definedName name="dbRandom_From" localSheetId="20">'RES_ro-RO'!$CZ$13</definedName>
    <definedName name="dbRandom_From" localSheetId="21">'RES_ru-RU'!$CZ$13</definedName>
    <definedName name="dbRandom_From" localSheetId="22">'RES_sl-SI'!$CZ$13</definedName>
    <definedName name="dbRandom_From" localSheetId="23">'RES_sv-SE'!$CZ$13</definedName>
    <definedName name="dbRandom_From" localSheetId="24">'RES_tr-TR'!$CZ$13</definedName>
    <definedName name="dbRandom_From" localSheetId="25">'RES_zh-CN'!$CZ$13</definedName>
    <definedName name="dbRandom_From" localSheetId="26">'RES_zh-TW'!$CZ$13</definedName>
    <definedName name="dbRandom_InRange" localSheetId="3">'RES_cs-CZ'!$CZ$23</definedName>
    <definedName name="dbRandom_InRange" localSheetId="4">'RES_da-DK'!$CZ$23</definedName>
    <definedName name="dbRandom_InRange" localSheetId="5">'RES_de-DE'!$CZ$23</definedName>
    <definedName name="dbRandom_InRange" localSheetId="6">'RES_el-GR'!$CZ$23</definedName>
    <definedName name="dbRandom_InRange" localSheetId="2">'RES_en-US'!$CZ$23</definedName>
    <definedName name="dbRandom_InRange" localSheetId="7">'RES_es-ES'!$CZ$23</definedName>
    <definedName name="dbRandom_InRange" localSheetId="8">'RES_fi-FI'!$CZ$23</definedName>
    <definedName name="dbRandom_InRange" localSheetId="1">'RES_fr-FR'!$CZ$23</definedName>
    <definedName name="dbRandom_InRange" localSheetId="9">'RES_hr-HR'!$CZ$23</definedName>
    <definedName name="dbRandom_InRange" localSheetId="10">'RES_hu-HU'!$CZ$23</definedName>
    <definedName name="dbRandom_InRange" localSheetId="11">'RES_it-IT'!$CZ$23</definedName>
    <definedName name="dbRandom_InRange" localSheetId="12">'RES_ja-JP'!$CZ$23</definedName>
    <definedName name="dbRandom_InRange" localSheetId="13">'RES_ko-KR'!$CZ$23</definedName>
    <definedName name="dbRandom_InRange" localSheetId="14">'RES_lv-LV'!$CZ$23</definedName>
    <definedName name="dbRandom_InRange" localSheetId="15">'RES_nb-NO'!$CZ$23</definedName>
    <definedName name="dbRandom_InRange" localSheetId="16">'RES_nl-NL'!$CZ$23</definedName>
    <definedName name="dbRandom_InRange" localSheetId="17">'RES_pl-PL'!$CZ$23</definedName>
    <definedName name="dbRandom_InRange" localSheetId="18">'RES_pt-BR'!$CZ$23</definedName>
    <definedName name="dbRandom_InRange" localSheetId="19">'RES_pt-PT'!$CZ$23</definedName>
    <definedName name="dbRandom_InRange" localSheetId="20">'RES_ro-RO'!$CZ$23</definedName>
    <definedName name="dbRandom_InRange" localSheetId="21">'RES_ru-RU'!$CZ$23</definedName>
    <definedName name="dbRandom_InRange" localSheetId="22">'RES_sl-SI'!$CZ$23</definedName>
    <definedName name="dbRandom_InRange" localSheetId="23">'RES_sv-SE'!$CZ$23</definedName>
    <definedName name="dbRandom_InRange" localSheetId="24">'RES_tr-TR'!$CZ$23</definedName>
    <definedName name="dbRandom_InRange" localSheetId="25">'RES_zh-CN'!$CZ$23</definedName>
    <definedName name="dbRandom_InRange" localSheetId="26">'RES_zh-TW'!$CZ$23</definedName>
    <definedName name="dbRandom_InSteps" localSheetId="3">'RES_cs-CZ'!$CZ$17</definedName>
    <definedName name="dbRandom_InSteps" localSheetId="4">'RES_da-DK'!$CZ$17</definedName>
    <definedName name="dbRandom_InSteps" localSheetId="5">'RES_de-DE'!$CZ$17</definedName>
    <definedName name="dbRandom_InSteps" localSheetId="6">'RES_el-GR'!$CZ$17</definedName>
    <definedName name="dbRandom_InSteps" localSheetId="2">'RES_en-US'!$CZ$17</definedName>
    <definedName name="dbRandom_InSteps" localSheetId="7">'RES_es-ES'!$CZ$17</definedName>
    <definedName name="dbRandom_InSteps" localSheetId="8">'RES_fi-FI'!$CZ$17</definedName>
    <definedName name="dbRandom_InSteps" localSheetId="1">'RES_fr-FR'!$CZ$17</definedName>
    <definedName name="dbRandom_InSteps" localSheetId="9">'RES_hr-HR'!$CZ$17</definedName>
    <definedName name="dbRandom_InSteps" localSheetId="10">'RES_hu-HU'!$CZ$17</definedName>
    <definedName name="dbRandom_InSteps" localSheetId="11">'RES_it-IT'!$CZ$17</definedName>
    <definedName name="dbRandom_InSteps" localSheetId="12">'RES_ja-JP'!$CZ$17</definedName>
    <definedName name="dbRandom_InSteps" localSheetId="13">'RES_ko-KR'!$CZ$17</definedName>
    <definedName name="dbRandom_InSteps" localSheetId="14">'RES_lv-LV'!$CZ$17</definedName>
    <definedName name="dbRandom_InSteps" localSheetId="15">'RES_nb-NO'!$CZ$17</definedName>
    <definedName name="dbRandom_InSteps" localSheetId="16">'RES_nl-NL'!$CZ$17</definedName>
    <definedName name="dbRandom_InSteps" localSheetId="17">'RES_pl-PL'!$CZ$17</definedName>
    <definedName name="dbRandom_InSteps" localSheetId="18">'RES_pt-BR'!$CZ$17</definedName>
    <definedName name="dbRandom_InSteps" localSheetId="19">'RES_pt-PT'!$CZ$17</definedName>
    <definedName name="dbRandom_InSteps" localSheetId="20">'RES_ro-RO'!$CZ$17</definedName>
    <definedName name="dbRandom_InSteps" localSheetId="21">'RES_ru-RU'!$CZ$17</definedName>
    <definedName name="dbRandom_InSteps" localSheetId="22">'RES_sl-SI'!$CZ$17</definedName>
    <definedName name="dbRandom_InSteps" localSheetId="23">'RES_sv-SE'!$CZ$17</definedName>
    <definedName name="dbRandom_InSteps" localSheetId="24">'RES_tr-TR'!$CZ$17</definedName>
    <definedName name="dbRandom_InSteps" localSheetId="25">'RES_zh-CN'!$CZ$17</definedName>
    <definedName name="dbRandom_InSteps" localSheetId="26">'RES_zh-TW'!$CZ$17</definedName>
    <definedName name="dbRandom_Lamda" localSheetId="3">'RES_cs-CZ'!$CZ$23</definedName>
    <definedName name="dbRandom_Lamda" localSheetId="4">'RES_da-DK'!$CZ$23</definedName>
    <definedName name="dbRandom_Lamda" localSheetId="5">'RES_de-DE'!$CZ$23</definedName>
    <definedName name="dbRandom_Lamda" localSheetId="6">'RES_el-GR'!$CZ$23</definedName>
    <definedName name="dbRandom_Lamda" localSheetId="2">'RES_en-US'!$CZ$23</definedName>
    <definedName name="dbRandom_Lamda" localSheetId="7">'RES_es-ES'!$CZ$23</definedName>
    <definedName name="dbRandom_Lamda" localSheetId="8">'RES_fi-FI'!$CZ$23</definedName>
    <definedName name="dbRandom_Lamda" localSheetId="1">'RES_fr-FR'!$CZ$23</definedName>
    <definedName name="dbRandom_Lamda" localSheetId="9">'RES_hr-HR'!$CZ$23</definedName>
    <definedName name="dbRandom_Lamda" localSheetId="10">'RES_hu-HU'!$CZ$23</definedName>
    <definedName name="dbRandom_Lamda" localSheetId="11">'RES_it-IT'!$CZ$23</definedName>
    <definedName name="dbRandom_Lamda" localSheetId="12">'RES_ja-JP'!$CZ$23</definedName>
    <definedName name="dbRandom_Lamda" localSheetId="13">'RES_ko-KR'!$CZ$23</definedName>
    <definedName name="dbRandom_Lamda" localSheetId="14">'RES_lv-LV'!$CZ$23</definedName>
    <definedName name="dbRandom_Lamda" localSheetId="15">'RES_nb-NO'!$CZ$23</definedName>
    <definedName name="dbRandom_Lamda" localSheetId="16">'RES_nl-NL'!$CZ$23</definedName>
    <definedName name="dbRandom_Lamda" localSheetId="17">'RES_pl-PL'!$CZ$23</definedName>
    <definedName name="dbRandom_Lamda" localSheetId="18">'RES_pt-BR'!$CZ$23</definedName>
    <definedName name="dbRandom_Lamda" localSheetId="19">'RES_pt-PT'!$CZ$23</definedName>
    <definedName name="dbRandom_Lamda" localSheetId="20">'RES_ro-RO'!$CZ$23</definedName>
    <definedName name="dbRandom_Lamda" localSheetId="21">'RES_ru-RU'!$CZ$23</definedName>
    <definedName name="dbRandom_Lamda" localSheetId="22">'RES_sl-SI'!$CZ$23</definedName>
    <definedName name="dbRandom_Lamda" localSheetId="23">'RES_sv-SE'!$CZ$23</definedName>
    <definedName name="dbRandom_Lamda" localSheetId="24">'RES_tr-TR'!$CZ$23</definedName>
    <definedName name="dbRandom_Lamda" localSheetId="25">'RES_zh-CN'!$CZ$23</definedName>
    <definedName name="dbRandom_Lamda" localSheetId="26">'RES_zh-TW'!$CZ$23</definedName>
    <definedName name="dbRandom_Mean" localSheetId="3">'RES_cs-CZ'!$CZ$21</definedName>
    <definedName name="dbRandom_Mean" localSheetId="4">'RES_da-DK'!$CZ$21</definedName>
    <definedName name="dbRandom_Mean" localSheetId="5">'RES_de-DE'!$CZ$21</definedName>
    <definedName name="dbRandom_Mean" localSheetId="6">'RES_el-GR'!$CZ$21</definedName>
    <definedName name="dbRandom_Mean" localSheetId="2">'RES_en-US'!$CZ$21</definedName>
    <definedName name="dbRandom_Mean" localSheetId="7">'RES_es-ES'!$CZ$21</definedName>
    <definedName name="dbRandom_Mean" localSheetId="8">'RES_fi-FI'!$CZ$21</definedName>
    <definedName name="dbRandom_Mean" localSheetId="1">'RES_fr-FR'!$CZ$21</definedName>
    <definedName name="dbRandom_Mean" localSheetId="9">'RES_hr-HR'!$CZ$21</definedName>
    <definedName name="dbRandom_Mean" localSheetId="10">'RES_hu-HU'!$CZ$21</definedName>
    <definedName name="dbRandom_Mean" localSheetId="11">'RES_it-IT'!$CZ$21</definedName>
    <definedName name="dbRandom_Mean" localSheetId="12">'RES_ja-JP'!$CZ$21</definedName>
    <definedName name="dbRandom_Mean" localSheetId="13">'RES_ko-KR'!$CZ$21</definedName>
    <definedName name="dbRandom_Mean" localSheetId="14">'RES_lv-LV'!$CZ$21</definedName>
    <definedName name="dbRandom_Mean" localSheetId="15">'RES_nb-NO'!$CZ$21</definedName>
    <definedName name="dbRandom_Mean" localSheetId="16">'RES_nl-NL'!$CZ$21</definedName>
    <definedName name="dbRandom_Mean" localSheetId="17">'RES_pl-PL'!$CZ$21</definedName>
    <definedName name="dbRandom_Mean" localSheetId="18">'RES_pt-BR'!$CZ$21</definedName>
    <definedName name="dbRandom_Mean" localSheetId="19">'RES_pt-PT'!$CZ$21</definedName>
    <definedName name="dbRandom_Mean" localSheetId="20">'RES_ro-RO'!$CZ$21</definedName>
    <definedName name="dbRandom_Mean" localSheetId="21">'RES_ru-RU'!$CZ$21</definedName>
    <definedName name="dbRandom_Mean" localSheetId="22">'RES_sl-SI'!$CZ$21</definedName>
    <definedName name="dbRandom_Mean" localSheetId="23">'RES_sv-SE'!$CZ$21</definedName>
    <definedName name="dbRandom_Mean" localSheetId="24">'RES_tr-TR'!$CZ$21</definedName>
    <definedName name="dbRandom_Mean" localSheetId="25">'RES_zh-CN'!$CZ$21</definedName>
    <definedName name="dbRandom_Mean" localSheetId="26">'RES_zh-TW'!$CZ$21</definedName>
    <definedName name="dbRandom_OutOption" localSheetId="3">'RES_cs-CZ'!$CZ$27</definedName>
    <definedName name="dbRandom_OutOption" localSheetId="4">'RES_da-DK'!$CZ$27</definedName>
    <definedName name="dbRandom_OutOption" localSheetId="5">'RES_de-DE'!$CZ$27</definedName>
    <definedName name="dbRandom_OutOption" localSheetId="6">'RES_el-GR'!$CZ$27</definedName>
    <definedName name="dbRandom_OutOption" localSheetId="2">'RES_en-US'!$CZ$27</definedName>
    <definedName name="dbRandom_OutOption" localSheetId="7">'RES_es-ES'!$CZ$27</definedName>
    <definedName name="dbRandom_OutOption" localSheetId="8">'RES_fi-FI'!$CZ$27</definedName>
    <definedName name="dbRandom_OutOption" localSheetId="1">'RES_fr-FR'!$CZ$27</definedName>
    <definedName name="dbRandom_OutOption" localSheetId="9">'RES_hr-HR'!$CZ$27</definedName>
    <definedName name="dbRandom_OutOption" localSheetId="10">'RES_hu-HU'!$CZ$27</definedName>
    <definedName name="dbRandom_OutOption" localSheetId="11">'RES_it-IT'!$CZ$27</definedName>
    <definedName name="dbRandom_OutOption" localSheetId="12">'RES_ja-JP'!$CZ$27</definedName>
    <definedName name="dbRandom_OutOption" localSheetId="13">'RES_ko-KR'!$CZ$27</definedName>
    <definedName name="dbRandom_OutOption" localSheetId="14">'RES_lv-LV'!$CZ$27</definedName>
    <definedName name="dbRandom_OutOption" localSheetId="15">'RES_nb-NO'!$CZ$27</definedName>
    <definedName name="dbRandom_OutOption" localSheetId="16">'RES_nl-NL'!$CZ$27</definedName>
    <definedName name="dbRandom_OutOption" localSheetId="17">'RES_pl-PL'!$CZ$27</definedName>
    <definedName name="dbRandom_OutOption" localSheetId="18">'RES_pt-BR'!$CZ$27</definedName>
    <definedName name="dbRandom_OutOption" localSheetId="19">'RES_pt-PT'!$CZ$27</definedName>
    <definedName name="dbRandom_OutOption" localSheetId="20">'RES_ro-RO'!$CZ$27</definedName>
    <definedName name="dbRandom_OutOption" localSheetId="21">'RES_ru-RU'!$CZ$27</definedName>
    <definedName name="dbRandom_OutOption" localSheetId="22">'RES_sl-SI'!$CZ$27</definedName>
    <definedName name="dbRandom_OutOption" localSheetId="23">'RES_sv-SE'!$CZ$27</definedName>
    <definedName name="dbRandom_OutOption" localSheetId="24">'RES_tr-TR'!$CZ$27</definedName>
    <definedName name="dbRandom_OutOption" localSheetId="25">'RES_zh-CN'!$CZ$27</definedName>
    <definedName name="dbRandom_OutOption" localSheetId="26">'RES_zh-TW'!$CZ$27</definedName>
    <definedName name="dbRandom_PlyInpFld" localSheetId="3">'RES_cs-CZ'!$CT$32</definedName>
    <definedName name="dbRandom_PlyInpFld" localSheetId="4">'RES_da-DK'!$CT$32</definedName>
    <definedName name="dbRandom_PlyInpFld" localSheetId="5">'RES_de-DE'!$CT$32</definedName>
    <definedName name="dbRandom_PlyInpFld" localSheetId="6">'RES_el-GR'!$CT$32</definedName>
    <definedName name="dbRandom_PlyInpFld" localSheetId="2">'RES_en-US'!$CT$32</definedName>
    <definedName name="dbRandom_PlyInpFld" localSheetId="7">'RES_es-ES'!$CT$32</definedName>
    <definedName name="dbRandom_PlyInpFld" localSheetId="8">'RES_fi-FI'!$CT$32</definedName>
    <definedName name="dbRandom_PlyInpFld" localSheetId="1">'RES_fr-FR'!$CT$32</definedName>
    <definedName name="dbRandom_PlyInpFld" localSheetId="9">'RES_hr-HR'!$CT$32</definedName>
    <definedName name="dbRandom_PlyInpFld" localSheetId="10">'RES_hu-HU'!$CT$32</definedName>
    <definedName name="dbRandom_PlyInpFld" localSheetId="11">'RES_it-IT'!$CT$32</definedName>
    <definedName name="dbRandom_PlyInpFld" localSheetId="12">'RES_ja-JP'!$CT$32</definedName>
    <definedName name="dbRandom_PlyInpFld" localSheetId="13">'RES_ko-KR'!$CT$32</definedName>
    <definedName name="dbRandom_PlyInpFld" localSheetId="14">'RES_lv-LV'!$CT$32</definedName>
    <definedName name="dbRandom_PlyInpFld" localSheetId="15">'RES_nb-NO'!$CT$32</definedName>
    <definedName name="dbRandom_PlyInpFld" localSheetId="16">'RES_nl-NL'!$CT$32</definedName>
    <definedName name="dbRandom_PlyInpFld" localSheetId="17">'RES_pl-PL'!$CT$32</definedName>
    <definedName name="dbRandom_PlyInpFld" localSheetId="18">'RES_pt-BR'!$CT$32</definedName>
    <definedName name="dbRandom_PlyInpFld" localSheetId="19">'RES_pt-PT'!$CT$32</definedName>
    <definedName name="dbRandom_PlyInpFld" localSheetId="20">'RES_ro-RO'!$CT$32</definedName>
    <definedName name="dbRandom_PlyInpFld" localSheetId="21">'RES_ru-RU'!$CT$32</definedName>
    <definedName name="dbRandom_PlyInpFld" localSheetId="22">'RES_sl-SI'!$CT$32</definedName>
    <definedName name="dbRandom_PlyInpFld" localSheetId="23">'RES_sv-SE'!$CT$32</definedName>
    <definedName name="dbRandom_PlyInpFld" localSheetId="24">'RES_tr-TR'!$CT$32</definedName>
    <definedName name="dbRandom_PlyInpFld" localSheetId="25">'RES_zh-CN'!$CT$32</definedName>
    <definedName name="dbRandom_PlyInpFld" localSheetId="26">'RES_zh-TW'!$CT$32</definedName>
    <definedName name="dbRandom_PlyName" localSheetId="3">'RES_cs-CZ'!$CZ$32</definedName>
    <definedName name="dbRandom_PlyName" localSheetId="4">'RES_da-DK'!$CZ$32</definedName>
    <definedName name="dbRandom_PlyName" localSheetId="5">'RES_de-DE'!$CZ$32</definedName>
    <definedName name="dbRandom_PlyName" localSheetId="6">'RES_el-GR'!$CZ$32</definedName>
    <definedName name="dbRandom_PlyName" localSheetId="2">'RES_en-US'!$CZ$32</definedName>
    <definedName name="dbRandom_PlyName" localSheetId="7">'RES_es-ES'!$CZ$32</definedName>
    <definedName name="dbRandom_PlyName" localSheetId="8">'RES_fi-FI'!$CZ$32</definedName>
    <definedName name="dbRandom_PlyName" localSheetId="1">'RES_fr-FR'!$CZ$32</definedName>
    <definedName name="dbRandom_PlyName" localSheetId="9">'RES_hr-HR'!$CZ$32</definedName>
    <definedName name="dbRandom_PlyName" localSheetId="10">'RES_hu-HU'!$CZ$32</definedName>
    <definedName name="dbRandom_PlyName" localSheetId="11">'RES_it-IT'!$CZ$32</definedName>
    <definedName name="dbRandom_PlyName" localSheetId="12">'RES_ja-JP'!$CZ$32</definedName>
    <definedName name="dbRandom_PlyName" localSheetId="13">'RES_ko-KR'!$CZ$32</definedName>
    <definedName name="dbRandom_PlyName" localSheetId="14">'RES_lv-LV'!$CZ$32</definedName>
    <definedName name="dbRandom_PlyName" localSheetId="15">'RES_nb-NO'!$CZ$32</definedName>
    <definedName name="dbRandom_PlyName" localSheetId="16">'RES_nl-NL'!$CZ$32</definedName>
    <definedName name="dbRandom_PlyName" localSheetId="17">'RES_pl-PL'!$CZ$32</definedName>
    <definedName name="dbRandom_PlyName" localSheetId="18">'RES_pt-BR'!$CZ$32</definedName>
    <definedName name="dbRandom_PlyName" localSheetId="19">'RES_pt-PT'!$CZ$32</definedName>
    <definedName name="dbRandom_PlyName" localSheetId="20">'RES_ro-RO'!$CZ$32</definedName>
    <definedName name="dbRandom_PlyName" localSheetId="21">'RES_ru-RU'!$CZ$32</definedName>
    <definedName name="dbRandom_PlyName" localSheetId="22">'RES_sl-SI'!$CZ$32</definedName>
    <definedName name="dbRandom_PlyName" localSheetId="23">'RES_sv-SE'!$CZ$32</definedName>
    <definedName name="dbRandom_PlyName" localSheetId="24">'RES_tr-TR'!$CZ$32</definedName>
    <definedName name="dbRandom_PlyName" localSheetId="25">'RES_zh-CN'!$CZ$32</definedName>
    <definedName name="dbRandom_PlyName" localSheetId="26">'RES_zh-TW'!$CZ$32</definedName>
    <definedName name="dbRandom_pVal" localSheetId="3">'RES_cs-CZ'!$CZ$23</definedName>
    <definedName name="dbRandom_pVal" localSheetId="4">'RES_da-DK'!$CZ$23</definedName>
    <definedName name="dbRandom_pVal" localSheetId="5">'RES_de-DE'!$CZ$23</definedName>
    <definedName name="dbRandom_pVal" localSheetId="6">'RES_el-GR'!$CZ$23</definedName>
    <definedName name="dbRandom_pVal" localSheetId="2">'RES_en-US'!$CZ$23</definedName>
    <definedName name="dbRandom_pVal" localSheetId="7">'RES_es-ES'!$CZ$23</definedName>
    <definedName name="dbRandom_pVal" localSheetId="8">'RES_fi-FI'!$CZ$23</definedName>
    <definedName name="dbRandom_pVal" localSheetId="1">'RES_fr-FR'!$CZ$23</definedName>
    <definedName name="dbRandom_pVal" localSheetId="9">'RES_hr-HR'!$CZ$23</definedName>
    <definedName name="dbRandom_pVal" localSheetId="10">'RES_hu-HU'!$CZ$23</definedName>
    <definedName name="dbRandom_pVal" localSheetId="11">'RES_it-IT'!$CZ$23</definedName>
    <definedName name="dbRandom_pVal" localSheetId="12">'RES_ja-JP'!$CZ$23</definedName>
    <definedName name="dbRandom_pVal" localSheetId="13">'RES_ko-KR'!$CZ$23</definedName>
    <definedName name="dbRandom_pVal" localSheetId="14">'RES_lv-LV'!$CZ$23</definedName>
    <definedName name="dbRandom_pVal" localSheetId="15">'RES_nb-NO'!$CZ$23</definedName>
    <definedName name="dbRandom_pVal" localSheetId="16">'RES_nl-NL'!$CZ$23</definedName>
    <definedName name="dbRandom_pVal" localSheetId="17">'RES_pl-PL'!$CZ$23</definedName>
    <definedName name="dbRandom_pVal" localSheetId="18">'RES_pt-BR'!$CZ$23</definedName>
    <definedName name="dbRandom_pVal" localSheetId="19">'RES_pt-PT'!$CZ$23</definedName>
    <definedName name="dbRandom_pVal" localSheetId="20">'RES_ro-RO'!$CZ$23</definedName>
    <definedName name="dbRandom_pVal" localSheetId="21">'RES_ru-RU'!$CZ$23</definedName>
    <definedName name="dbRandom_pVal" localSheetId="22">'RES_sl-SI'!$CZ$23</definedName>
    <definedName name="dbRandom_pVal" localSheetId="23">'RES_sv-SE'!$CZ$23</definedName>
    <definedName name="dbRandom_pVal" localSheetId="24">'RES_tr-TR'!$CZ$23</definedName>
    <definedName name="dbRandom_pVal" localSheetId="25">'RES_zh-CN'!$CZ$23</definedName>
    <definedName name="dbRandom_pVal" localSheetId="26">'RES_zh-TW'!$CZ$23</definedName>
    <definedName name="dbRandom_RandDistOpt" localSheetId="3">'RES_cs-CZ'!$CZ$10</definedName>
    <definedName name="dbRandom_RandDistOpt" localSheetId="4">'RES_da-DK'!$CZ$10</definedName>
    <definedName name="dbRandom_RandDistOpt" localSheetId="5">'RES_de-DE'!$CZ$10</definedName>
    <definedName name="dbRandom_RandDistOpt" localSheetId="6">'RES_el-GR'!$CZ$10</definedName>
    <definedName name="dbRandom_RandDistOpt" localSheetId="2">'RES_en-US'!$CZ$10</definedName>
    <definedName name="dbRandom_RandDistOpt" localSheetId="7">'RES_es-ES'!$CZ$10</definedName>
    <definedName name="dbRandom_RandDistOpt" localSheetId="8">'RES_fi-FI'!$CZ$10</definedName>
    <definedName name="dbRandom_RandDistOpt" localSheetId="1">'RES_fr-FR'!$CZ$10</definedName>
    <definedName name="dbRandom_RandDistOpt" localSheetId="9">'RES_hr-HR'!$CZ$10</definedName>
    <definedName name="dbRandom_RandDistOpt" localSheetId="10">'RES_hu-HU'!$CZ$10</definedName>
    <definedName name="dbRandom_RandDistOpt" localSheetId="11">'RES_it-IT'!$CZ$10</definedName>
    <definedName name="dbRandom_RandDistOpt" localSheetId="12">'RES_ja-JP'!$CZ$10</definedName>
    <definedName name="dbRandom_RandDistOpt" localSheetId="13">'RES_ko-KR'!$CZ$10</definedName>
    <definedName name="dbRandom_RandDistOpt" localSheetId="14">'RES_lv-LV'!$CZ$10</definedName>
    <definedName name="dbRandom_RandDistOpt" localSheetId="15">'RES_nb-NO'!$CZ$10</definedName>
    <definedName name="dbRandom_RandDistOpt" localSheetId="16">'RES_nl-NL'!$CZ$10</definedName>
    <definedName name="dbRandom_RandDistOpt" localSheetId="17">'RES_pl-PL'!$CZ$10</definedName>
    <definedName name="dbRandom_RandDistOpt" localSheetId="18">'RES_pt-BR'!$CZ$10</definedName>
    <definedName name="dbRandom_RandDistOpt" localSheetId="19">'RES_pt-PT'!$CZ$10</definedName>
    <definedName name="dbRandom_RandDistOpt" localSheetId="20">'RES_ro-RO'!$CZ$10</definedName>
    <definedName name="dbRandom_RandDistOpt" localSheetId="21">'RES_ru-RU'!$CZ$10</definedName>
    <definedName name="dbRandom_RandDistOpt" localSheetId="22">'RES_sl-SI'!$CZ$10</definedName>
    <definedName name="dbRandom_RandDistOpt" localSheetId="23">'RES_sv-SE'!$CZ$10</definedName>
    <definedName name="dbRandom_RandDistOpt" localSheetId="24">'RES_tr-TR'!$CZ$10</definedName>
    <definedName name="dbRandom_RandDistOpt" localSheetId="25">'RES_zh-CN'!$CZ$10</definedName>
    <definedName name="dbRandom_RandDistOpt" localSheetId="26">'RES_zh-TW'!$CZ$10</definedName>
    <definedName name="dbRandom_RandNum" localSheetId="3">'RES_cs-CZ'!$CZ$8</definedName>
    <definedName name="dbRandom_RandNum" localSheetId="4">'RES_da-DK'!$CZ$8</definedName>
    <definedName name="dbRandom_RandNum" localSheetId="5">'RES_de-DE'!$CZ$8</definedName>
    <definedName name="dbRandom_RandNum" localSheetId="6">'RES_el-GR'!$CZ$8</definedName>
    <definedName name="dbRandom_RandNum" localSheetId="2">'RES_en-US'!$CZ$8</definedName>
    <definedName name="dbRandom_RandNum" localSheetId="7">'RES_es-ES'!$CZ$8</definedName>
    <definedName name="dbRandom_RandNum" localSheetId="8">'RES_fi-FI'!$CZ$8</definedName>
    <definedName name="dbRandom_RandNum" localSheetId="1">'RES_fr-FR'!$CZ$8</definedName>
    <definedName name="dbRandom_RandNum" localSheetId="9">'RES_hr-HR'!$CZ$8</definedName>
    <definedName name="dbRandom_RandNum" localSheetId="10">'RES_hu-HU'!$CZ$8</definedName>
    <definedName name="dbRandom_RandNum" localSheetId="11">'RES_it-IT'!$CZ$8</definedName>
    <definedName name="dbRandom_RandNum" localSheetId="12">'RES_ja-JP'!$CZ$8</definedName>
    <definedName name="dbRandom_RandNum" localSheetId="13">'RES_ko-KR'!$CZ$8</definedName>
    <definedName name="dbRandom_RandNum" localSheetId="14">'RES_lv-LV'!$CZ$8</definedName>
    <definedName name="dbRandom_RandNum" localSheetId="15">'RES_nb-NO'!$CZ$8</definedName>
    <definedName name="dbRandom_RandNum" localSheetId="16">'RES_nl-NL'!$CZ$8</definedName>
    <definedName name="dbRandom_RandNum" localSheetId="17">'RES_pl-PL'!$CZ$8</definedName>
    <definedName name="dbRandom_RandNum" localSheetId="18">'RES_pt-BR'!$CZ$8</definedName>
    <definedName name="dbRandom_RandNum" localSheetId="19">'RES_pt-PT'!$CZ$8</definedName>
    <definedName name="dbRandom_RandNum" localSheetId="20">'RES_ro-RO'!$CZ$8</definedName>
    <definedName name="dbRandom_RandNum" localSheetId="21">'RES_ru-RU'!$CZ$8</definedName>
    <definedName name="dbRandom_RandNum" localSheetId="22">'RES_sl-SI'!$CZ$8</definedName>
    <definedName name="dbRandom_RandNum" localSheetId="23">'RES_sv-SE'!$CZ$8</definedName>
    <definedName name="dbRandom_RandNum" localSheetId="24">'RES_tr-TR'!$CZ$8</definedName>
    <definedName name="dbRandom_RandNum" localSheetId="25">'RES_zh-CN'!$CZ$8</definedName>
    <definedName name="dbRandom_RandNum" localSheetId="26">'RES_zh-TW'!$CZ$8</definedName>
    <definedName name="dbRandom_RandNumItem" localSheetId="3">'RES_cs-CZ'!$CT$9+'RES_cs-CZ'!$CT$11</definedName>
    <definedName name="dbRandom_RandNumItem" localSheetId="4">'RES_da-DK'!$CT$9+'RES_da-DK'!$CT$11</definedName>
    <definedName name="dbRandom_RandNumItem" localSheetId="5">'RES_de-DE'!$CT$9+'RES_de-DE'!$CT$11</definedName>
    <definedName name="dbRandom_RandNumItem" localSheetId="6">'RES_el-GR'!$CT$9+'RES_el-GR'!$CT$11</definedName>
    <definedName name="dbRandom_RandNumItem" localSheetId="2">'RES_en-US'!$CT$9+'RES_en-US'!$CT$11</definedName>
    <definedName name="dbRandom_RandNumItem" localSheetId="7">'RES_es-ES'!$CT$9+'RES_es-ES'!$CT$11</definedName>
    <definedName name="dbRandom_RandNumItem" localSheetId="8">'RES_fi-FI'!$CT$9+'RES_fi-FI'!$CT$11</definedName>
    <definedName name="dbRandom_RandNumItem" localSheetId="1">'RES_fr-FR'!$CT$9+'RES_fr-FR'!$CT$11</definedName>
    <definedName name="dbRandom_RandNumItem" localSheetId="9">'RES_hr-HR'!$CT$9+'RES_hr-HR'!$CT$11</definedName>
    <definedName name="dbRandom_RandNumItem" localSheetId="10">'RES_hu-HU'!$CT$9+'RES_hu-HU'!$CT$11</definedName>
    <definedName name="dbRandom_RandNumItem" localSheetId="11">'RES_it-IT'!$CT$9+'RES_it-IT'!$CT$11</definedName>
    <definedName name="dbRandom_RandNumItem" localSheetId="12">'RES_ja-JP'!$CT$9+'RES_ja-JP'!$CT$11</definedName>
    <definedName name="dbRandom_RandNumItem" localSheetId="13">'RES_ko-KR'!$CT$9+'RES_ko-KR'!$CT$11</definedName>
    <definedName name="dbRandom_RandNumItem" localSheetId="14">'RES_lv-LV'!$CT$9+'RES_lv-LV'!$CT$11</definedName>
    <definedName name="dbRandom_RandNumItem" localSheetId="15">'RES_nb-NO'!$CT$9+'RES_nb-NO'!$CT$11</definedName>
    <definedName name="dbRandom_RandNumItem" localSheetId="16">'RES_nl-NL'!$CT$9+'RES_nl-NL'!$CT$11</definedName>
    <definedName name="dbRandom_RandNumItem" localSheetId="17">'RES_pl-PL'!$CT$9+'RES_pl-PL'!$CT$11</definedName>
    <definedName name="dbRandom_RandNumItem" localSheetId="18">'RES_pt-BR'!$CT$9+'RES_pt-BR'!$CT$11</definedName>
    <definedName name="dbRandom_RandNumItem" localSheetId="19">'RES_pt-PT'!$CT$9+'RES_pt-PT'!$CT$11</definedName>
    <definedName name="dbRandom_RandNumItem" localSheetId="20">'RES_ro-RO'!$CT$9+'RES_ro-RO'!$CT$11</definedName>
    <definedName name="dbRandom_RandNumItem" localSheetId="21">'RES_ru-RU'!$CT$9+'RES_ru-RU'!$CT$11</definedName>
    <definedName name="dbRandom_RandNumItem" localSheetId="22">'RES_sl-SI'!$CT$9+'RES_sl-SI'!$CT$11</definedName>
    <definedName name="dbRandom_RandNumItem" localSheetId="23">'RES_sv-SE'!$CT$9+'RES_sv-SE'!$CT$11</definedName>
    <definedName name="dbRandom_RandNumItem" localSheetId="24">'RES_tr-TR'!$CT$9+'RES_tr-TR'!$CT$11</definedName>
    <definedName name="dbRandom_RandNumItem" localSheetId="25">'RES_zh-CN'!$CT$9+'RES_zh-CN'!$CT$11</definedName>
    <definedName name="dbRandom_RandNumItem" localSheetId="26">'RES_zh-TW'!$CT$9+'RES_zh-TW'!$CT$11</definedName>
    <definedName name="dbRandom_RandSeed" localSheetId="3">'RES_cs-CZ'!$CZ$25</definedName>
    <definedName name="dbRandom_RandSeed" localSheetId="4">'RES_da-DK'!$CZ$25</definedName>
    <definedName name="dbRandom_RandSeed" localSheetId="5">'RES_de-DE'!$CZ$25</definedName>
    <definedName name="dbRandom_RandSeed" localSheetId="6">'RES_el-GR'!$CZ$25</definedName>
    <definedName name="dbRandom_RandSeed" localSheetId="2">'RES_en-US'!$CZ$25</definedName>
    <definedName name="dbRandom_RandSeed" localSheetId="7">'RES_es-ES'!$CZ$25</definedName>
    <definedName name="dbRandom_RandSeed" localSheetId="8">'RES_fi-FI'!$CZ$25</definedName>
    <definedName name="dbRandom_RandSeed" localSheetId="1">'RES_fr-FR'!$CZ$25</definedName>
    <definedName name="dbRandom_RandSeed" localSheetId="9">'RES_hr-HR'!$CZ$25</definedName>
    <definedName name="dbRandom_RandSeed" localSheetId="10">'RES_hu-HU'!$CZ$25</definedName>
    <definedName name="dbRandom_RandSeed" localSheetId="11">'RES_it-IT'!$CZ$25</definedName>
    <definedName name="dbRandom_RandSeed" localSheetId="12">'RES_ja-JP'!$CZ$25</definedName>
    <definedName name="dbRandom_RandSeed" localSheetId="13">'RES_ko-KR'!$CZ$25</definedName>
    <definedName name="dbRandom_RandSeed" localSheetId="14">'RES_lv-LV'!$CZ$25</definedName>
    <definedName name="dbRandom_RandSeed" localSheetId="15">'RES_nb-NO'!$CZ$25</definedName>
    <definedName name="dbRandom_RandSeed" localSheetId="16">'RES_nl-NL'!$CZ$25</definedName>
    <definedName name="dbRandom_RandSeed" localSheetId="17">'RES_pl-PL'!$CZ$25</definedName>
    <definedName name="dbRandom_RandSeed" localSheetId="18">'RES_pt-BR'!$CZ$25</definedName>
    <definedName name="dbRandom_RandSeed" localSheetId="19">'RES_pt-PT'!$CZ$25</definedName>
    <definedName name="dbRandom_RandSeed" localSheetId="20">'RES_ro-RO'!$CZ$25</definedName>
    <definedName name="dbRandom_RandSeed" localSheetId="21">'RES_ru-RU'!$CZ$25</definedName>
    <definedName name="dbRandom_RandSeed" localSheetId="22">'RES_sl-SI'!$CZ$25</definedName>
    <definedName name="dbRandom_RandSeed" localSheetId="23">'RES_sv-SE'!$CZ$25</definedName>
    <definedName name="dbRandom_RandSeed" localSheetId="24">'RES_tr-TR'!$CZ$25</definedName>
    <definedName name="dbRandom_RandSeed" localSheetId="25">'RES_zh-CN'!$CZ$25</definedName>
    <definedName name="dbRandom_RandSeed" localSheetId="26">'RES_zh-TW'!$CZ$25</definedName>
    <definedName name="dbRandom_RandVar" localSheetId="3">'RES_cs-CZ'!$CZ$6</definedName>
    <definedName name="dbRandom_RandVar" localSheetId="4">'RES_da-DK'!$CZ$6</definedName>
    <definedName name="dbRandom_RandVar" localSheetId="5">'RES_de-DE'!$CZ$6</definedName>
    <definedName name="dbRandom_RandVar" localSheetId="6">'RES_el-GR'!$CZ$6</definedName>
    <definedName name="dbRandom_RandVar" localSheetId="2">'RES_en-US'!$CZ$6</definedName>
    <definedName name="dbRandom_RandVar" localSheetId="7">'RES_es-ES'!$CZ$6</definedName>
    <definedName name="dbRandom_RandVar" localSheetId="8">'RES_fi-FI'!$CZ$6</definedName>
    <definedName name="dbRandom_RandVar" localSheetId="1">'RES_fr-FR'!$CZ$6</definedName>
    <definedName name="dbRandom_RandVar" localSheetId="9">'RES_hr-HR'!$CZ$6</definedName>
    <definedName name="dbRandom_RandVar" localSheetId="10">'RES_hu-HU'!$CZ$6</definedName>
    <definedName name="dbRandom_RandVar" localSheetId="11">'RES_it-IT'!$CZ$6</definedName>
    <definedName name="dbRandom_RandVar" localSheetId="12">'RES_ja-JP'!$CZ$6</definedName>
    <definedName name="dbRandom_RandVar" localSheetId="13">'RES_ko-KR'!$CZ$6</definedName>
    <definedName name="dbRandom_RandVar" localSheetId="14">'RES_lv-LV'!$CZ$6</definedName>
    <definedName name="dbRandom_RandVar" localSheetId="15">'RES_nb-NO'!$CZ$6</definedName>
    <definedName name="dbRandom_RandVar" localSheetId="16">'RES_nl-NL'!$CZ$6</definedName>
    <definedName name="dbRandom_RandVar" localSheetId="17">'RES_pl-PL'!$CZ$6</definedName>
    <definedName name="dbRandom_RandVar" localSheetId="18">'RES_pt-BR'!$CZ$6</definedName>
    <definedName name="dbRandom_RandVar" localSheetId="19">'RES_pt-PT'!$CZ$6</definedName>
    <definedName name="dbRandom_RandVar" localSheetId="20">'RES_ro-RO'!$CZ$6</definedName>
    <definedName name="dbRandom_RandVar" localSheetId="21">'RES_ru-RU'!$CZ$6</definedName>
    <definedName name="dbRandom_RandVar" localSheetId="22">'RES_sl-SI'!$CZ$6</definedName>
    <definedName name="dbRandom_RandVar" localSheetId="23">'RES_sv-SE'!$CZ$6</definedName>
    <definedName name="dbRandom_RandVar" localSheetId="24">'RES_tr-TR'!$CZ$6</definedName>
    <definedName name="dbRandom_RandVar" localSheetId="25">'RES_zh-CN'!$CZ$6</definedName>
    <definedName name="dbRandom_RandVar" localSheetId="26">'RES_zh-TW'!$CZ$6</definedName>
    <definedName name="dbRandom_RangeInpFld" localSheetId="3">'RES_cs-CZ'!$CT$31</definedName>
    <definedName name="dbRandom_RangeInpFld" localSheetId="4">'RES_da-DK'!$CT$31</definedName>
    <definedName name="dbRandom_RangeInpFld" localSheetId="5">'RES_de-DE'!$CT$31</definedName>
    <definedName name="dbRandom_RangeInpFld" localSheetId="6">'RES_el-GR'!$CT$31</definedName>
    <definedName name="dbRandom_RangeInpFld" localSheetId="2">'RES_en-US'!$CT$31</definedName>
    <definedName name="dbRandom_RangeInpFld" localSheetId="7">'RES_es-ES'!$CT$31</definedName>
    <definedName name="dbRandom_RangeInpFld" localSheetId="8">'RES_fi-FI'!$CT$31</definedName>
    <definedName name="dbRandom_RangeInpFld" localSheetId="1">'RES_fr-FR'!$CT$31</definedName>
    <definedName name="dbRandom_RangeInpFld" localSheetId="9">'RES_hr-HR'!$CT$31</definedName>
    <definedName name="dbRandom_RangeInpFld" localSheetId="10">'RES_hu-HU'!$CT$31</definedName>
    <definedName name="dbRandom_RangeInpFld" localSheetId="11">'RES_it-IT'!$CT$31</definedName>
    <definedName name="dbRandom_RangeInpFld" localSheetId="12">'RES_ja-JP'!$CT$31</definedName>
    <definedName name="dbRandom_RangeInpFld" localSheetId="13">'RES_ko-KR'!$CT$31</definedName>
    <definedName name="dbRandom_RangeInpFld" localSheetId="14">'RES_lv-LV'!$CT$31</definedName>
    <definedName name="dbRandom_RangeInpFld" localSheetId="15">'RES_nb-NO'!$CT$31</definedName>
    <definedName name="dbRandom_RangeInpFld" localSheetId="16">'RES_nl-NL'!$CT$31</definedName>
    <definedName name="dbRandom_RangeInpFld" localSheetId="17">'RES_pl-PL'!$CT$31</definedName>
    <definedName name="dbRandom_RangeInpFld" localSheetId="18">'RES_pt-BR'!$CT$31</definedName>
    <definedName name="dbRandom_RangeInpFld" localSheetId="19">'RES_pt-PT'!$CT$31</definedName>
    <definedName name="dbRandom_RangeInpFld" localSheetId="20">'RES_ro-RO'!$CT$31</definedName>
    <definedName name="dbRandom_RangeInpFld" localSheetId="21">'RES_ru-RU'!$CT$31</definedName>
    <definedName name="dbRandom_RangeInpFld" localSheetId="22">'RES_sl-SI'!$CT$31</definedName>
    <definedName name="dbRandom_RangeInpFld" localSheetId="23">'RES_sv-SE'!$CT$31</definedName>
    <definedName name="dbRandom_RangeInpFld" localSheetId="24">'RES_tr-TR'!$CT$31</definedName>
    <definedName name="dbRandom_RangeInpFld" localSheetId="25">'RES_zh-CN'!$CT$31</definedName>
    <definedName name="dbRandom_RangeInpFld" localSheetId="26">'RES_zh-TW'!$CT$31</definedName>
    <definedName name="dbRandom_RangeRef" localSheetId="3">'RES_cs-CZ'!$CZ$31</definedName>
    <definedName name="dbRandom_RangeRef" localSheetId="4">'RES_da-DK'!$CZ$31</definedName>
    <definedName name="dbRandom_RangeRef" localSheetId="5">'RES_de-DE'!$CZ$31</definedName>
    <definedName name="dbRandom_RangeRef" localSheetId="6">'RES_el-GR'!$CZ$31</definedName>
    <definedName name="dbRandom_RangeRef" localSheetId="2">'RES_en-US'!$CZ$31</definedName>
    <definedName name="dbRandom_RangeRef" localSheetId="7">'RES_es-ES'!$CZ$31</definedName>
    <definedName name="dbRandom_RangeRef" localSheetId="8">'RES_fi-FI'!$CZ$31</definedName>
    <definedName name="dbRandom_RangeRef" localSheetId="1">'RES_fr-FR'!$CZ$31</definedName>
    <definedName name="dbRandom_RangeRef" localSheetId="9">'RES_hr-HR'!$CZ$31</definedName>
    <definedName name="dbRandom_RangeRef" localSheetId="10">'RES_hu-HU'!$CZ$31</definedName>
    <definedName name="dbRandom_RangeRef" localSheetId="11">'RES_it-IT'!$CZ$31</definedName>
    <definedName name="dbRandom_RangeRef" localSheetId="12">'RES_ja-JP'!$CZ$31</definedName>
    <definedName name="dbRandom_RangeRef" localSheetId="13">'RES_ko-KR'!$CZ$31</definedName>
    <definedName name="dbRandom_RangeRef" localSheetId="14">'RES_lv-LV'!$CZ$31</definedName>
    <definedName name="dbRandom_RangeRef" localSheetId="15">'RES_nb-NO'!$CZ$31</definedName>
    <definedName name="dbRandom_RangeRef" localSheetId="16">'RES_nl-NL'!$CZ$31</definedName>
    <definedName name="dbRandom_RangeRef" localSheetId="17">'RES_pl-PL'!$CZ$31</definedName>
    <definedName name="dbRandom_RangeRef" localSheetId="18">'RES_pt-BR'!$CZ$31</definedName>
    <definedName name="dbRandom_RangeRef" localSheetId="19">'RES_pt-PT'!$CZ$31</definedName>
    <definedName name="dbRandom_RangeRef" localSheetId="20">'RES_ro-RO'!$CZ$31</definedName>
    <definedName name="dbRandom_RangeRef" localSheetId="21">'RES_ru-RU'!$CZ$31</definedName>
    <definedName name="dbRandom_RangeRef" localSheetId="22">'RES_sl-SI'!$CZ$31</definedName>
    <definedName name="dbRandom_RangeRef" localSheetId="23">'RES_sv-SE'!$CZ$31</definedName>
    <definedName name="dbRandom_RangeRef" localSheetId="24">'RES_tr-TR'!$CZ$31</definedName>
    <definedName name="dbRandom_RangeRef" localSheetId="25">'RES_zh-CN'!$CZ$31</definedName>
    <definedName name="dbRandom_RangeRef" localSheetId="26">'RES_zh-TW'!$CZ$31</definedName>
    <definedName name="dbRandom_RepNum" localSheetId="3">'RES_cs-CZ'!$CZ$19</definedName>
    <definedName name="dbRandom_RepNum" localSheetId="4">'RES_da-DK'!$CZ$19</definedName>
    <definedName name="dbRandom_RepNum" localSheetId="5">'RES_de-DE'!$CZ$19</definedName>
    <definedName name="dbRandom_RepNum" localSheetId="6">'RES_el-GR'!$CZ$19</definedName>
    <definedName name="dbRandom_RepNum" localSheetId="2">'RES_en-US'!$CZ$19</definedName>
    <definedName name="dbRandom_RepNum" localSheetId="7">'RES_es-ES'!$CZ$19</definedName>
    <definedName name="dbRandom_RepNum" localSheetId="8">'RES_fi-FI'!$CZ$19</definedName>
    <definedName name="dbRandom_RepNum" localSheetId="1">'RES_fr-FR'!$CZ$19</definedName>
    <definedName name="dbRandom_RepNum" localSheetId="9">'RES_hr-HR'!$CZ$19</definedName>
    <definedName name="dbRandom_RepNum" localSheetId="10">'RES_hu-HU'!$CZ$19</definedName>
    <definedName name="dbRandom_RepNum" localSheetId="11">'RES_it-IT'!$CZ$19</definedName>
    <definedName name="dbRandom_RepNum" localSheetId="12">'RES_ja-JP'!$CZ$19</definedName>
    <definedName name="dbRandom_RepNum" localSheetId="13">'RES_ko-KR'!$CZ$19</definedName>
    <definedName name="dbRandom_RepNum" localSheetId="14">'RES_lv-LV'!$CZ$19</definedName>
    <definedName name="dbRandom_RepNum" localSheetId="15">'RES_nb-NO'!$CZ$19</definedName>
    <definedName name="dbRandom_RepNum" localSheetId="16">'RES_nl-NL'!$CZ$19</definedName>
    <definedName name="dbRandom_RepNum" localSheetId="17">'RES_pl-PL'!$CZ$19</definedName>
    <definedName name="dbRandom_RepNum" localSheetId="18">'RES_pt-BR'!$CZ$19</definedName>
    <definedName name="dbRandom_RepNum" localSheetId="19">'RES_pt-PT'!$CZ$19</definedName>
    <definedName name="dbRandom_RepNum" localSheetId="20">'RES_ro-RO'!$CZ$19</definedName>
    <definedName name="dbRandom_RepNum" localSheetId="21">'RES_ru-RU'!$CZ$19</definedName>
    <definedName name="dbRandom_RepNum" localSheetId="22">'RES_sl-SI'!$CZ$19</definedName>
    <definedName name="dbRandom_RepNum" localSheetId="23">'RES_sv-SE'!$CZ$19</definedName>
    <definedName name="dbRandom_RepNum" localSheetId="24">'RES_tr-TR'!$CZ$19</definedName>
    <definedName name="dbRandom_RepNum" localSheetId="25">'RES_zh-CN'!$CZ$19</definedName>
    <definedName name="dbRandom_RepNum" localSheetId="26">'RES_zh-TW'!$CZ$19</definedName>
    <definedName name="dbRandom_RepSeq" localSheetId="3">'RES_cs-CZ'!$CZ$22</definedName>
    <definedName name="dbRandom_RepSeq" localSheetId="4">'RES_da-DK'!$CZ$22</definedName>
    <definedName name="dbRandom_RepSeq" localSheetId="5">'RES_de-DE'!$CZ$22</definedName>
    <definedName name="dbRandom_RepSeq" localSheetId="6">'RES_el-GR'!$CZ$22</definedName>
    <definedName name="dbRandom_RepSeq" localSheetId="2">'RES_en-US'!$CZ$22</definedName>
    <definedName name="dbRandom_RepSeq" localSheetId="7">'RES_es-ES'!$CZ$22</definedName>
    <definedName name="dbRandom_RepSeq" localSheetId="8">'RES_fi-FI'!$CZ$22</definedName>
    <definedName name="dbRandom_RepSeq" localSheetId="1">'RES_fr-FR'!$CZ$22</definedName>
    <definedName name="dbRandom_RepSeq" localSheetId="9">'RES_hr-HR'!$CZ$22</definedName>
    <definedName name="dbRandom_RepSeq" localSheetId="10">'RES_hu-HU'!$CZ$22</definedName>
    <definedName name="dbRandom_RepSeq" localSheetId="11">'RES_it-IT'!$CZ$22</definedName>
    <definedName name="dbRandom_RepSeq" localSheetId="12">'RES_ja-JP'!$CZ$22</definedName>
    <definedName name="dbRandom_RepSeq" localSheetId="13">'RES_ko-KR'!$CZ$22</definedName>
    <definedName name="dbRandom_RepSeq" localSheetId="14">'RES_lv-LV'!$CZ$22</definedName>
    <definedName name="dbRandom_RepSeq" localSheetId="15">'RES_nb-NO'!$CZ$22</definedName>
    <definedName name="dbRandom_RepSeq" localSheetId="16">'RES_nl-NL'!$CZ$22</definedName>
    <definedName name="dbRandom_RepSeq" localSheetId="17">'RES_pl-PL'!$CZ$22</definedName>
    <definedName name="dbRandom_RepSeq" localSheetId="18">'RES_pt-BR'!$CZ$22</definedName>
    <definedName name="dbRandom_RepSeq" localSheetId="19">'RES_pt-PT'!$CZ$22</definedName>
    <definedName name="dbRandom_RepSeq" localSheetId="20">'RES_ro-RO'!$CZ$22</definedName>
    <definedName name="dbRandom_RepSeq" localSheetId="21">'RES_ru-RU'!$CZ$22</definedName>
    <definedName name="dbRandom_RepSeq" localSheetId="22">'RES_sl-SI'!$CZ$22</definedName>
    <definedName name="dbRandom_RepSeq" localSheetId="23">'RES_sv-SE'!$CZ$22</definedName>
    <definedName name="dbRandom_RepSeq" localSheetId="24">'RES_tr-TR'!$CZ$22</definedName>
    <definedName name="dbRandom_RepSeq" localSheetId="25">'RES_zh-CN'!$CZ$22</definedName>
    <definedName name="dbRandom_RepSeq" localSheetId="26">'RES_zh-TW'!$CZ$22</definedName>
    <definedName name="dbRandom_SeedItem" localSheetId="3">'RES_cs-CZ'!$CT$25</definedName>
    <definedName name="dbRandom_SeedItem" localSheetId="4">'RES_da-DK'!$CT$25</definedName>
    <definedName name="dbRandom_SeedItem" localSheetId="5">'RES_de-DE'!$CT$25</definedName>
    <definedName name="dbRandom_SeedItem" localSheetId="6">'RES_el-GR'!$CT$25</definedName>
    <definedName name="dbRandom_SeedItem" localSheetId="2">'RES_en-US'!$CT$25</definedName>
    <definedName name="dbRandom_SeedItem" localSheetId="7">'RES_es-ES'!$CT$25</definedName>
    <definedName name="dbRandom_SeedItem" localSheetId="8">'RES_fi-FI'!$CT$25</definedName>
    <definedName name="dbRandom_SeedItem" localSheetId="1">'RES_fr-FR'!$CT$25</definedName>
    <definedName name="dbRandom_SeedItem" localSheetId="9">'RES_hr-HR'!$CT$25</definedName>
    <definedName name="dbRandom_SeedItem" localSheetId="10">'RES_hu-HU'!$CT$25</definedName>
    <definedName name="dbRandom_SeedItem" localSheetId="11">'RES_it-IT'!$CT$25</definedName>
    <definedName name="dbRandom_SeedItem" localSheetId="12">'RES_ja-JP'!$CT$25</definedName>
    <definedName name="dbRandom_SeedItem" localSheetId="13">'RES_ko-KR'!$CT$25</definedName>
    <definedName name="dbRandom_SeedItem" localSheetId="14">'RES_lv-LV'!$CT$25</definedName>
    <definedName name="dbRandom_SeedItem" localSheetId="15">'RES_nb-NO'!$CT$25</definedName>
    <definedName name="dbRandom_SeedItem" localSheetId="16">'RES_nl-NL'!$CT$25</definedName>
    <definedName name="dbRandom_SeedItem" localSheetId="17">'RES_pl-PL'!$CT$25</definedName>
    <definedName name="dbRandom_SeedItem" localSheetId="18">'RES_pt-BR'!$CT$25</definedName>
    <definedName name="dbRandom_SeedItem" localSheetId="19">'RES_pt-PT'!$CT$25</definedName>
    <definedName name="dbRandom_SeedItem" localSheetId="20">'RES_ro-RO'!$CT$25</definedName>
    <definedName name="dbRandom_SeedItem" localSheetId="21">'RES_ru-RU'!$CT$25</definedName>
    <definedName name="dbRandom_SeedItem" localSheetId="22">'RES_sl-SI'!$CT$25</definedName>
    <definedName name="dbRandom_SeedItem" localSheetId="23">'RES_sv-SE'!$CT$25</definedName>
    <definedName name="dbRandom_SeedItem" localSheetId="24">'RES_tr-TR'!$CT$25</definedName>
    <definedName name="dbRandom_SeedItem" localSheetId="25">'RES_zh-CN'!$CT$25</definedName>
    <definedName name="dbRandom_SeedItem" localSheetId="26">'RES_zh-TW'!$CT$25</definedName>
    <definedName name="dbRandom_StdDev" localSheetId="3">'RES_cs-CZ'!$CZ$23</definedName>
    <definedName name="dbRandom_StdDev" localSheetId="4">'RES_da-DK'!$CZ$23</definedName>
    <definedName name="dbRandom_StdDev" localSheetId="5">'RES_de-DE'!$CZ$23</definedName>
    <definedName name="dbRandom_StdDev" localSheetId="6">'RES_el-GR'!$CZ$23</definedName>
    <definedName name="dbRandom_StdDev" localSheetId="2">'RES_en-US'!$CZ$23</definedName>
    <definedName name="dbRandom_StdDev" localSheetId="7">'RES_es-ES'!$CZ$23</definedName>
    <definedName name="dbRandom_StdDev" localSheetId="8">'RES_fi-FI'!$CZ$23</definedName>
    <definedName name="dbRandom_StdDev" localSheetId="1">'RES_fr-FR'!$CZ$23</definedName>
    <definedName name="dbRandom_StdDev" localSheetId="9">'RES_hr-HR'!$CZ$23</definedName>
    <definedName name="dbRandom_StdDev" localSheetId="10">'RES_hu-HU'!$CZ$23</definedName>
    <definedName name="dbRandom_StdDev" localSheetId="11">'RES_it-IT'!$CZ$23</definedName>
    <definedName name="dbRandom_StdDev" localSheetId="12">'RES_ja-JP'!$CZ$23</definedName>
    <definedName name="dbRandom_StdDev" localSheetId="13">'RES_ko-KR'!$CZ$23</definedName>
    <definedName name="dbRandom_StdDev" localSheetId="14">'RES_lv-LV'!$CZ$23</definedName>
    <definedName name="dbRandom_StdDev" localSheetId="15">'RES_nb-NO'!$CZ$23</definedName>
    <definedName name="dbRandom_StdDev" localSheetId="16">'RES_nl-NL'!$CZ$23</definedName>
    <definedName name="dbRandom_StdDev" localSheetId="17">'RES_pl-PL'!$CZ$23</definedName>
    <definedName name="dbRandom_StdDev" localSheetId="18">'RES_pt-BR'!$CZ$23</definedName>
    <definedName name="dbRandom_StdDev" localSheetId="19">'RES_pt-PT'!$CZ$23</definedName>
    <definedName name="dbRandom_StdDev" localSheetId="20">'RES_ro-RO'!$CZ$23</definedName>
    <definedName name="dbRandom_StdDev" localSheetId="21">'RES_ru-RU'!$CZ$23</definedName>
    <definedName name="dbRandom_StdDev" localSheetId="22">'RES_sl-SI'!$CZ$23</definedName>
    <definedName name="dbRandom_StdDev" localSheetId="23">'RES_sv-SE'!$CZ$23</definedName>
    <definedName name="dbRandom_StdDev" localSheetId="24">'RES_tr-TR'!$CZ$23</definedName>
    <definedName name="dbRandom_StdDev" localSheetId="25">'RES_zh-CN'!$CZ$23</definedName>
    <definedName name="dbRandom_StdDev" localSheetId="26">'RES_zh-TW'!$CZ$23</definedName>
    <definedName name="dbRandom_To" localSheetId="3">'RES_cs-CZ'!$CZ$15</definedName>
    <definedName name="dbRandom_To" localSheetId="4">'RES_da-DK'!$CZ$15</definedName>
    <definedName name="dbRandom_To" localSheetId="5">'RES_de-DE'!$CZ$15</definedName>
    <definedName name="dbRandom_To" localSheetId="6">'RES_el-GR'!$CZ$15</definedName>
    <definedName name="dbRandom_To" localSheetId="2">'RES_en-US'!$CZ$15</definedName>
    <definedName name="dbRandom_To" localSheetId="7">'RES_es-ES'!$CZ$15</definedName>
    <definedName name="dbRandom_To" localSheetId="8">'RES_fi-FI'!$CZ$15</definedName>
    <definedName name="dbRandom_To" localSheetId="1">'RES_fr-FR'!$CZ$15</definedName>
    <definedName name="dbRandom_To" localSheetId="9">'RES_hr-HR'!$CZ$15</definedName>
    <definedName name="dbRandom_To" localSheetId="10">'RES_hu-HU'!$CZ$15</definedName>
    <definedName name="dbRandom_To" localSheetId="11">'RES_it-IT'!$CZ$15</definedName>
    <definedName name="dbRandom_To" localSheetId="12">'RES_ja-JP'!$CZ$15</definedName>
    <definedName name="dbRandom_To" localSheetId="13">'RES_ko-KR'!$CZ$15</definedName>
    <definedName name="dbRandom_To" localSheetId="14">'RES_lv-LV'!$CZ$15</definedName>
    <definedName name="dbRandom_To" localSheetId="15">'RES_nb-NO'!$CZ$15</definedName>
    <definedName name="dbRandom_To" localSheetId="16">'RES_nl-NL'!$CZ$15</definedName>
    <definedName name="dbRandom_To" localSheetId="17">'RES_pl-PL'!$CZ$15</definedName>
    <definedName name="dbRandom_To" localSheetId="18">'RES_pt-BR'!$CZ$15</definedName>
    <definedName name="dbRandom_To" localSheetId="19">'RES_pt-PT'!$CZ$15</definedName>
    <definedName name="dbRandom_To" localSheetId="20">'RES_ro-RO'!$CZ$15</definedName>
    <definedName name="dbRandom_To" localSheetId="21">'RES_ru-RU'!$CZ$15</definedName>
    <definedName name="dbRandom_To" localSheetId="22">'RES_sl-SI'!$CZ$15</definedName>
    <definedName name="dbRandom_To" localSheetId="23">'RES_sv-SE'!$CZ$15</definedName>
    <definedName name="dbRandom_To" localSheetId="24">'RES_tr-TR'!$CZ$15</definedName>
    <definedName name="dbRandom_To" localSheetId="25">'RES_zh-CN'!$CZ$15</definedName>
    <definedName name="dbRandom_To" localSheetId="26">'RES_zh-TW'!$CZ$15</definedName>
    <definedName name="dbRandom_Trials" localSheetId="3">'RES_cs-CZ'!$CZ$21</definedName>
    <definedName name="dbRandom_Trials" localSheetId="4">'RES_da-DK'!$CZ$21</definedName>
    <definedName name="dbRandom_Trials" localSheetId="5">'RES_de-DE'!$CZ$21</definedName>
    <definedName name="dbRandom_Trials" localSheetId="6">'RES_el-GR'!$CZ$21</definedName>
    <definedName name="dbRandom_Trials" localSheetId="2">'RES_en-US'!$CZ$21</definedName>
    <definedName name="dbRandom_Trials" localSheetId="7">'RES_es-ES'!$CZ$21</definedName>
    <definedName name="dbRandom_Trials" localSheetId="8">'RES_fi-FI'!$CZ$21</definedName>
    <definedName name="dbRandom_Trials" localSheetId="1">'RES_fr-FR'!$CZ$21</definedName>
    <definedName name="dbRandom_Trials" localSheetId="9">'RES_hr-HR'!$CZ$21</definedName>
    <definedName name="dbRandom_Trials" localSheetId="10">'RES_hu-HU'!$CZ$21</definedName>
    <definedName name="dbRandom_Trials" localSheetId="11">'RES_it-IT'!$CZ$21</definedName>
    <definedName name="dbRandom_Trials" localSheetId="12">'RES_ja-JP'!$CZ$21</definedName>
    <definedName name="dbRandom_Trials" localSheetId="13">'RES_ko-KR'!$CZ$21</definedName>
    <definedName name="dbRandom_Trials" localSheetId="14">'RES_lv-LV'!$CZ$21</definedName>
    <definedName name="dbRandom_Trials" localSheetId="15">'RES_nb-NO'!$CZ$21</definedName>
    <definedName name="dbRandom_Trials" localSheetId="16">'RES_nl-NL'!$CZ$21</definedName>
    <definedName name="dbRandom_Trials" localSheetId="17">'RES_pl-PL'!$CZ$21</definedName>
    <definedName name="dbRandom_Trials" localSheetId="18">'RES_pt-BR'!$CZ$21</definedName>
    <definedName name="dbRandom_Trials" localSheetId="19">'RES_pt-PT'!$CZ$21</definedName>
    <definedName name="dbRandom_Trials" localSheetId="20">'RES_ro-RO'!$CZ$21</definedName>
    <definedName name="dbRandom_Trials" localSheetId="21">'RES_ru-RU'!$CZ$21</definedName>
    <definedName name="dbRandom_Trials" localSheetId="22">'RES_sl-SI'!$CZ$21</definedName>
    <definedName name="dbRandom_Trials" localSheetId="23">'RES_sv-SE'!$CZ$21</definedName>
    <definedName name="dbRandom_Trials" localSheetId="24">'RES_tr-TR'!$CZ$21</definedName>
    <definedName name="dbRandom_Trials" localSheetId="25">'RES_zh-CN'!$CZ$21</definedName>
    <definedName name="dbRandom_Trials" localSheetId="26">'RES_zh-TW'!$CZ$21</definedName>
    <definedName name="dbRandomList" localSheetId="3">'RES_cs-CZ'!$CT$136:$CT$142</definedName>
    <definedName name="dbRandomList" localSheetId="4">'RES_da-DK'!$CT$136:$CT$142</definedName>
    <definedName name="dbRandomList" localSheetId="5">'RES_de-DE'!$CT$136:$CT$142</definedName>
    <definedName name="dbRandomList" localSheetId="6">'RES_el-GR'!$CT$136:$CT$142</definedName>
    <definedName name="dbRandomList" localSheetId="2">'RES_en-US'!$CT$136:$CT$142</definedName>
    <definedName name="dbRandomList" localSheetId="7">'RES_es-ES'!$CT$136:$CT$142</definedName>
    <definedName name="dbRandomList" localSheetId="8">'RES_fi-FI'!$CT$136:$CT$142</definedName>
    <definedName name="dbRandomList" localSheetId="1">'RES_fr-FR'!$CT$136:$CT$142</definedName>
    <definedName name="dbRandomList" localSheetId="9">'RES_hr-HR'!$CT$136:$CT$142</definedName>
    <definedName name="dbRandomList" localSheetId="10">'RES_hu-HU'!$CT$136:$CT$142</definedName>
    <definedName name="dbRandomList" localSheetId="11">'RES_it-IT'!$CT$136:$CT$142</definedName>
    <definedName name="dbRandomList" localSheetId="12">'RES_ja-JP'!$CT$136:$CT$142</definedName>
    <definedName name="dbRandomList" localSheetId="13">'RES_ko-KR'!$CT$136:$CT$142</definedName>
    <definedName name="dbRandomList" localSheetId="14">'RES_lv-LV'!$CT$136:$CT$142</definedName>
    <definedName name="dbRandomList" localSheetId="15">'RES_nb-NO'!$CT$136:$CT$142</definedName>
    <definedName name="dbRandomList" localSheetId="16">'RES_nl-NL'!$CT$136:$CT$142</definedName>
    <definedName name="dbRandomList" localSheetId="17">'RES_pl-PL'!$CT$136:$CT$142</definedName>
    <definedName name="dbRandomList" localSheetId="18">'RES_pt-BR'!$CT$136:$CT$142</definedName>
    <definedName name="dbRandomList" localSheetId="19">'RES_pt-PT'!$CT$136:$CT$142</definedName>
    <definedName name="dbRandomList" localSheetId="20">'RES_ro-RO'!$CT$136:$CT$142</definedName>
    <definedName name="dbRandomList" localSheetId="21">'RES_ru-RU'!$CT$136:$CT$142</definedName>
    <definedName name="dbRandomList" localSheetId="22">'RES_sl-SI'!$CT$136:$CT$142</definedName>
    <definedName name="dbRandomList" localSheetId="23">'RES_sv-SE'!$CT$136:$CT$142</definedName>
    <definedName name="dbRandomList" localSheetId="24">'RES_tr-TR'!$CT$136:$CT$142</definedName>
    <definedName name="dbRandomList" localSheetId="25">'RES_zh-CN'!$CT$136:$CT$142</definedName>
    <definedName name="dbRandomList" localSheetId="26">'RES_zh-TW'!$CT$136:$CT$142</definedName>
    <definedName name="dbRandomTitle" localSheetId="3">'RES_cs-CZ'!$CY$2</definedName>
    <definedName name="dbRandomTitle" localSheetId="4">'RES_da-DK'!$CY$2</definedName>
    <definedName name="dbRandomTitle" localSheetId="5">'RES_de-DE'!$CY$2</definedName>
    <definedName name="dbRandomTitle" localSheetId="6">'RES_el-GR'!$CY$2</definedName>
    <definedName name="dbRandomTitle" localSheetId="2">'RES_en-US'!$CY$2</definedName>
    <definedName name="dbRandomTitle" localSheetId="7">'RES_es-ES'!$CY$2</definedName>
    <definedName name="dbRandomTitle" localSheetId="8">'RES_fi-FI'!$CY$2</definedName>
    <definedName name="dbRandomTitle" localSheetId="1">'RES_fr-FR'!$CY$2</definedName>
    <definedName name="dbRandomTitle" localSheetId="9">'RES_hr-HR'!$CY$2</definedName>
    <definedName name="dbRandomTitle" localSheetId="10">'RES_hu-HU'!$CY$2</definedName>
    <definedName name="dbRandomTitle" localSheetId="11">'RES_it-IT'!$CY$2</definedName>
    <definedName name="dbRandomTitle" localSheetId="12">'RES_ja-JP'!$CY$2</definedName>
    <definedName name="dbRandomTitle" localSheetId="13">'RES_ko-KR'!$CY$2</definedName>
    <definedName name="dbRandomTitle" localSheetId="14">'RES_lv-LV'!$CY$2</definedName>
    <definedName name="dbRandomTitle" localSheetId="15">'RES_nb-NO'!$CY$2</definedName>
    <definedName name="dbRandomTitle" localSheetId="16">'RES_nl-NL'!$CY$2</definedName>
    <definedName name="dbRandomTitle" localSheetId="17">'RES_pl-PL'!$CY$2</definedName>
    <definedName name="dbRandomTitle" localSheetId="18">'RES_pt-BR'!$CY$2</definedName>
    <definedName name="dbRandomTitle" localSheetId="19">'RES_pt-PT'!$CY$2</definedName>
    <definedName name="dbRandomTitle" localSheetId="20">'RES_ro-RO'!$CY$2</definedName>
    <definedName name="dbRandomTitle" localSheetId="21">'RES_ru-RU'!$CY$2</definedName>
    <definedName name="dbRandomTitle" localSheetId="22">'RES_sl-SI'!$CY$2</definedName>
    <definedName name="dbRandomTitle" localSheetId="23">'RES_sv-SE'!$CY$2</definedName>
    <definedName name="dbRandomTitle" localSheetId="24">'RES_tr-TR'!$CY$2</definedName>
    <definedName name="dbRandomTitle" localSheetId="25">'RES_zh-CN'!$CY$2</definedName>
    <definedName name="dbRandomTitle" localSheetId="26">'RES_zh-TW'!$CY$2</definedName>
    <definedName name="dbRandomX" localSheetId="3">'RES_cs-CZ'!$CT$12:$CZ$23</definedName>
    <definedName name="dbRandomX" localSheetId="4">'RES_da-DK'!$CT$12:$CZ$23</definedName>
    <definedName name="dbRandomX" localSheetId="5">'RES_de-DE'!$CT$12:$CZ$23</definedName>
    <definedName name="dbRandomX" localSheetId="6">'RES_el-GR'!$CT$12:$CZ$23</definedName>
    <definedName name="dbRandomX" localSheetId="2">'RES_en-US'!$CT$12:$CZ$23</definedName>
    <definedName name="dbRandomX" localSheetId="7">'RES_es-ES'!$CT$12:$CZ$23</definedName>
    <definedName name="dbRandomX" localSheetId="8">'RES_fi-FI'!$CT$12:$CZ$23</definedName>
    <definedName name="dbRandomX" localSheetId="1">'RES_fr-FR'!$CT$12:$CZ$23</definedName>
    <definedName name="dbRandomX" localSheetId="9">'RES_hr-HR'!$CT$12:$CZ$23</definedName>
    <definedName name="dbRandomX" localSheetId="10">'RES_hu-HU'!$CT$12:$CZ$23</definedName>
    <definedName name="dbRandomX" localSheetId="11">'RES_it-IT'!$CT$12:$CZ$23</definedName>
    <definedName name="dbRandomX" localSheetId="12">'RES_ja-JP'!$CT$12:$CZ$23</definedName>
    <definedName name="dbRandomX" localSheetId="13">'RES_ko-KR'!$CT$12:$CZ$23</definedName>
    <definedName name="dbRandomX" localSheetId="14">'RES_lv-LV'!$CT$12:$CZ$23</definedName>
    <definedName name="dbRandomX" localSheetId="15">'RES_nb-NO'!$CT$12:$CZ$23</definedName>
    <definedName name="dbRandomX" localSheetId="16">'RES_nl-NL'!$CT$12:$CZ$23</definedName>
    <definedName name="dbRandomX" localSheetId="17">'RES_pl-PL'!$CT$12:$CZ$23</definedName>
    <definedName name="dbRandomX" localSheetId="18">'RES_pt-BR'!$CT$12:$CZ$23</definedName>
    <definedName name="dbRandomX" localSheetId="19">'RES_pt-PT'!$CT$12:$CZ$23</definedName>
    <definedName name="dbRandomX" localSheetId="20">'RES_ro-RO'!$CT$12:$CZ$23</definedName>
    <definedName name="dbRandomX" localSheetId="21">'RES_ru-RU'!$CT$12:$CZ$23</definedName>
    <definedName name="dbRandomX" localSheetId="22">'RES_sl-SI'!$CT$12:$CZ$23</definedName>
    <definedName name="dbRandomX" localSheetId="23">'RES_sv-SE'!$CT$12:$CZ$23</definedName>
    <definedName name="dbRandomX" localSheetId="24">'RES_tr-TR'!$CT$12:$CZ$23</definedName>
    <definedName name="dbRandomX" localSheetId="25">'RES_zh-CN'!$CT$12:$CZ$23</definedName>
    <definedName name="dbRandomX" localSheetId="26">'RES_zh-TW'!$CT$12:$CZ$23</definedName>
    <definedName name="dbRandomY" localSheetId="3">'RES_cs-CZ'!$CU$136:$CU$142</definedName>
    <definedName name="dbRandomY" localSheetId="4">'RES_da-DK'!$CU$136:$CU$142</definedName>
    <definedName name="dbRandomY" localSheetId="5">'RES_de-DE'!$CU$136:$CU$142</definedName>
    <definedName name="dbRandomY" localSheetId="6">'RES_el-GR'!$CU$136:$CU$142</definedName>
    <definedName name="dbRandomY" localSheetId="2">'RES_en-US'!$CU$136:$CU$142</definedName>
    <definedName name="dbRandomY" localSheetId="7">'RES_es-ES'!$CU$136:$CU$142</definedName>
    <definedName name="dbRandomY" localSheetId="8">'RES_fi-FI'!$CU$136:$CU$142</definedName>
    <definedName name="dbRandomY" localSheetId="1">'RES_fr-FR'!$CU$136:$CU$142</definedName>
    <definedName name="dbRandomY" localSheetId="9">'RES_hr-HR'!$CU$136:$CU$142</definedName>
    <definedName name="dbRandomY" localSheetId="10">'RES_hu-HU'!$CU$136:$CU$142</definedName>
    <definedName name="dbRandomY" localSheetId="11">'RES_it-IT'!$CU$136:$CU$142</definedName>
    <definedName name="dbRandomY" localSheetId="12">'RES_ja-JP'!$CU$136:$CU$142</definedName>
    <definedName name="dbRandomY" localSheetId="13">'RES_ko-KR'!$CU$136:$CU$142</definedName>
    <definedName name="dbRandomY" localSheetId="14">'RES_lv-LV'!$CU$136:$CU$142</definedName>
    <definedName name="dbRandomY" localSheetId="15">'RES_nb-NO'!$CU$136:$CU$142</definedName>
    <definedName name="dbRandomY" localSheetId="16">'RES_nl-NL'!$CU$136:$CU$142</definedName>
    <definedName name="dbRandomY" localSheetId="17">'RES_pl-PL'!$CU$136:$CU$142</definedName>
    <definedName name="dbRandomY" localSheetId="18">'RES_pt-BR'!$CU$136:$CU$142</definedName>
    <definedName name="dbRandomY" localSheetId="19">'RES_pt-PT'!$CU$136:$CU$142</definedName>
    <definedName name="dbRandomY" localSheetId="20">'RES_ro-RO'!$CU$136:$CU$142</definedName>
    <definedName name="dbRandomY" localSheetId="21">'RES_ru-RU'!$CU$136:$CU$142</definedName>
    <definedName name="dbRandomY" localSheetId="22">'RES_sl-SI'!$CU$136:$CU$142</definedName>
    <definedName name="dbRandomY" localSheetId="23">'RES_sv-SE'!$CU$136:$CU$142</definedName>
    <definedName name="dbRandomY" localSheetId="24">'RES_tr-TR'!$CU$136:$CU$142</definedName>
    <definedName name="dbRandomY" localSheetId="25">'RES_zh-CN'!$CU$136:$CU$142</definedName>
    <definedName name="dbRandomY" localSheetId="26">'RES_zh-TW'!$CU$136:$CU$142</definedName>
    <definedName name="dbRankPer" localSheetId="3">'RES_cs-CZ'!$BF$44:$BL$62</definedName>
    <definedName name="dbRankPer" localSheetId="4">'RES_da-DK'!$BF$44:$BL$62</definedName>
    <definedName name="dbRankPer" localSheetId="5">'RES_de-DE'!$BF$44:$BL$62</definedName>
    <definedName name="dbRankPer" localSheetId="6">'RES_el-GR'!$BF$44:$BL$62</definedName>
    <definedName name="dbRankPer" localSheetId="2">'RES_en-US'!$BF$44:$BL$62</definedName>
    <definedName name="dbRankPer" localSheetId="7">'RES_es-ES'!$BF$44:$BL$62</definedName>
    <definedName name="dbRankPer" localSheetId="8">'RES_fi-FI'!$BF$44:$BL$62</definedName>
    <definedName name="dbRankPer" localSheetId="1">'RES_fr-FR'!$BF$44:$BL$62</definedName>
    <definedName name="dbRankPer" localSheetId="9">'RES_hr-HR'!$BF$44:$BL$62</definedName>
    <definedName name="dbRankPer" localSheetId="10">'RES_hu-HU'!$BF$44:$BL$62</definedName>
    <definedName name="dbRankPer" localSheetId="11">'RES_it-IT'!$BF$44:$BL$62</definedName>
    <definedName name="dbRankPer" localSheetId="12">'RES_ja-JP'!$BF$44:$BL$62</definedName>
    <definedName name="dbRankPer" localSheetId="13">'RES_ko-KR'!$BF$44:$BL$62</definedName>
    <definedName name="dbRankPer" localSheetId="14">'RES_lv-LV'!$BF$44:$BL$62</definedName>
    <definedName name="dbRankPer" localSheetId="15">'RES_nb-NO'!$BF$44:$BL$62</definedName>
    <definedName name="dbRankPer" localSheetId="16">'RES_nl-NL'!$BF$44:$BL$62</definedName>
    <definedName name="dbRankPer" localSheetId="17">'RES_pl-PL'!$BF$44:$BL$62</definedName>
    <definedName name="dbRankPer" localSheetId="18">'RES_pt-BR'!$BF$44:$BL$62</definedName>
    <definedName name="dbRankPer" localSheetId="19">'RES_pt-PT'!$BF$44:$BL$62</definedName>
    <definedName name="dbRankPer" localSheetId="20">'RES_ro-RO'!$BF$44:$BL$62</definedName>
    <definedName name="dbRankPer" localSheetId="21">'RES_ru-RU'!$BF$44:$BL$62</definedName>
    <definedName name="dbRankPer" localSheetId="22">'RES_sl-SI'!$BF$44:$BL$62</definedName>
    <definedName name="dbRankPer" localSheetId="23">'RES_sv-SE'!$BF$44:$BL$62</definedName>
    <definedName name="dbRankPer" localSheetId="24">'RES_tr-TR'!$BF$44:$BL$62</definedName>
    <definedName name="dbRankPer" localSheetId="25">'RES_zh-CN'!$BF$44:$BL$62</definedName>
    <definedName name="dbRankPer" localSheetId="26">'RES_zh-TW'!$BF$44:$BL$62</definedName>
    <definedName name="dbRankPer_InRange" localSheetId="3">'RES_cs-CZ'!$BL$49</definedName>
    <definedName name="dbRankPer_InRange" localSheetId="4">'RES_da-DK'!$BL$49</definedName>
    <definedName name="dbRankPer_InRange" localSheetId="5">'RES_de-DE'!$BL$49</definedName>
    <definedName name="dbRankPer_InRange" localSheetId="6">'RES_el-GR'!$BL$49</definedName>
    <definedName name="dbRankPer_InRange" localSheetId="2">'RES_en-US'!$BL$49</definedName>
    <definedName name="dbRankPer_InRange" localSheetId="7">'RES_es-ES'!$BL$49</definedName>
    <definedName name="dbRankPer_InRange" localSheetId="8">'RES_fi-FI'!$BL$49</definedName>
    <definedName name="dbRankPer_InRange" localSheetId="1">'RES_fr-FR'!$BL$49</definedName>
    <definedName name="dbRankPer_InRange" localSheetId="9">'RES_hr-HR'!$BL$49</definedName>
    <definedName name="dbRankPer_InRange" localSheetId="10">'RES_hu-HU'!$BL$49</definedName>
    <definedName name="dbRankPer_InRange" localSheetId="11">'RES_it-IT'!$BL$49</definedName>
    <definedName name="dbRankPer_InRange" localSheetId="12">'RES_ja-JP'!$BL$49</definedName>
    <definedName name="dbRankPer_InRange" localSheetId="13">'RES_ko-KR'!$BL$49</definedName>
    <definedName name="dbRankPer_InRange" localSheetId="14">'RES_lv-LV'!$BL$49</definedName>
    <definedName name="dbRankPer_InRange" localSheetId="15">'RES_nb-NO'!$BL$49</definedName>
    <definedName name="dbRankPer_InRange" localSheetId="16">'RES_nl-NL'!$BL$49</definedName>
    <definedName name="dbRankPer_InRange" localSheetId="17">'RES_pl-PL'!$BL$49</definedName>
    <definedName name="dbRankPer_InRange" localSheetId="18">'RES_pt-BR'!$BL$49</definedName>
    <definedName name="dbRankPer_InRange" localSheetId="19">'RES_pt-PT'!$BL$49</definedName>
    <definedName name="dbRankPer_InRange" localSheetId="20">'RES_ro-RO'!$BL$49</definedName>
    <definedName name="dbRankPer_InRange" localSheetId="21">'RES_ru-RU'!$BL$49</definedName>
    <definedName name="dbRankPer_InRange" localSheetId="22">'RES_sl-SI'!$BL$49</definedName>
    <definedName name="dbRankPer_InRange" localSheetId="23">'RES_sv-SE'!$BL$49</definedName>
    <definedName name="dbRankPer_InRange" localSheetId="24">'RES_tr-TR'!$BL$49</definedName>
    <definedName name="dbRankPer_InRange" localSheetId="25">'RES_zh-CN'!$BL$49</definedName>
    <definedName name="dbRankPer_InRange" localSheetId="26">'RES_zh-TW'!$BL$49</definedName>
    <definedName name="dbRankPer_LabelText" localSheetId="3">'RES_cs-CZ'!$BK$54</definedName>
    <definedName name="dbRankPer_LabelText" localSheetId="4">'RES_da-DK'!$BK$54</definedName>
    <definedName name="dbRankPer_LabelText" localSheetId="5">'RES_de-DE'!$BK$54</definedName>
    <definedName name="dbRankPer_LabelText" localSheetId="6">'RES_el-GR'!$BK$54</definedName>
    <definedName name="dbRankPer_LabelText" localSheetId="2">'RES_en-US'!$BK$54</definedName>
    <definedName name="dbRankPer_LabelText" localSheetId="7">'RES_es-ES'!$BK$54</definedName>
    <definedName name="dbRankPer_LabelText" localSheetId="8">'RES_fi-FI'!$BK$54</definedName>
    <definedName name="dbRankPer_LabelText" localSheetId="1">'RES_fr-FR'!$BK$54</definedName>
    <definedName name="dbRankPer_LabelText" localSheetId="9">'RES_hr-HR'!$BK$54</definedName>
    <definedName name="dbRankPer_LabelText" localSheetId="10">'RES_hu-HU'!$BK$54</definedName>
    <definedName name="dbRankPer_LabelText" localSheetId="11">'RES_it-IT'!$BK$54</definedName>
    <definedName name="dbRankPer_LabelText" localSheetId="12">'RES_ja-JP'!$BK$54</definedName>
    <definedName name="dbRankPer_LabelText" localSheetId="13">'RES_ko-KR'!$BK$54</definedName>
    <definedName name="dbRankPer_LabelText" localSheetId="14">'RES_lv-LV'!$BK$54</definedName>
    <definedName name="dbRankPer_LabelText" localSheetId="15">'RES_nb-NO'!$BK$54</definedName>
    <definedName name="dbRankPer_LabelText" localSheetId="16">'RES_nl-NL'!$BK$54</definedName>
    <definedName name="dbRankPer_LabelText" localSheetId="17">'RES_pl-PL'!$BK$54</definedName>
    <definedName name="dbRankPer_LabelText" localSheetId="18">'RES_pt-BR'!$BK$54</definedName>
    <definedName name="dbRankPer_LabelText" localSheetId="19">'RES_pt-PT'!$BK$54</definedName>
    <definedName name="dbRankPer_LabelText" localSheetId="20">'RES_ro-RO'!$BK$54</definedName>
    <definedName name="dbRankPer_LabelText" localSheetId="21">'RES_ru-RU'!$BK$54</definedName>
    <definedName name="dbRankPer_LabelText" localSheetId="22">'RES_sl-SI'!$BK$54</definedName>
    <definedName name="dbRankPer_LabelText" localSheetId="23">'RES_sv-SE'!$BK$54</definedName>
    <definedName name="dbRankPer_LabelText" localSheetId="24">'RES_tr-TR'!$BK$54</definedName>
    <definedName name="dbRankPer_LabelText" localSheetId="25">'RES_zh-CN'!$BK$54</definedName>
    <definedName name="dbRankPer_LabelText" localSheetId="26">'RES_zh-TW'!$BK$54</definedName>
    <definedName name="dbRankPer_LblChkBox" localSheetId="3">'RES_cs-CZ'!$BL$54</definedName>
    <definedName name="dbRankPer_LblChkBox" localSheetId="4">'RES_da-DK'!$BL$54</definedName>
    <definedName name="dbRankPer_LblChkBox" localSheetId="5">'RES_de-DE'!$BL$54</definedName>
    <definedName name="dbRankPer_LblChkBox" localSheetId="6">'RES_el-GR'!$BL$54</definedName>
    <definedName name="dbRankPer_LblChkBox" localSheetId="2">'RES_en-US'!$BL$54</definedName>
    <definedName name="dbRankPer_LblChkBox" localSheetId="7">'RES_es-ES'!$BL$54</definedName>
    <definedName name="dbRankPer_LblChkBox" localSheetId="8">'RES_fi-FI'!$BL$54</definedName>
    <definedName name="dbRankPer_LblChkBox" localSheetId="1">'RES_fr-FR'!$BL$54</definedName>
    <definedName name="dbRankPer_LblChkBox" localSheetId="9">'RES_hr-HR'!$BL$54</definedName>
    <definedName name="dbRankPer_LblChkBox" localSheetId="10">'RES_hu-HU'!$BL$54</definedName>
    <definedName name="dbRankPer_LblChkBox" localSheetId="11">'RES_it-IT'!$BL$54</definedName>
    <definedName name="dbRankPer_LblChkBox" localSheetId="12">'RES_ja-JP'!$BL$54</definedName>
    <definedName name="dbRankPer_LblChkBox" localSheetId="13">'RES_ko-KR'!$BL$54</definedName>
    <definedName name="dbRankPer_LblChkBox" localSheetId="14">'RES_lv-LV'!$BL$54</definedName>
    <definedName name="dbRankPer_LblChkBox" localSheetId="15">'RES_nb-NO'!$BL$54</definedName>
    <definedName name="dbRankPer_LblChkBox" localSheetId="16">'RES_nl-NL'!$BL$54</definedName>
    <definedName name="dbRankPer_LblChkBox" localSheetId="17">'RES_pl-PL'!$BL$54</definedName>
    <definedName name="dbRankPer_LblChkBox" localSheetId="18">'RES_pt-BR'!$BL$54</definedName>
    <definedName name="dbRankPer_LblChkBox" localSheetId="19">'RES_pt-PT'!$BL$54</definedName>
    <definedName name="dbRankPer_LblChkBox" localSheetId="20">'RES_ro-RO'!$BL$54</definedName>
    <definedName name="dbRankPer_LblChkBox" localSheetId="21">'RES_ru-RU'!$BL$54</definedName>
    <definedName name="dbRankPer_LblChkBox" localSheetId="22">'RES_sl-SI'!$BL$54</definedName>
    <definedName name="dbRankPer_LblChkBox" localSheetId="23">'RES_sv-SE'!$BL$54</definedName>
    <definedName name="dbRankPer_LblChkBox" localSheetId="24">'RES_tr-TR'!$BL$54</definedName>
    <definedName name="dbRankPer_LblChkBox" localSheetId="25">'RES_zh-CN'!$BL$54</definedName>
    <definedName name="dbRankPer_LblChkBox" localSheetId="26">'RES_zh-TW'!$BL$54</definedName>
    <definedName name="dbRankPer_OutOption" localSheetId="3">'RES_cs-CZ'!$BL$56</definedName>
    <definedName name="dbRankPer_OutOption" localSheetId="4">'RES_da-DK'!$BL$56</definedName>
    <definedName name="dbRankPer_OutOption" localSheetId="5">'RES_de-DE'!$BL$56</definedName>
    <definedName name="dbRankPer_OutOption" localSheetId="6">'RES_el-GR'!$BL$56</definedName>
    <definedName name="dbRankPer_OutOption" localSheetId="2">'RES_en-US'!$BL$56</definedName>
    <definedName name="dbRankPer_OutOption" localSheetId="7">'RES_es-ES'!$BL$56</definedName>
    <definedName name="dbRankPer_OutOption" localSheetId="8">'RES_fi-FI'!$BL$56</definedName>
    <definedName name="dbRankPer_OutOption" localSheetId="1">'RES_fr-FR'!$BL$56</definedName>
    <definedName name="dbRankPer_OutOption" localSheetId="9">'RES_hr-HR'!$BL$56</definedName>
    <definedName name="dbRankPer_OutOption" localSheetId="10">'RES_hu-HU'!$BL$56</definedName>
    <definedName name="dbRankPer_OutOption" localSheetId="11">'RES_it-IT'!$BL$56</definedName>
    <definedName name="dbRankPer_OutOption" localSheetId="12">'RES_ja-JP'!$BL$56</definedName>
    <definedName name="dbRankPer_OutOption" localSheetId="13">'RES_ko-KR'!$BL$56</definedName>
    <definedName name="dbRankPer_OutOption" localSheetId="14">'RES_lv-LV'!$BL$56</definedName>
    <definedName name="dbRankPer_OutOption" localSheetId="15">'RES_nb-NO'!$BL$56</definedName>
    <definedName name="dbRankPer_OutOption" localSheetId="16">'RES_nl-NL'!$BL$56</definedName>
    <definedName name="dbRankPer_OutOption" localSheetId="17">'RES_pl-PL'!$BL$56</definedName>
    <definedName name="dbRankPer_OutOption" localSheetId="18">'RES_pt-BR'!$BL$56</definedName>
    <definedName name="dbRankPer_OutOption" localSheetId="19">'RES_pt-PT'!$BL$56</definedName>
    <definedName name="dbRankPer_OutOption" localSheetId="20">'RES_ro-RO'!$BL$56</definedName>
    <definedName name="dbRankPer_OutOption" localSheetId="21">'RES_ru-RU'!$BL$56</definedName>
    <definedName name="dbRankPer_OutOption" localSheetId="22">'RES_sl-SI'!$BL$56</definedName>
    <definedName name="dbRankPer_OutOption" localSheetId="23">'RES_sv-SE'!$BL$56</definedName>
    <definedName name="dbRankPer_OutOption" localSheetId="24">'RES_tr-TR'!$BL$56</definedName>
    <definedName name="dbRankPer_OutOption" localSheetId="25">'RES_zh-CN'!$BL$56</definedName>
    <definedName name="dbRankPer_OutOption" localSheetId="26">'RES_zh-TW'!$BL$56</definedName>
    <definedName name="dbRankPer_PlyInpFld" localSheetId="3">'RES_cs-CZ'!$BF$61</definedName>
    <definedName name="dbRankPer_PlyInpFld" localSheetId="4">'RES_da-DK'!$BF$61</definedName>
    <definedName name="dbRankPer_PlyInpFld" localSheetId="5">'RES_de-DE'!$BF$61</definedName>
    <definedName name="dbRankPer_PlyInpFld" localSheetId="6">'RES_el-GR'!$BF$61</definedName>
    <definedName name="dbRankPer_PlyInpFld" localSheetId="2">'RES_en-US'!$BF$61</definedName>
    <definedName name="dbRankPer_PlyInpFld" localSheetId="7">'RES_es-ES'!$BF$61</definedName>
    <definedName name="dbRankPer_PlyInpFld" localSheetId="8">'RES_fi-FI'!$BF$61</definedName>
    <definedName name="dbRankPer_PlyInpFld" localSheetId="1">'RES_fr-FR'!$BF$61</definedName>
    <definedName name="dbRankPer_PlyInpFld" localSheetId="9">'RES_hr-HR'!$BF$61</definedName>
    <definedName name="dbRankPer_PlyInpFld" localSheetId="10">'RES_hu-HU'!$BF$61</definedName>
    <definedName name="dbRankPer_PlyInpFld" localSheetId="11">'RES_it-IT'!$BF$61</definedName>
    <definedName name="dbRankPer_PlyInpFld" localSheetId="12">'RES_ja-JP'!$BF$61</definedName>
    <definedName name="dbRankPer_PlyInpFld" localSheetId="13">'RES_ko-KR'!$BF$61</definedName>
    <definedName name="dbRankPer_PlyInpFld" localSheetId="14">'RES_lv-LV'!$BF$61</definedName>
    <definedName name="dbRankPer_PlyInpFld" localSheetId="15">'RES_nb-NO'!$BF$61</definedName>
    <definedName name="dbRankPer_PlyInpFld" localSheetId="16">'RES_nl-NL'!$BF$61</definedName>
    <definedName name="dbRankPer_PlyInpFld" localSheetId="17">'RES_pl-PL'!$BF$61</definedName>
    <definedName name="dbRankPer_PlyInpFld" localSheetId="18">'RES_pt-BR'!$BF$61</definedName>
    <definedName name="dbRankPer_PlyInpFld" localSheetId="19">'RES_pt-PT'!$BF$61</definedName>
    <definedName name="dbRankPer_PlyInpFld" localSheetId="20">'RES_ro-RO'!$BF$61</definedName>
    <definedName name="dbRankPer_PlyInpFld" localSheetId="21">'RES_ru-RU'!$BF$61</definedName>
    <definedName name="dbRankPer_PlyInpFld" localSheetId="22">'RES_sl-SI'!$BF$61</definedName>
    <definedName name="dbRankPer_PlyInpFld" localSheetId="23">'RES_sv-SE'!$BF$61</definedName>
    <definedName name="dbRankPer_PlyInpFld" localSheetId="24">'RES_tr-TR'!$BF$61</definedName>
    <definedName name="dbRankPer_PlyInpFld" localSheetId="25">'RES_zh-CN'!$BF$61</definedName>
    <definedName name="dbRankPer_PlyInpFld" localSheetId="26">'RES_zh-TW'!$BF$61</definedName>
    <definedName name="dbRankPer_PlyName" localSheetId="3">'RES_cs-CZ'!$BL$61</definedName>
    <definedName name="dbRankPer_PlyName" localSheetId="4">'RES_da-DK'!$BL$61</definedName>
    <definedName name="dbRankPer_PlyName" localSheetId="5">'RES_de-DE'!$BL$61</definedName>
    <definedName name="dbRankPer_PlyName" localSheetId="6">'RES_el-GR'!$BL$61</definedName>
    <definedName name="dbRankPer_PlyName" localSheetId="2">'RES_en-US'!$BL$61</definedName>
    <definedName name="dbRankPer_PlyName" localSheetId="7">'RES_es-ES'!$BL$61</definedName>
    <definedName name="dbRankPer_PlyName" localSheetId="8">'RES_fi-FI'!$BL$61</definedName>
    <definedName name="dbRankPer_PlyName" localSheetId="1">'RES_fr-FR'!$BL$61</definedName>
    <definedName name="dbRankPer_PlyName" localSheetId="9">'RES_hr-HR'!$BL$61</definedName>
    <definedName name="dbRankPer_PlyName" localSheetId="10">'RES_hu-HU'!$BL$61</definedName>
    <definedName name="dbRankPer_PlyName" localSheetId="11">'RES_it-IT'!$BL$61</definedName>
    <definedName name="dbRankPer_PlyName" localSheetId="12">'RES_ja-JP'!$BL$61</definedName>
    <definedName name="dbRankPer_PlyName" localSheetId="13">'RES_ko-KR'!$BL$61</definedName>
    <definedName name="dbRankPer_PlyName" localSheetId="14">'RES_lv-LV'!$BL$61</definedName>
    <definedName name="dbRankPer_PlyName" localSheetId="15">'RES_nb-NO'!$BL$61</definedName>
    <definedName name="dbRankPer_PlyName" localSheetId="16">'RES_nl-NL'!$BL$61</definedName>
    <definedName name="dbRankPer_PlyName" localSheetId="17">'RES_pl-PL'!$BL$61</definedName>
    <definedName name="dbRankPer_PlyName" localSheetId="18">'RES_pt-BR'!$BL$61</definedName>
    <definedName name="dbRankPer_PlyName" localSheetId="19">'RES_pt-PT'!$BL$61</definedName>
    <definedName name="dbRankPer_PlyName" localSheetId="20">'RES_ro-RO'!$BL$61</definedName>
    <definedName name="dbRankPer_PlyName" localSheetId="21">'RES_ru-RU'!$BL$61</definedName>
    <definedName name="dbRankPer_PlyName" localSheetId="22">'RES_sl-SI'!$BL$61</definedName>
    <definedName name="dbRankPer_PlyName" localSheetId="23">'RES_sv-SE'!$BL$61</definedName>
    <definedName name="dbRankPer_PlyName" localSheetId="24">'RES_tr-TR'!$BL$61</definedName>
    <definedName name="dbRankPer_PlyName" localSheetId="25">'RES_zh-CN'!$BL$61</definedName>
    <definedName name="dbRankPer_PlyName" localSheetId="26">'RES_zh-TW'!$BL$61</definedName>
    <definedName name="dbRankPer_RangeInpFld" localSheetId="3">'RES_cs-CZ'!$BF$60</definedName>
    <definedName name="dbRankPer_RangeInpFld" localSheetId="4">'RES_da-DK'!$BF$60</definedName>
    <definedName name="dbRankPer_RangeInpFld" localSheetId="5">'RES_de-DE'!$BF$60</definedName>
    <definedName name="dbRankPer_RangeInpFld" localSheetId="6">'RES_el-GR'!$BF$60</definedName>
    <definedName name="dbRankPer_RangeInpFld" localSheetId="2">'RES_en-US'!$BF$60</definedName>
    <definedName name="dbRankPer_RangeInpFld" localSheetId="7">'RES_es-ES'!$BF$60</definedName>
    <definedName name="dbRankPer_RangeInpFld" localSheetId="8">'RES_fi-FI'!$BF$60</definedName>
    <definedName name="dbRankPer_RangeInpFld" localSheetId="1">'RES_fr-FR'!$BF$60</definedName>
    <definedName name="dbRankPer_RangeInpFld" localSheetId="9">'RES_hr-HR'!$BF$60</definedName>
    <definedName name="dbRankPer_RangeInpFld" localSheetId="10">'RES_hu-HU'!$BF$60</definedName>
    <definedName name="dbRankPer_RangeInpFld" localSheetId="11">'RES_it-IT'!$BF$60</definedName>
    <definedName name="dbRankPer_RangeInpFld" localSheetId="12">'RES_ja-JP'!$BF$60</definedName>
    <definedName name="dbRankPer_RangeInpFld" localSheetId="13">'RES_ko-KR'!$BF$60</definedName>
    <definedName name="dbRankPer_RangeInpFld" localSheetId="14">'RES_lv-LV'!$BF$60</definedName>
    <definedName name="dbRankPer_RangeInpFld" localSheetId="15">'RES_nb-NO'!$BF$60</definedName>
    <definedName name="dbRankPer_RangeInpFld" localSheetId="16">'RES_nl-NL'!$BF$60</definedName>
    <definedName name="dbRankPer_RangeInpFld" localSheetId="17">'RES_pl-PL'!$BF$60</definedName>
    <definedName name="dbRankPer_RangeInpFld" localSheetId="18">'RES_pt-BR'!$BF$60</definedName>
    <definedName name="dbRankPer_RangeInpFld" localSheetId="19">'RES_pt-PT'!$BF$60</definedName>
    <definedName name="dbRankPer_RangeInpFld" localSheetId="20">'RES_ro-RO'!$BF$60</definedName>
    <definedName name="dbRankPer_RangeInpFld" localSheetId="21">'RES_ru-RU'!$BF$60</definedName>
    <definedName name="dbRankPer_RangeInpFld" localSheetId="22">'RES_sl-SI'!$BF$60</definedName>
    <definedName name="dbRankPer_RangeInpFld" localSheetId="23">'RES_sv-SE'!$BF$60</definedName>
    <definedName name="dbRankPer_RangeInpFld" localSheetId="24">'RES_tr-TR'!$BF$60</definedName>
    <definedName name="dbRankPer_RangeInpFld" localSheetId="25">'RES_zh-CN'!$BF$60</definedName>
    <definedName name="dbRankPer_RangeInpFld" localSheetId="26">'RES_zh-TW'!$BF$60</definedName>
    <definedName name="dbRankPer_RangeRef" localSheetId="3">'RES_cs-CZ'!$BL$60</definedName>
    <definedName name="dbRankPer_RangeRef" localSheetId="4">'RES_da-DK'!$BL$60</definedName>
    <definedName name="dbRankPer_RangeRef" localSheetId="5">'RES_de-DE'!$BL$60</definedName>
    <definedName name="dbRankPer_RangeRef" localSheetId="6">'RES_el-GR'!$BL$60</definedName>
    <definedName name="dbRankPer_RangeRef" localSheetId="2">'RES_en-US'!$BL$60</definedName>
    <definedName name="dbRankPer_RangeRef" localSheetId="7">'RES_es-ES'!$BL$60</definedName>
    <definedName name="dbRankPer_RangeRef" localSheetId="8">'RES_fi-FI'!$BL$60</definedName>
    <definedName name="dbRankPer_RangeRef" localSheetId="1">'RES_fr-FR'!$BL$60</definedName>
    <definedName name="dbRankPer_RangeRef" localSheetId="9">'RES_hr-HR'!$BL$60</definedName>
    <definedName name="dbRankPer_RangeRef" localSheetId="10">'RES_hu-HU'!$BL$60</definedName>
    <definedName name="dbRankPer_RangeRef" localSheetId="11">'RES_it-IT'!$BL$60</definedName>
    <definedName name="dbRankPer_RangeRef" localSheetId="12">'RES_ja-JP'!$BL$60</definedName>
    <definedName name="dbRankPer_RangeRef" localSheetId="13">'RES_ko-KR'!$BL$60</definedName>
    <definedName name="dbRankPer_RangeRef" localSheetId="14">'RES_lv-LV'!$BL$60</definedName>
    <definedName name="dbRankPer_RangeRef" localSheetId="15">'RES_nb-NO'!$BL$60</definedName>
    <definedName name="dbRankPer_RangeRef" localSheetId="16">'RES_nl-NL'!$BL$60</definedName>
    <definedName name="dbRankPer_RangeRef" localSheetId="17">'RES_pl-PL'!$BL$60</definedName>
    <definedName name="dbRankPer_RangeRef" localSheetId="18">'RES_pt-BR'!$BL$60</definedName>
    <definedName name="dbRankPer_RangeRef" localSheetId="19">'RES_pt-PT'!$BL$60</definedName>
    <definedName name="dbRankPer_RangeRef" localSheetId="20">'RES_ro-RO'!$BL$60</definedName>
    <definedName name="dbRankPer_RangeRef" localSheetId="21">'RES_ru-RU'!$BL$60</definedName>
    <definedName name="dbRankPer_RangeRef" localSheetId="22">'RES_sl-SI'!$BL$60</definedName>
    <definedName name="dbRankPer_RangeRef" localSheetId="23">'RES_sv-SE'!$BL$60</definedName>
    <definedName name="dbRankPer_RangeRef" localSheetId="24">'RES_tr-TR'!$BL$60</definedName>
    <definedName name="dbRankPer_RangeRef" localSheetId="25">'RES_zh-CN'!$BL$60</definedName>
    <definedName name="dbRankPer_RangeRef" localSheetId="26">'RES_zh-TW'!$BL$60</definedName>
    <definedName name="dbRankPer_RCSelect" localSheetId="3">'RES_cs-CZ'!$BL$51</definedName>
    <definedName name="dbRankPer_RCSelect" localSheetId="4">'RES_da-DK'!$BL$51</definedName>
    <definedName name="dbRankPer_RCSelect" localSheetId="5">'RES_de-DE'!$BL$51</definedName>
    <definedName name="dbRankPer_RCSelect" localSheetId="6">'RES_el-GR'!$BL$51</definedName>
    <definedName name="dbRankPer_RCSelect" localSheetId="2">'RES_en-US'!$BL$51</definedName>
    <definedName name="dbRankPer_RCSelect" localSheetId="7">'RES_es-ES'!$BL$51</definedName>
    <definedName name="dbRankPer_RCSelect" localSheetId="8">'RES_fi-FI'!$BL$51</definedName>
    <definedName name="dbRankPer_RCSelect" localSheetId="1">'RES_fr-FR'!$BL$51</definedName>
    <definedName name="dbRankPer_RCSelect" localSheetId="9">'RES_hr-HR'!$BL$51</definedName>
    <definedName name="dbRankPer_RCSelect" localSheetId="10">'RES_hu-HU'!$BL$51</definedName>
    <definedName name="dbRankPer_RCSelect" localSheetId="11">'RES_it-IT'!$BL$51</definedName>
    <definedName name="dbRankPer_RCSelect" localSheetId="12">'RES_ja-JP'!$BL$51</definedName>
    <definedName name="dbRankPer_RCSelect" localSheetId="13">'RES_ko-KR'!$BL$51</definedName>
    <definedName name="dbRankPer_RCSelect" localSheetId="14">'RES_lv-LV'!$BL$51</definedName>
    <definedName name="dbRankPer_RCSelect" localSheetId="15">'RES_nb-NO'!$BL$51</definedName>
    <definedName name="dbRankPer_RCSelect" localSheetId="16">'RES_nl-NL'!$BL$51</definedName>
    <definedName name="dbRankPer_RCSelect" localSheetId="17">'RES_pl-PL'!$BL$51</definedName>
    <definedName name="dbRankPer_RCSelect" localSheetId="18">'RES_pt-BR'!$BL$51</definedName>
    <definedName name="dbRankPer_RCSelect" localSheetId="19">'RES_pt-PT'!$BL$51</definedName>
    <definedName name="dbRankPer_RCSelect" localSheetId="20">'RES_ro-RO'!$BL$51</definedName>
    <definedName name="dbRankPer_RCSelect" localSheetId="21">'RES_ru-RU'!$BL$51</definedName>
    <definedName name="dbRankPer_RCSelect" localSheetId="22">'RES_sl-SI'!$BL$51</definedName>
    <definedName name="dbRankPer_RCSelect" localSheetId="23">'RES_sv-SE'!$BL$51</definedName>
    <definedName name="dbRankPer_RCSelect" localSheetId="24">'RES_tr-TR'!$BL$51</definedName>
    <definedName name="dbRankPer_RCSelect" localSheetId="25">'RES_zh-CN'!$BL$51</definedName>
    <definedName name="dbRankPer_RCSelect" localSheetId="26">'RES_zh-TW'!$BL$51</definedName>
    <definedName name="dbRankPerTitle" localSheetId="3">'RES_cs-CZ'!$BK$44</definedName>
    <definedName name="dbRankPerTitle" localSheetId="4">'RES_da-DK'!$BK$44</definedName>
    <definedName name="dbRankPerTitle" localSheetId="5">'RES_de-DE'!$BK$44</definedName>
    <definedName name="dbRankPerTitle" localSheetId="6">'RES_el-GR'!$BK$44</definedName>
    <definedName name="dbRankPerTitle" localSheetId="2">'RES_en-US'!$BK$44</definedName>
    <definedName name="dbRankPerTitle" localSheetId="7">'RES_es-ES'!$BK$44</definedName>
    <definedName name="dbRankPerTitle" localSheetId="8">'RES_fi-FI'!$BK$44</definedName>
    <definedName name="dbRankPerTitle" localSheetId="1">'RES_fr-FR'!$BK$44</definedName>
    <definedName name="dbRankPerTitle" localSheetId="9">'RES_hr-HR'!$BK$44</definedName>
    <definedName name="dbRankPerTitle" localSheetId="10">'RES_hu-HU'!$BK$44</definedName>
    <definedName name="dbRankPerTitle" localSheetId="11">'RES_it-IT'!$BK$44</definedName>
    <definedName name="dbRankPerTitle" localSheetId="12">'RES_ja-JP'!$BK$44</definedName>
    <definedName name="dbRankPerTitle" localSheetId="13">'RES_ko-KR'!$BK$44</definedName>
    <definedName name="dbRankPerTitle" localSheetId="14">'RES_lv-LV'!$BK$44</definedName>
    <definedName name="dbRankPerTitle" localSheetId="15">'RES_nb-NO'!$BK$44</definedName>
    <definedName name="dbRankPerTitle" localSheetId="16">'RES_nl-NL'!$BK$44</definedName>
    <definedName name="dbRankPerTitle" localSheetId="17">'RES_pl-PL'!$BK$44</definedName>
    <definedName name="dbRankPerTitle" localSheetId="18">'RES_pt-BR'!$BK$44</definedName>
    <definedName name="dbRankPerTitle" localSheetId="19">'RES_pt-PT'!$BK$44</definedName>
    <definedName name="dbRankPerTitle" localSheetId="20">'RES_ro-RO'!$BK$44</definedName>
    <definedName name="dbRankPerTitle" localSheetId="21">'RES_ru-RU'!$BK$44</definedName>
    <definedName name="dbRankPerTitle" localSheetId="22">'RES_sl-SI'!$BK$44</definedName>
    <definedName name="dbRankPerTitle" localSheetId="23">'RES_sv-SE'!$BK$44</definedName>
    <definedName name="dbRankPerTitle" localSheetId="24">'RES_tr-TR'!$BK$44</definedName>
    <definedName name="dbRankPerTitle" localSheetId="25">'RES_zh-CN'!$BK$44</definedName>
    <definedName name="dbRankPerTitle" localSheetId="26">'RES_zh-TW'!$BK$44</definedName>
    <definedName name="dbRegression" localSheetId="3">'RES_cs-CZ'!$AP$2:$AV$29</definedName>
    <definedName name="dbRegression" localSheetId="4">'RES_da-DK'!$AP$2:$AV$29</definedName>
    <definedName name="dbRegression" localSheetId="5">'RES_de-DE'!$AP$2:$AV$29</definedName>
    <definedName name="dbRegression" localSheetId="6">'RES_el-GR'!$AP$2:$AV$29</definedName>
    <definedName name="dbRegression" localSheetId="2">'RES_en-US'!$AP$2:$AV$29</definedName>
    <definedName name="dbRegression" localSheetId="7">'RES_es-ES'!$AP$2:$AV$29</definedName>
    <definedName name="dbRegression" localSheetId="8">'RES_fi-FI'!$AP$2:$AV$29</definedName>
    <definedName name="dbRegression" localSheetId="1">'RES_fr-FR'!$AP$2:$AV$29</definedName>
    <definedName name="dbRegression" localSheetId="9">'RES_hr-HR'!$AP$2:$AV$29</definedName>
    <definedName name="dbRegression" localSheetId="10">'RES_hu-HU'!$AP$2:$AV$29</definedName>
    <definedName name="dbRegression" localSheetId="11">'RES_it-IT'!$AP$2:$AV$29</definedName>
    <definedName name="dbRegression" localSheetId="12">'RES_ja-JP'!$AP$2:$AV$29</definedName>
    <definedName name="dbRegression" localSheetId="13">'RES_ko-KR'!$AP$2:$AV$29</definedName>
    <definedName name="dbRegression" localSheetId="14">'RES_lv-LV'!$AP$2:$AV$29</definedName>
    <definedName name="dbRegression" localSheetId="15">'RES_nb-NO'!$AP$2:$AV$29</definedName>
    <definedName name="dbRegression" localSheetId="16">'RES_nl-NL'!$AP$2:$AV$29</definedName>
    <definedName name="dbRegression" localSheetId="17">'RES_pl-PL'!$AP$2:$AV$29</definedName>
    <definedName name="dbRegression" localSheetId="18">'RES_pt-BR'!$AP$2:$AV$29</definedName>
    <definedName name="dbRegression" localSheetId="19">'RES_pt-PT'!$AP$2:$AV$29</definedName>
    <definedName name="dbRegression" localSheetId="20">'RES_ro-RO'!$AP$2:$AV$29</definedName>
    <definedName name="dbRegression" localSheetId="21">'RES_ru-RU'!$AP$2:$AV$29</definedName>
    <definedName name="dbRegression" localSheetId="22">'RES_sl-SI'!$AP$2:$AV$29</definedName>
    <definedName name="dbRegression" localSheetId="23">'RES_sv-SE'!$AP$2:$AV$29</definedName>
    <definedName name="dbRegression" localSheetId="24">'RES_tr-TR'!$AP$2:$AV$29</definedName>
    <definedName name="dbRegression" localSheetId="25">'RES_zh-CN'!$AP$2:$AV$29</definedName>
    <definedName name="dbRegression" localSheetId="26">'RES_zh-TW'!$AP$2:$AV$29</definedName>
    <definedName name="dbRegression_Confidence" localSheetId="3">'RES_cs-CZ'!$AV$13</definedName>
    <definedName name="dbRegression_Confidence" localSheetId="4">'RES_da-DK'!$AV$13</definedName>
    <definedName name="dbRegression_Confidence" localSheetId="5">'RES_de-DE'!$AV$13</definedName>
    <definedName name="dbRegression_Confidence" localSheetId="6">'RES_el-GR'!$AV$13</definedName>
    <definedName name="dbRegression_Confidence" localSheetId="2">'RES_en-US'!$AV$13</definedName>
    <definedName name="dbRegression_Confidence" localSheetId="7">'RES_es-ES'!$AV$13</definedName>
    <definedName name="dbRegression_Confidence" localSheetId="8">'RES_fi-FI'!$AV$13</definedName>
    <definedName name="dbRegression_Confidence" localSheetId="1">'RES_fr-FR'!$AV$13</definedName>
    <definedName name="dbRegression_Confidence" localSheetId="9">'RES_hr-HR'!$AV$13</definedName>
    <definedName name="dbRegression_Confidence" localSheetId="10">'RES_hu-HU'!$AV$13</definedName>
    <definedName name="dbRegression_Confidence" localSheetId="11">'RES_it-IT'!$AV$13</definedName>
    <definedName name="dbRegression_Confidence" localSheetId="12">'RES_ja-JP'!$AV$13</definedName>
    <definedName name="dbRegression_Confidence" localSheetId="13">'RES_ko-KR'!$AV$13</definedName>
    <definedName name="dbRegression_Confidence" localSheetId="14">'RES_lv-LV'!$AV$13</definedName>
    <definedName name="dbRegression_Confidence" localSheetId="15">'RES_nb-NO'!$AV$13</definedName>
    <definedName name="dbRegression_Confidence" localSheetId="16">'RES_nl-NL'!$AV$13</definedName>
    <definedName name="dbRegression_Confidence" localSheetId="17">'RES_pl-PL'!$AV$13</definedName>
    <definedName name="dbRegression_Confidence" localSheetId="18">'RES_pt-BR'!$AV$13</definedName>
    <definedName name="dbRegression_Confidence" localSheetId="19">'RES_pt-PT'!$AV$13</definedName>
    <definedName name="dbRegression_Confidence" localSheetId="20">'RES_ro-RO'!$AV$13</definedName>
    <definedName name="dbRegression_Confidence" localSheetId="21">'RES_ru-RU'!$AV$13</definedName>
    <definedName name="dbRegression_Confidence" localSheetId="22">'RES_sl-SI'!$AV$13</definedName>
    <definedName name="dbRegression_Confidence" localSheetId="23">'RES_sv-SE'!$AV$13</definedName>
    <definedName name="dbRegression_Confidence" localSheetId="24">'RES_tr-TR'!$AV$13</definedName>
    <definedName name="dbRegression_Confidence" localSheetId="25">'RES_zh-CN'!$AV$13</definedName>
    <definedName name="dbRegression_Confidence" localSheetId="26">'RES_zh-TW'!$AV$13</definedName>
    <definedName name="dbRegression_ConfidenceChkBox" localSheetId="3">'RES_cs-CZ'!$AV$12</definedName>
    <definedName name="dbRegression_ConfidenceChkBox" localSheetId="4">'RES_da-DK'!$AV$12</definedName>
    <definedName name="dbRegression_ConfidenceChkBox" localSheetId="5">'RES_de-DE'!$AV$12</definedName>
    <definedName name="dbRegression_ConfidenceChkBox" localSheetId="6">'RES_el-GR'!$AV$12</definedName>
    <definedName name="dbRegression_ConfidenceChkBox" localSheetId="2">'RES_en-US'!$AV$12</definedName>
    <definedName name="dbRegression_ConfidenceChkBox" localSheetId="7">'RES_es-ES'!$AV$12</definedName>
    <definedName name="dbRegression_ConfidenceChkBox" localSheetId="8">'RES_fi-FI'!$AV$12</definedName>
    <definedName name="dbRegression_ConfidenceChkBox" localSheetId="1">'RES_fr-FR'!$AV$12</definedName>
    <definedName name="dbRegression_ConfidenceChkBox" localSheetId="9">'RES_hr-HR'!$AV$12</definedName>
    <definedName name="dbRegression_ConfidenceChkBox" localSheetId="10">'RES_hu-HU'!$AV$12</definedName>
    <definedName name="dbRegression_ConfidenceChkBox" localSheetId="11">'RES_it-IT'!$AV$12</definedName>
    <definedName name="dbRegression_ConfidenceChkBox" localSheetId="12">'RES_ja-JP'!$AV$12</definedName>
    <definedName name="dbRegression_ConfidenceChkBox" localSheetId="13">'RES_ko-KR'!$AV$12</definedName>
    <definedName name="dbRegression_ConfidenceChkBox" localSheetId="14">'RES_lv-LV'!$AV$12</definedName>
    <definedName name="dbRegression_ConfidenceChkBox" localSheetId="15">'RES_nb-NO'!$AV$12</definedName>
    <definedName name="dbRegression_ConfidenceChkBox" localSheetId="16">'RES_nl-NL'!$AV$12</definedName>
    <definedName name="dbRegression_ConfidenceChkBox" localSheetId="17">'RES_pl-PL'!$AV$12</definedName>
    <definedName name="dbRegression_ConfidenceChkBox" localSheetId="18">'RES_pt-BR'!$AV$12</definedName>
    <definedName name="dbRegression_ConfidenceChkBox" localSheetId="19">'RES_pt-PT'!$AV$12</definedName>
    <definedName name="dbRegression_ConfidenceChkBox" localSheetId="20">'RES_ro-RO'!$AV$12</definedName>
    <definedName name="dbRegression_ConfidenceChkBox" localSheetId="21">'RES_ru-RU'!$AV$12</definedName>
    <definedName name="dbRegression_ConfidenceChkBox" localSheetId="22">'RES_sl-SI'!$AV$12</definedName>
    <definedName name="dbRegression_ConfidenceChkBox" localSheetId="23">'RES_sv-SE'!$AV$12</definedName>
    <definedName name="dbRegression_ConfidenceChkBox" localSheetId="24">'RES_tr-TR'!$AV$12</definedName>
    <definedName name="dbRegression_ConfidenceChkBox" localSheetId="25">'RES_zh-CN'!$AV$12</definedName>
    <definedName name="dbRegression_ConfidenceChkBox" localSheetId="26">'RES_zh-TW'!$AV$12</definedName>
    <definedName name="dbRegression_ConfidenceInpFld" localSheetId="3">'RES_cs-CZ'!$AP$13</definedName>
    <definedName name="dbRegression_ConfidenceInpFld" localSheetId="4">'RES_da-DK'!$AP$13</definedName>
    <definedName name="dbRegression_ConfidenceInpFld" localSheetId="5">'RES_de-DE'!$AP$13</definedName>
    <definedName name="dbRegression_ConfidenceInpFld" localSheetId="6">'RES_el-GR'!$AP$13</definedName>
    <definedName name="dbRegression_ConfidenceInpFld" localSheetId="2">'RES_en-US'!$AP$13</definedName>
    <definedName name="dbRegression_ConfidenceInpFld" localSheetId="7">'RES_es-ES'!$AP$13</definedName>
    <definedName name="dbRegression_ConfidenceInpFld" localSheetId="8">'RES_fi-FI'!$AP$13</definedName>
    <definedName name="dbRegression_ConfidenceInpFld" localSheetId="1">'RES_fr-FR'!$AP$13</definedName>
    <definedName name="dbRegression_ConfidenceInpFld" localSheetId="9">'RES_hr-HR'!$AP$13</definedName>
    <definedName name="dbRegression_ConfidenceInpFld" localSheetId="10">'RES_hu-HU'!$AP$13</definedName>
    <definedName name="dbRegression_ConfidenceInpFld" localSheetId="11">'RES_it-IT'!$AP$13</definedName>
    <definedName name="dbRegression_ConfidenceInpFld" localSheetId="12">'RES_ja-JP'!$AP$13</definedName>
    <definedName name="dbRegression_ConfidenceInpFld" localSheetId="13">'RES_ko-KR'!$AP$13</definedName>
    <definedName name="dbRegression_ConfidenceInpFld" localSheetId="14">'RES_lv-LV'!$AP$13</definedName>
    <definedName name="dbRegression_ConfidenceInpFld" localSheetId="15">'RES_nb-NO'!$AP$13</definedName>
    <definedName name="dbRegression_ConfidenceInpFld" localSheetId="16">'RES_nl-NL'!$AP$13</definedName>
    <definedName name="dbRegression_ConfidenceInpFld" localSheetId="17">'RES_pl-PL'!$AP$13</definedName>
    <definedName name="dbRegression_ConfidenceInpFld" localSheetId="18">'RES_pt-BR'!$AP$13</definedName>
    <definedName name="dbRegression_ConfidenceInpFld" localSheetId="19">'RES_pt-PT'!$AP$13</definedName>
    <definedName name="dbRegression_ConfidenceInpFld" localSheetId="20">'RES_ro-RO'!$AP$13</definedName>
    <definedName name="dbRegression_ConfidenceInpFld" localSheetId="21">'RES_ru-RU'!$AP$13</definedName>
    <definedName name="dbRegression_ConfidenceInpFld" localSheetId="22">'RES_sl-SI'!$AP$13</definedName>
    <definedName name="dbRegression_ConfidenceInpFld" localSheetId="23">'RES_sv-SE'!$AP$13</definedName>
    <definedName name="dbRegression_ConfidenceInpFld" localSheetId="24">'RES_tr-TR'!$AP$13</definedName>
    <definedName name="dbRegression_ConfidenceInpFld" localSheetId="25">'RES_zh-CN'!$AP$13</definedName>
    <definedName name="dbRegression_ConfidenceInpFld" localSheetId="26">'RES_zh-TW'!$AP$13</definedName>
    <definedName name="dbRegression_ConstZero" localSheetId="3">'RES_cs-CZ'!$AV$11</definedName>
    <definedName name="dbRegression_ConstZero" localSheetId="4">'RES_da-DK'!$AV$11</definedName>
    <definedName name="dbRegression_ConstZero" localSheetId="5">'RES_de-DE'!$AV$11</definedName>
    <definedName name="dbRegression_ConstZero" localSheetId="6">'RES_el-GR'!$AV$11</definedName>
    <definedName name="dbRegression_ConstZero" localSheetId="2">'RES_en-US'!$AV$11</definedName>
    <definedName name="dbRegression_ConstZero" localSheetId="7">'RES_es-ES'!$AV$11</definedName>
    <definedName name="dbRegression_ConstZero" localSheetId="8">'RES_fi-FI'!$AV$11</definedName>
    <definedName name="dbRegression_ConstZero" localSheetId="1">'RES_fr-FR'!$AV$11</definedName>
    <definedName name="dbRegression_ConstZero" localSheetId="9">'RES_hr-HR'!$AV$11</definedName>
    <definedName name="dbRegression_ConstZero" localSheetId="10">'RES_hu-HU'!$AV$11</definedName>
    <definedName name="dbRegression_ConstZero" localSheetId="11">'RES_it-IT'!$AV$11</definedName>
    <definedName name="dbRegression_ConstZero" localSheetId="12">'RES_ja-JP'!$AV$11</definedName>
    <definedName name="dbRegression_ConstZero" localSheetId="13">'RES_ko-KR'!$AV$11</definedName>
    <definedName name="dbRegression_ConstZero" localSheetId="14">'RES_lv-LV'!$AV$11</definedName>
    <definedName name="dbRegression_ConstZero" localSheetId="15">'RES_nb-NO'!$AV$11</definedName>
    <definedName name="dbRegression_ConstZero" localSheetId="16">'RES_nl-NL'!$AV$11</definedName>
    <definedName name="dbRegression_ConstZero" localSheetId="17">'RES_pl-PL'!$AV$11</definedName>
    <definedName name="dbRegression_ConstZero" localSheetId="18">'RES_pt-BR'!$AV$11</definedName>
    <definedName name="dbRegression_ConstZero" localSheetId="19">'RES_pt-PT'!$AV$11</definedName>
    <definedName name="dbRegression_ConstZero" localSheetId="20">'RES_ro-RO'!$AV$11</definedName>
    <definedName name="dbRegression_ConstZero" localSheetId="21">'RES_ru-RU'!$AV$11</definedName>
    <definedName name="dbRegression_ConstZero" localSheetId="22">'RES_sl-SI'!$AV$11</definedName>
    <definedName name="dbRegression_ConstZero" localSheetId="23">'RES_sv-SE'!$AV$11</definedName>
    <definedName name="dbRegression_ConstZero" localSheetId="24">'RES_tr-TR'!$AV$11</definedName>
    <definedName name="dbRegression_ConstZero" localSheetId="25">'RES_zh-CN'!$AV$11</definedName>
    <definedName name="dbRegression_ConstZero" localSheetId="26">'RES_zh-TW'!$AV$11</definedName>
    <definedName name="dbRegression_LblChkBox" localSheetId="3">'RES_cs-CZ'!$AV$10</definedName>
    <definedName name="dbRegression_LblChkBox" localSheetId="4">'RES_da-DK'!$AV$10</definedName>
    <definedName name="dbRegression_LblChkBox" localSheetId="5">'RES_de-DE'!$AV$10</definedName>
    <definedName name="dbRegression_LblChkBox" localSheetId="6">'RES_el-GR'!$AV$10</definedName>
    <definedName name="dbRegression_LblChkBox" localSheetId="2">'RES_en-US'!$AV$10</definedName>
    <definedName name="dbRegression_LblChkBox" localSheetId="7">'RES_es-ES'!$AV$10</definedName>
    <definedName name="dbRegression_LblChkBox" localSheetId="8">'RES_fi-FI'!$AV$10</definedName>
    <definedName name="dbRegression_LblChkBox" localSheetId="1">'RES_fr-FR'!$AV$10</definedName>
    <definedName name="dbRegression_LblChkBox" localSheetId="9">'RES_hr-HR'!$AV$10</definedName>
    <definedName name="dbRegression_LblChkBox" localSheetId="10">'RES_hu-HU'!$AV$10</definedName>
    <definedName name="dbRegression_LblChkBox" localSheetId="11">'RES_it-IT'!$AV$10</definedName>
    <definedName name="dbRegression_LblChkBox" localSheetId="12">'RES_ja-JP'!$AV$10</definedName>
    <definedName name="dbRegression_LblChkBox" localSheetId="13">'RES_ko-KR'!$AV$10</definedName>
    <definedName name="dbRegression_LblChkBox" localSheetId="14">'RES_lv-LV'!$AV$10</definedName>
    <definedName name="dbRegression_LblChkBox" localSheetId="15">'RES_nb-NO'!$AV$10</definedName>
    <definedName name="dbRegression_LblChkBox" localSheetId="16">'RES_nl-NL'!$AV$10</definedName>
    <definedName name="dbRegression_LblChkBox" localSheetId="17">'RES_pl-PL'!$AV$10</definedName>
    <definedName name="dbRegression_LblChkBox" localSheetId="18">'RES_pt-BR'!$AV$10</definedName>
    <definedName name="dbRegression_LblChkBox" localSheetId="19">'RES_pt-PT'!$AV$10</definedName>
    <definedName name="dbRegression_LblChkBox" localSheetId="20">'RES_ro-RO'!$AV$10</definedName>
    <definedName name="dbRegression_LblChkBox" localSheetId="21">'RES_ru-RU'!$AV$10</definedName>
    <definedName name="dbRegression_LblChkBox" localSheetId="22">'RES_sl-SI'!$AV$10</definedName>
    <definedName name="dbRegression_LblChkBox" localSheetId="23">'RES_sv-SE'!$AV$10</definedName>
    <definedName name="dbRegression_LblChkBox" localSheetId="24">'RES_tr-TR'!$AV$10</definedName>
    <definedName name="dbRegression_LblChkBox" localSheetId="25">'RES_zh-CN'!$AV$10</definedName>
    <definedName name="dbRegression_LblChkBox" localSheetId="26">'RES_zh-TW'!$AV$10</definedName>
    <definedName name="dbRegression_Lchart" localSheetId="3">'RES_cs-CZ'!$AV$26</definedName>
    <definedName name="dbRegression_Lchart" localSheetId="4">'RES_da-DK'!$AV$26</definedName>
    <definedName name="dbRegression_Lchart" localSheetId="5">'RES_de-DE'!$AV$26</definedName>
    <definedName name="dbRegression_Lchart" localSheetId="6">'RES_el-GR'!$AV$26</definedName>
    <definedName name="dbRegression_Lchart" localSheetId="2">'RES_en-US'!$AV$26</definedName>
    <definedName name="dbRegression_Lchart" localSheetId="7">'RES_es-ES'!$AV$26</definedName>
    <definedName name="dbRegression_Lchart" localSheetId="8">'RES_fi-FI'!$AV$26</definedName>
    <definedName name="dbRegression_Lchart" localSheetId="1">'RES_fr-FR'!$AV$26</definedName>
    <definedName name="dbRegression_Lchart" localSheetId="9">'RES_hr-HR'!$AV$26</definedName>
    <definedName name="dbRegression_Lchart" localSheetId="10">'RES_hu-HU'!$AV$26</definedName>
    <definedName name="dbRegression_Lchart" localSheetId="11">'RES_it-IT'!$AV$26</definedName>
    <definedName name="dbRegression_Lchart" localSheetId="12">'RES_ja-JP'!$AV$26</definedName>
    <definedName name="dbRegression_Lchart" localSheetId="13">'RES_ko-KR'!$AV$26</definedName>
    <definedName name="dbRegression_Lchart" localSheetId="14">'RES_lv-LV'!$AV$26</definedName>
    <definedName name="dbRegression_Lchart" localSheetId="15">'RES_nb-NO'!$AV$26</definedName>
    <definedName name="dbRegression_Lchart" localSheetId="16">'RES_nl-NL'!$AV$26</definedName>
    <definedName name="dbRegression_Lchart" localSheetId="17">'RES_pl-PL'!$AV$26</definedName>
    <definedName name="dbRegression_Lchart" localSheetId="18">'RES_pt-BR'!$AV$26</definedName>
    <definedName name="dbRegression_Lchart" localSheetId="19">'RES_pt-PT'!$AV$26</definedName>
    <definedName name="dbRegression_Lchart" localSheetId="20">'RES_ro-RO'!$AV$26</definedName>
    <definedName name="dbRegression_Lchart" localSheetId="21">'RES_ru-RU'!$AV$26</definedName>
    <definedName name="dbRegression_Lchart" localSheetId="22">'RES_sl-SI'!$AV$26</definedName>
    <definedName name="dbRegression_Lchart" localSheetId="23">'RES_sv-SE'!$AV$26</definedName>
    <definedName name="dbRegression_Lchart" localSheetId="24">'RES_tr-TR'!$AV$26</definedName>
    <definedName name="dbRegression_Lchart" localSheetId="25">'RES_zh-CN'!$AV$26</definedName>
    <definedName name="dbRegression_Lchart" localSheetId="26">'RES_zh-TW'!$AV$26</definedName>
    <definedName name="dbRegression_OutOption" localSheetId="3">'RES_cs-CZ'!$AV$16</definedName>
    <definedName name="dbRegression_OutOption" localSheetId="4">'RES_da-DK'!$AV$16</definedName>
    <definedName name="dbRegression_OutOption" localSheetId="5">'RES_de-DE'!$AV$16</definedName>
    <definedName name="dbRegression_OutOption" localSheetId="6">'RES_el-GR'!$AV$16</definedName>
    <definedName name="dbRegression_OutOption" localSheetId="2">'RES_en-US'!$AV$16</definedName>
    <definedName name="dbRegression_OutOption" localSheetId="7">'RES_es-ES'!$AV$16</definedName>
    <definedName name="dbRegression_OutOption" localSheetId="8">'RES_fi-FI'!$AV$16</definedName>
    <definedName name="dbRegression_OutOption" localSheetId="1">'RES_fr-FR'!$AV$16</definedName>
    <definedName name="dbRegression_OutOption" localSheetId="9">'RES_hr-HR'!$AV$16</definedName>
    <definedName name="dbRegression_OutOption" localSheetId="10">'RES_hu-HU'!$AV$16</definedName>
    <definedName name="dbRegression_OutOption" localSheetId="11">'RES_it-IT'!$AV$16</definedName>
    <definedName name="dbRegression_OutOption" localSheetId="12">'RES_ja-JP'!$AV$16</definedName>
    <definedName name="dbRegression_OutOption" localSheetId="13">'RES_ko-KR'!$AV$16</definedName>
    <definedName name="dbRegression_OutOption" localSheetId="14">'RES_lv-LV'!$AV$16</definedName>
    <definedName name="dbRegression_OutOption" localSheetId="15">'RES_nb-NO'!$AV$16</definedName>
    <definedName name="dbRegression_OutOption" localSheetId="16">'RES_nl-NL'!$AV$16</definedName>
    <definedName name="dbRegression_OutOption" localSheetId="17">'RES_pl-PL'!$AV$16</definedName>
    <definedName name="dbRegression_OutOption" localSheetId="18">'RES_pt-BR'!$AV$16</definedName>
    <definedName name="dbRegression_OutOption" localSheetId="19">'RES_pt-PT'!$AV$16</definedName>
    <definedName name="dbRegression_OutOption" localSheetId="20">'RES_ro-RO'!$AV$16</definedName>
    <definedName name="dbRegression_OutOption" localSheetId="21">'RES_ru-RU'!$AV$16</definedName>
    <definedName name="dbRegression_OutOption" localSheetId="22">'RES_sl-SI'!$AV$16</definedName>
    <definedName name="dbRegression_OutOption" localSheetId="23">'RES_sv-SE'!$AV$16</definedName>
    <definedName name="dbRegression_OutOption" localSheetId="24">'RES_tr-TR'!$AV$16</definedName>
    <definedName name="dbRegression_OutOption" localSheetId="25">'RES_zh-CN'!$AV$16</definedName>
    <definedName name="dbRegression_OutOption" localSheetId="26">'RES_zh-TW'!$AV$16</definedName>
    <definedName name="dbRegression_Pchart" localSheetId="3">'RES_cs-CZ'!$AV$28</definedName>
    <definedName name="dbRegression_Pchart" localSheetId="4">'RES_da-DK'!$AV$28</definedName>
    <definedName name="dbRegression_Pchart" localSheetId="5">'RES_de-DE'!$AV$28</definedName>
    <definedName name="dbRegression_Pchart" localSheetId="6">'RES_el-GR'!$AV$28</definedName>
    <definedName name="dbRegression_Pchart" localSheetId="2">'RES_en-US'!$AV$28</definedName>
    <definedName name="dbRegression_Pchart" localSheetId="7">'RES_es-ES'!$AV$28</definedName>
    <definedName name="dbRegression_Pchart" localSheetId="8">'RES_fi-FI'!$AV$28</definedName>
    <definedName name="dbRegression_Pchart" localSheetId="1">'RES_fr-FR'!$AV$28</definedName>
    <definedName name="dbRegression_Pchart" localSheetId="9">'RES_hr-HR'!$AV$28</definedName>
    <definedName name="dbRegression_Pchart" localSheetId="10">'RES_hu-HU'!$AV$28</definedName>
    <definedName name="dbRegression_Pchart" localSheetId="11">'RES_it-IT'!$AV$28</definedName>
    <definedName name="dbRegression_Pchart" localSheetId="12">'RES_ja-JP'!$AV$28</definedName>
    <definedName name="dbRegression_Pchart" localSheetId="13">'RES_ko-KR'!$AV$28</definedName>
    <definedName name="dbRegression_Pchart" localSheetId="14">'RES_lv-LV'!$AV$28</definedName>
    <definedName name="dbRegression_Pchart" localSheetId="15">'RES_nb-NO'!$AV$28</definedName>
    <definedName name="dbRegression_Pchart" localSheetId="16">'RES_nl-NL'!$AV$28</definedName>
    <definedName name="dbRegression_Pchart" localSheetId="17">'RES_pl-PL'!$AV$28</definedName>
    <definedName name="dbRegression_Pchart" localSheetId="18">'RES_pt-BR'!$AV$28</definedName>
    <definedName name="dbRegression_Pchart" localSheetId="19">'RES_pt-PT'!$AV$28</definedName>
    <definedName name="dbRegression_Pchart" localSheetId="20">'RES_ro-RO'!$AV$28</definedName>
    <definedName name="dbRegression_Pchart" localSheetId="21">'RES_ru-RU'!$AV$28</definedName>
    <definedName name="dbRegression_Pchart" localSheetId="22">'RES_sl-SI'!$AV$28</definedName>
    <definedName name="dbRegression_Pchart" localSheetId="23">'RES_sv-SE'!$AV$28</definedName>
    <definedName name="dbRegression_Pchart" localSheetId="24">'RES_tr-TR'!$AV$28</definedName>
    <definedName name="dbRegression_Pchart" localSheetId="25">'RES_zh-CN'!$AV$28</definedName>
    <definedName name="dbRegression_Pchart" localSheetId="26">'RES_zh-TW'!$AV$28</definedName>
    <definedName name="dbRegression_PlyInpFld" localSheetId="3">'RES_cs-CZ'!$AP$21</definedName>
    <definedName name="dbRegression_PlyInpFld" localSheetId="4">'RES_da-DK'!$AP$21</definedName>
    <definedName name="dbRegression_PlyInpFld" localSheetId="5">'RES_de-DE'!$AP$21</definedName>
    <definedName name="dbRegression_PlyInpFld" localSheetId="6">'RES_el-GR'!$AP$21</definedName>
    <definedName name="dbRegression_PlyInpFld" localSheetId="2">'RES_en-US'!$AP$21</definedName>
    <definedName name="dbRegression_PlyInpFld" localSheetId="7">'RES_es-ES'!$AP$21</definedName>
    <definedName name="dbRegression_PlyInpFld" localSheetId="8">'RES_fi-FI'!$AP$21</definedName>
    <definedName name="dbRegression_PlyInpFld" localSheetId="1">'RES_fr-FR'!$AP$21</definedName>
    <definedName name="dbRegression_PlyInpFld" localSheetId="9">'RES_hr-HR'!$AP$21</definedName>
    <definedName name="dbRegression_PlyInpFld" localSheetId="10">'RES_hu-HU'!$AP$21</definedName>
    <definedName name="dbRegression_PlyInpFld" localSheetId="11">'RES_it-IT'!$AP$21</definedName>
    <definedName name="dbRegression_PlyInpFld" localSheetId="12">'RES_ja-JP'!$AP$21</definedName>
    <definedName name="dbRegression_PlyInpFld" localSheetId="13">'RES_ko-KR'!$AP$21</definedName>
    <definedName name="dbRegression_PlyInpFld" localSheetId="14">'RES_lv-LV'!$AP$21</definedName>
    <definedName name="dbRegression_PlyInpFld" localSheetId="15">'RES_nb-NO'!$AP$21</definedName>
    <definedName name="dbRegression_PlyInpFld" localSheetId="16">'RES_nl-NL'!$AP$21</definedName>
    <definedName name="dbRegression_PlyInpFld" localSheetId="17">'RES_pl-PL'!$AP$21</definedName>
    <definedName name="dbRegression_PlyInpFld" localSheetId="18">'RES_pt-BR'!$AP$21</definedName>
    <definedName name="dbRegression_PlyInpFld" localSheetId="19">'RES_pt-PT'!$AP$21</definedName>
    <definedName name="dbRegression_PlyInpFld" localSheetId="20">'RES_ro-RO'!$AP$21</definedName>
    <definedName name="dbRegression_PlyInpFld" localSheetId="21">'RES_ru-RU'!$AP$21</definedName>
    <definedName name="dbRegression_PlyInpFld" localSheetId="22">'RES_sl-SI'!$AP$21</definedName>
    <definedName name="dbRegression_PlyInpFld" localSheetId="23">'RES_sv-SE'!$AP$21</definedName>
    <definedName name="dbRegression_PlyInpFld" localSheetId="24">'RES_tr-TR'!$AP$21</definedName>
    <definedName name="dbRegression_PlyInpFld" localSheetId="25">'RES_zh-CN'!$AP$21</definedName>
    <definedName name="dbRegression_PlyInpFld" localSheetId="26">'RES_zh-TW'!$AP$21</definedName>
    <definedName name="dbRegression_PlyName" localSheetId="3">'RES_cs-CZ'!$AV$21</definedName>
    <definedName name="dbRegression_PlyName" localSheetId="4">'RES_da-DK'!$AV$21</definedName>
    <definedName name="dbRegression_PlyName" localSheetId="5">'RES_de-DE'!$AV$21</definedName>
    <definedName name="dbRegression_PlyName" localSheetId="6">'RES_el-GR'!$AV$21</definedName>
    <definedName name="dbRegression_PlyName" localSheetId="2">'RES_en-US'!$AV$21</definedName>
    <definedName name="dbRegression_PlyName" localSheetId="7">'RES_es-ES'!$AV$21</definedName>
    <definedName name="dbRegression_PlyName" localSheetId="8">'RES_fi-FI'!$AV$21</definedName>
    <definedName name="dbRegression_PlyName" localSheetId="1">'RES_fr-FR'!$AV$21</definedName>
    <definedName name="dbRegression_PlyName" localSheetId="9">'RES_hr-HR'!$AV$21</definedName>
    <definedName name="dbRegression_PlyName" localSheetId="10">'RES_hu-HU'!$AV$21</definedName>
    <definedName name="dbRegression_PlyName" localSheetId="11">'RES_it-IT'!$AV$21</definedName>
    <definedName name="dbRegression_PlyName" localSheetId="12">'RES_ja-JP'!$AV$21</definedName>
    <definedName name="dbRegression_PlyName" localSheetId="13">'RES_ko-KR'!$AV$21</definedName>
    <definedName name="dbRegression_PlyName" localSheetId="14">'RES_lv-LV'!$AV$21</definedName>
    <definedName name="dbRegression_PlyName" localSheetId="15">'RES_nb-NO'!$AV$21</definedName>
    <definedName name="dbRegression_PlyName" localSheetId="16">'RES_nl-NL'!$AV$21</definedName>
    <definedName name="dbRegression_PlyName" localSheetId="17">'RES_pl-PL'!$AV$21</definedName>
    <definedName name="dbRegression_PlyName" localSheetId="18">'RES_pt-BR'!$AV$21</definedName>
    <definedName name="dbRegression_PlyName" localSheetId="19">'RES_pt-PT'!$AV$21</definedName>
    <definedName name="dbRegression_PlyName" localSheetId="20">'RES_ro-RO'!$AV$21</definedName>
    <definedName name="dbRegression_PlyName" localSheetId="21">'RES_ru-RU'!$AV$21</definedName>
    <definedName name="dbRegression_PlyName" localSheetId="22">'RES_sl-SI'!$AV$21</definedName>
    <definedName name="dbRegression_PlyName" localSheetId="23">'RES_sv-SE'!$AV$21</definedName>
    <definedName name="dbRegression_PlyName" localSheetId="24">'RES_tr-TR'!$AV$21</definedName>
    <definedName name="dbRegression_PlyName" localSheetId="25">'RES_zh-CN'!$AV$21</definedName>
    <definedName name="dbRegression_PlyName" localSheetId="26">'RES_zh-TW'!$AV$21</definedName>
    <definedName name="dbRegression_RangeInpFld" localSheetId="3">'RES_cs-CZ'!$AP$20</definedName>
    <definedName name="dbRegression_RangeInpFld" localSheetId="4">'RES_da-DK'!$AP$20</definedName>
    <definedName name="dbRegression_RangeInpFld" localSheetId="5">'RES_de-DE'!$AP$20</definedName>
    <definedName name="dbRegression_RangeInpFld" localSheetId="6">'RES_el-GR'!$AP$20</definedName>
    <definedName name="dbRegression_RangeInpFld" localSheetId="2">'RES_en-US'!$AP$20</definedName>
    <definedName name="dbRegression_RangeInpFld" localSheetId="7">'RES_es-ES'!$AP$20</definedName>
    <definedName name="dbRegression_RangeInpFld" localSheetId="8">'RES_fi-FI'!$AP$20</definedName>
    <definedName name="dbRegression_RangeInpFld" localSheetId="1">'RES_fr-FR'!$AP$20</definedName>
    <definedName name="dbRegression_RangeInpFld" localSheetId="9">'RES_hr-HR'!$AP$20</definedName>
    <definedName name="dbRegression_RangeInpFld" localSheetId="10">'RES_hu-HU'!$AP$20</definedName>
    <definedName name="dbRegression_RangeInpFld" localSheetId="11">'RES_it-IT'!$AP$20</definedName>
    <definedName name="dbRegression_RangeInpFld" localSheetId="12">'RES_ja-JP'!$AP$20</definedName>
    <definedName name="dbRegression_RangeInpFld" localSheetId="13">'RES_ko-KR'!$AP$20</definedName>
    <definedName name="dbRegression_RangeInpFld" localSheetId="14">'RES_lv-LV'!$AP$20</definedName>
    <definedName name="dbRegression_RangeInpFld" localSheetId="15">'RES_nb-NO'!$AP$20</definedName>
    <definedName name="dbRegression_RangeInpFld" localSheetId="16">'RES_nl-NL'!$AP$20</definedName>
    <definedName name="dbRegression_RangeInpFld" localSheetId="17">'RES_pl-PL'!$AP$20</definedName>
    <definedName name="dbRegression_RangeInpFld" localSheetId="18">'RES_pt-BR'!$AP$20</definedName>
    <definedName name="dbRegression_RangeInpFld" localSheetId="19">'RES_pt-PT'!$AP$20</definedName>
    <definedName name="dbRegression_RangeInpFld" localSheetId="20">'RES_ro-RO'!$AP$20</definedName>
    <definedName name="dbRegression_RangeInpFld" localSheetId="21">'RES_ru-RU'!$AP$20</definedName>
    <definedName name="dbRegression_RangeInpFld" localSheetId="22">'RES_sl-SI'!$AP$20</definedName>
    <definedName name="dbRegression_RangeInpFld" localSheetId="23">'RES_sv-SE'!$AP$20</definedName>
    <definedName name="dbRegression_RangeInpFld" localSheetId="24">'RES_tr-TR'!$AP$20</definedName>
    <definedName name="dbRegression_RangeInpFld" localSheetId="25">'RES_zh-CN'!$AP$20</definedName>
    <definedName name="dbRegression_RangeInpFld" localSheetId="26">'RES_zh-TW'!$AP$20</definedName>
    <definedName name="dbRegression_RangeRef" localSheetId="3">'RES_cs-CZ'!$AV$20</definedName>
    <definedName name="dbRegression_RangeRef" localSheetId="4">'RES_da-DK'!$AV$20</definedName>
    <definedName name="dbRegression_RangeRef" localSheetId="5">'RES_de-DE'!$AV$20</definedName>
    <definedName name="dbRegression_RangeRef" localSheetId="6">'RES_el-GR'!$AV$20</definedName>
    <definedName name="dbRegression_RangeRef" localSheetId="2">'RES_en-US'!$AV$20</definedName>
    <definedName name="dbRegression_RangeRef" localSheetId="7">'RES_es-ES'!$AV$20</definedName>
    <definedName name="dbRegression_RangeRef" localSheetId="8">'RES_fi-FI'!$AV$20</definedName>
    <definedName name="dbRegression_RangeRef" localSheetId="1">'RES_fr-FR'!$AV$20</definedName>
    <definedName name="dbRegression_RangeRef" localSheetId="9">'RES_hr-HR'!$AV$20</definedName>
    <definedName name="dbRegression_RangeRef" localSheetId="10">'RES_hu-HU'!$AV$20</definedName>
    <definedName name="dbRegression_RangeRef" localSheetId="11">'RES_it-IT'!$AV$20</definedName>
    <definedName name="dbRegression_RangeRef" localSheetId="12">'RES_ja-JP'!$AV$20</definedName>
    <definedName name="dbRegression_RangeRef" localSheetId="13">'RES_ko-KR'!$AV$20</definedName>
    <definedName name="dbRegression_RangeRef" localSheetId="14">'RES_lv-LV'!$AV$20</definedName>
    <definedName name="dbRegression_RangeRef" localSheetId="15">'RES_nb-NO'!$AV$20</definedName>
    <definedName name="dbRegression_RangeRef" localSheetId="16">'RES_nl-NL'!$AV$20</definedName>
    <definedName name="dbRegression_RangeRef" localSheetId="17">'RES_pl-PL'!$AV$20</definedName>
    <definedName name="dbRegression_RangeRef" localSheetId="18">'RES_pt-BR'!$AV$20</definedName>
    <definedName name="dbRegression_RangeRef" localSheetId="19">'RES_pt-PT'!$AV$20</definedName>
    <definedName name="dbRegression_RangeRef" localSheetId="20">'RES_ro-RO'!$AV$20</definedName>
    <definedName name="dbRegression_RangeRef" localSheetId="21">'RES_ru-RU'!$AV$20</definedName>
    <definedName name="dbRegression_RangeRef" localSheetId="22">'RES_sl-SI'!$AV$20</definedName>
    <definedName name="dbRegression_RangeRef" localSheetId="23">'RES_sv-SE'!$AV$20</definedName>
    <definedName name="dbRegression_RangeRef" localSheetId="24">'RES_tr-TR'!$AV$20</definedName>
    <definedName name="dbRegression_RangeRef" localSheetId="25">'RES_zh-CN'!$AV$20</definedName>
    <definedName name="dbRegression_RangeRef" localSheetId="26">'RES_zh-TW'!$AV$20</definedName>
    <definedName name="dbRegression_Rchart" localSheetId="3">'RES_cs-CZ'!$AV$25</definedName>
    <definedName name="dbRegression_Rchart" localSheetId="4">'RES_da-DK'!$AV$25</definedName>
    <definedName name="dbRegression_Rchart" localSheetId="5">'RES_de-DE'!$AV$25</definedName>
    <definedName name="dbRegression_Rchart" localSheetId="6">'RES_el-GR'!$AV$25</definedName>
    <definedName name="dbRegression_Rchart" localSheetId="2">'RES_en-US'!$AV$25</definedName>
    <definedName name="dbRegression_Rchart" localSheetId="7">'RES_es-ES'!$AV$25</definedName>
    <definedName name="dbRegression_Rchart" localSheetId="8">'RES_fi-FI'!$AV$25</definedName>
    <definedName name="dbRegression_Rchart" localSheetId="1">'RES_fr-FR'!$AV$25</definedName>
    <definedName name="dbRegression_Rchart" localSheetId="9">'RES_hr-HR'!$AV$25</definedName>
    <definedName name="dbRegression_Rchart" localSheetId="10">'RES_hu-HU'!$AV$25</definedName>
    <definedName name="dbRegression_Rchart" localSheetId="11">'RES_it-IT'!$AV$25</definedName>
    <definedName name="dbRegression_Rchart" localSheetId="12">'RES_ja-JP'!$AV$25</definedName>
    <definedName name="dbRegression_Rchart" localSheetId="13">'RES_ko-KR'!$AV$25</definedName>
    <definedName name="dbRegression_Rchart" localSheetId="14">'RES_lv-LV'!$AV$25</definedName>
    <definedName name="dbRegression_Rchart" localSheetId="15">'RES_nb-NO'!$AV$25</definedName>
    <definedName name="dbRegression_Rchart" localSheetId="16">'RES_nl-NL'!$AV$25</definedName>
    <definedName name="dbRegression_Rchart" localSheetId="17">'RES_pl-PL'!$AV$25</definedName>
    <definedName name="dbRegression_Rchart" localSheetId="18">'RES_pt-BR'!$AV$25</definedName>
    <definedName name="dbRegression_Rchart" localSheetId="19">'RES_pt-PT'!$AV$25</definedName>
    <definedName name="dbRegression_Rchart" localSheetId="20">'RES_ro-RO'!$AV$25</definedName>
    <definedName name="dbRegression_Rchart" localSheetId="21">'RES_ru-RU'!$AV$25</definedName>
    <definedName name="dbRegression_Rchart" localSheetId="22">'RES_sl-SI'!$AV$25</definedName>
    <definedName name="dbRegression_Rchart" localSheetId="23">'RES_sv-SE'!$AV$25</definedName>
    <definedName name="dbRegression_Rchart" localSheetId="24">'RES_tr-TR'!$AV$25</definedName>
    <definedName name="dbRegression_Rchart" localSheetId="25">'RES_zh-CN'!$AV$25</definedName>
    <definedName name="dbRegression_Rchart" localSheetId="26">'RES_zh-TW'!$AV$25</definedName>
    <definedName name="dbRegression_ResidChkBox" localSheetId="3">'RES_cs-CZ'!$AV$23</definedName>
    <definedName name="dbRegression_ResidChkBox" localSheetId="4">'RES_da-DK'!$AV$23</definedName>
    <definedName name="dbRegression_ResidChkBox" localSheetId="5">'RES_de-DE'!$AV$23</definedName>
    <definedName name="dbRegression_ResidChkBox" localSheetId="6">'RES_el-GR'!$AV$23</definedName>
    <definedName name="dbRegression_ResidChkBox" localSheetId="2">'RES_en-US'!$AV$23</definedName>
    <definedName name="dbRegression_ResidChkBox" localSheetId="7">'RES_es-ES'!$AV$23</definedName>
    <definedName name="dbRegression_ResidChkBox" localSheetId="8">'RES_fi-FI'!$AV$23</definedName>
    <definedName name="dbRegression_ResidChkBox" localSheetId="1">'RES_fr-FR'!$AV$23</definedName>
    <definedName name="dbRegression_ResidChkBox" localSheetId="9">'RES_hr-HR'!$AV$23</definedName>
    <definedName name="dbRegression_ResidChkBox" localSheetId="10">'RES_hu-HU'!$AV$23</definedName>
    <definedName name="dbRegression_ResidChkBox" localSheetId="11">'RES_it-IT'!$AV$23</definedName>
    <definedName name="dbRegression_ResidChkBox" localSheetId="12">'RES_ja-JP'!$AV$23</definedName>
    <definedName name="dbRegression_ResidChkBox" localSheetId="13">'RES_ko-KR'!$AV$23</definedName>
    <definedName name="dbRegression_ResidChkBox" localSheetId="14">'RES_lv-LV'!$AV$23</definedName>
    <definedName name="dbRegression_ResidChkBox" localSheetId="15">'RES_nb-NO'!$AV$23</definedName>
    <definedName name="dbRegression_ResidChkBox" localSheetId="16">'RES_nl-NL'!$AV$23</definedName>
    <definedName name="dbRegression_ResidChkBox" localSheetId="17">'RES_pl-PL'!$AV$23</definedName>
    <definedName name="dbRegression_ResidChkBox" localSheetId="18">'RES_pt-BR'!$AV$23</definedName>
    <definedName name="dbRegression_ResidChkBox" localSheetId="19">'RES_pt-PT'!$AV$23</definedName>
    <definedName name="dbRegression_ResidChkBox" localSheetId="20">'RES_ro-RO'!$AV$23</definedName>
    <definedName name="dbRegression_ResidChkBox" localSheetId="21">'RES_ru-RU'!$AV$23</definedName>
    <definedName name="dbRegression_ResidChkBox" localSheetId="22">'RES_sl-SI'!$AV$23</definedName>
    <definedName name="dbRegression_ResidChkBox" localSheetId="23">'RES_sv-SE'!$AV$23</definedName>
    <definedName name="dbRegression_ResidChkBox" localSheetId="24">'RES_tr-TR'!$AV$23</definedName>
    <definedName name="dbRegression_ResidChkBox" localSheetId="25">'RES_zh-CN'!$AV$23</definedName>
    <definedName name="dbRegression_ResidChkBox" localSheetId="26">'RES_zh-TW'!$AV$23</definedName>
    <definedName name="dbRegression_StdResidChkBox" localSheetId="3">'RES_cs-CZ'!$AV$24</definedName>
    <definedName name="dbRegression_StdResidChkBox" localSheetId="4">'RES_da-DK'!$AV$24</definedName>
    <definedName name="dbRegression_StdResidChkBox" localSheetId="5">'RES_de-DE'!$AV$24</definedName>
    <definedName name="dbRegression_StdResidChkBox" localSheetId="6">'RES_el-GR'!$AV$24</definedName>
    <definedName name="dbRegression_StdResidChkBox" localSheetId="2">'RES_en-US'!$AV$24</definedName>
    <definedName name="dbRegression_StdResidChkBox" localSheetId="7">'RES_es-ES'!$AV$24</definedName>
    <definedName name="dbRegression_StdResidChkBox" localSheetId="8">'RES_fi-FI'!$AV$24</definedName>
    <definedName name="dbRegression_StdResidChkBox" localSheetId="1">'RES_fr-FR'!$AV$24</definedName>
    <definedName name="dbRegression_StdResidChkBox" localSheetId="9">'RES_hr-HR'!$AV$24</definedName>
    <definedName name="dbRegression_StdResidChkBox" localSheetId="10">'RES_hu-HU'!$AV$24</definedName>
    <definedName name="dbRegression_StdResidChkBox" localSheetId="11">'RES_it-IT'!$AV$24</definedName>
    <definedName name="dbRegression_StdResidChkBox" localSheetId="12">'RES_ja-JP'!$AV$24</definedName>
    <definedName name="dbRegression_StdResidChkBox" localSheetId="13">'RES_ko-KR'!$AV$24</definedName>
    <definedName name="dbRegression_StdResidChkBox" localSheetId="14">'RES_lv-LV'!$AV$24</definedName>
    <definedName name="dbRegression_StdResidChkBox" localSheetId="15">'RES_nb-NO'!$AV$24</definedName>
    <definedName name="dbRegression_StdResidChkBox" localSheetId="16">'RES_nl-NL'!$AV$24</definedName>
    <definedName name="dbRegression_StdResidChkBox" localSheetId="17">'RES_pl-PL'!$AV$24</definedName>
    <definedName name="dbRegression_StdResidChkBox" localSheetId="18">'RES_pt-BR'!$AV$24</definedName>
    <definedName name="dbRegression_StdResidChkBox" localSheetId="19">'RES_pt-PT'!$AV$24</definedName>
    <definedName name="dbRegression_StdResidChkBox" localSheetId="20">'RES_ro-RO'!$AV$24</definedName>
    <definedName name="dbRegression_StdResidChkBox" localSheetId="21">'RES_ru-RU'!$AV$24</definedName>
    <definedName name="dbRegression_StdResidChkBox" localSheetId="22">'RES_sl-SI'!$AV$24</definedName>
    <definedName name="dbRegression_StdResidChkBox" localSheetId="23">'RES_sv-SE'!$AV$24</definedName>
    <definedName name="dbRegression_StdResidChkBox" localSheetId="24">'RES_tr-TR'!$AV$24</definedName>
    <definedName name="dbRegression_StdResidChkBox" localSheetId="25">'RES_zh-CN'!$AV$24</definedName>
    <definedName name="dbRegression_StdResidChkBox" localSheetId="26">'RES_zh-TW'!$AV$24</definedName>
    <definedName name="dbRegression_XRange" localSheetId="3">'RES_cs-CZ'!$AV$9</definedName>
    <definedName name="dbRegression_XRange" localSheetId="4">'RES_da-DK'!$AV$9</definedName>
    <definedName name="dbRegression_XRange" localSheetId="5">'RES_de-DE'!$AV$9</definedName>
    <definedName name="dbRegression_XRange" localSheetId="6">'RES_el-GR'!$AV$9</definedName>
    <definedName name="dbRegression_XRange" localSheetId="2">'RES_en-US'!$AV$9</definedName>
    <definedName name="dbRegression_XRange" localSheetId="7">'RES_es-ES'!$AV$9</definedName>
    <definedName name="dbRegression_XRange" localSheetId="8">'RES_fi-FI'!$AV$9</definedName>
    <definedName name="dbRegression_XRange" localSheetId="1">'RES_fr-FR'!$AV$9</definedName>
    <definedName name="dbRegression_XRange" localSheetId="9">'RES_hr-HR'!$AV$9</definedName>
    <definedName name="dbRegression_XRange" localSheetId="10">'RES_hu-HU'!$AV$9</definedName>
    <definedName name="dbRegression_XRange" localSheetId="11">'RES_it-IT'!$AV$9</definedName>
    <definedName name="dbRegression_XRange" localSheetId="12">'RES_ja-JP'!$AV$9</definedName>
    <definedName name="dbRegression_XRange" localSheetId="13">'RES_ko-KR'!$AV$9</definedName>
    <definedName name="dbRegression_XRange" localSheetId="14">'RES_lv-LV'!$AV$9</definedName>
    <definedName name="dbRegression_XRange" localSheetId="15">'RES_nb-NO'!$AV$9</definedName>
    <definedName name="dbRegression_XRange" localSheetId="16">'RES_nl-NL'!$AV$9</definedName>
    <definedName name="dbRegression_XRange" localSheetId="17">'RES_pl-PL'!$AV$9</definedName>
    <definedName name="dbRegression_XRange" localSheetId="18">'RES_pt-BR'!$AV$9</definedName>
    <definedName name="dbRegression_XRange" localSheetId="19">'RES_pt-PT'!$AV$9</definedName>
    <definedName name="dbRegression_XRange" localSheetId="20">'RES_ro-RO'!$AV$9</definedName>
    <definedName name="dbRegression_XRange" localSheetId="21">'RES_ru-RU'!$AV$9</definedName>
    <definedName name="dbRegression_XRange" localSheetId="22">'RES_sl-SI'!$AV$9</definedName>
    <definedName name="dbRegression_XRange" localSheetId="23">'RES_sv-SE'!$AV$9</definedName>
    <definedName name="dbRegression_XRange" localSheetId="24">'RES_tr-TR'!$AV$9</definedName>
    <definedName name="dbRegression_XRange" localSheetId="25">'RES_zh-CN'!$AV$9</definedName>
    <definedName name="dbRegression_XRange" localSheetId="26">'RES_zh-TW'!$AV$9</definedName>
    <definedName name="dbRegression_YRange" localSheetId="3">'RES_cs-CZ'!$AV$7</definedName>
    <definedName name="dbRegression_YRange" localSheetId="4">'RES_da-DK'!$AV$7</definedName>
    <definedName name="dbRegression_YRange" localSheetId="5">'RES_de-DE'!$AV$7</definedName>
    <definedName name="dbRegression_YRange" localSheetId="6">'RES_el-GR'!$AV$7</definedName>
    <definedName name="dbRegression_YRange" localSheetId="2">'RES_en-US'!$AV$7</definedName>
    <definedName name="dbRegression_YRange" localSheetId="7">'RES_es-ES'!$AV$7</definedName>
    <definedName name="dbRegression_YRange" localSheetId="8">'RES_fi-FI'!$AV$7</definedName>
    <definedName name="dbRegression_YRange" localSheetId="1">'RES_fr-FR'!$AV$7</definedName>
    <definedName name="dbRegression_YRange" localSheetId="9">'RES_hr-HR'!$AV$7</definedName>
    <definedName name="dbRegression_YRange" localSheetId="10">'RES_hu-HU'!$AV$7</definedName>
    <definedName name="dbRegression_YRange" localSheetId="11">'RES_it-IT'!$AV$7</definedName>
    <definedName name="dbRegression_YRange" localSheetId="12">'RES_ja-JP'!$AV$7</definedName>
    <definedName name="dbRegression_YRange" localSheetId="13">'RES_ko-KR'!$AV$7</definedName>
    <definedName name="dbRegression_YRange" localSheetId="14">'RES_lv-LV'!$AV$7</definedName>
    <definedName name="dbRegression_YRange" localSheetId="15">'RES_nb-NO'!$AV$7</definedName>
    <definedName name="dbRegression_YRange" localSheetId="16">'RES_nl-NL'!$AV$7</definedName>
    <definedName name="dbRegression_YRange" localSheetId="17">'RES_pl-PL'!$AV$7</definedName>
    <definedName name="dbRegression_YRange" localSheetId="18">'RES_pt-BR'!$AV$7</definedName>
    <definedName name="dbRegression_YRange" localSheetId="19">'RES_pt-PT'!$AV$7</definedName>
    <definedName name="dbRegression_YRange" localSheetId="20">'RES_ro-RO'!$AV$7</definedName>
    <definedName name="dbRegression_YRange" localSheetId="21">'RES_ru-RU'!$AV$7</definedName>
    <definedName name="dbRegression_YRange" localSheetId="22">'RES_sl-SI'!$AV$7</definedName>
    <definedName name="dbRegression_YRange" localSheetId="23">'RES_sv-SE'!$AV$7</definedName>
    <definedName name="dbRegression_YRange" localSheetId="24">'RES_tr-TR'!$AV$7</definedName>
    <definedName name="dbRegression_YRange" localSheetId="25">'RES_zh-CN'!$AV$7</definedName>
    <definedName name="dbRegression_YRange" localSheetId="26">'RES_zh-TW'!$AV$7</definedName>
    <definedName name="dbRegressionTitle" localSheetId="3">'RES_cs-CZ'!$AU$2</definedName>
    <definedName name="dbRegressionTitle" localSheetId="4">'RES_da-DK'!$AU$2</definedName>
    <definedName name="dbRegressionTitle" localSheetId="5">'RES_de-DE'!$AU$2</definedName>
    <definedName name="dbRegressionTitle" localSheetId="6">'RES_el-GR'!$AU$2</definedName>
    <definedName name="dbRegressionTitle" localSheetId="2">'RES_en-US'!$AU$2</definedName>
    <definedName name="dbRegressionTitle" localSheetId="7">'RES_es-ES'!$AU$2</definedName>
    <definedName name="dbRegressionTitle" localSheetId="8">'RES_fi-FI'!$AU$2</definedName>
    <definedName name="dbRegressionTitle" localSheetId="1">'RES_fr-FR'!$AU$2</definedName>
    <definedName name="dbRegressionTitle" localSheetId="9">'RES_hr-HR'!$AU$2</definedName>
    <definedName name="dbRegressionTitle" localSheetId="10">'RES_hu-HU'!$AU$2</definedName>
    <definedName name="dbRegressionTitle" localSheetId="11">'RES_it-IT'!$AU$2</definedName>
    <definedName name="dbRegressionTitle" localSheetId="12">'RES_ja-JP'!$AU$2</definedName>
    <definedName name="dbRegressionTitle" localSheetId="13">'RES_ko-KR'!$AU$2</definedName>
    <definedName name="dbRegressionTitle" localSheetId="14">'RES_lv-LV'!$AU$2</definedName>
    <definedName name="dbRegressionTitle" localSheetId="15">'RES_nb-NO'!$AU$2</definedName>
    <definedName name="dbRegressionTitle" localSheetId="16">'RES_nl-NL'!$AU$2</definedName>
    <definedName name="dbRegressionTitle" localSheetId="17">'RES_pl-PL'!$AU$2</definedName>
    <definedName name="dbRegressionTitle" localSheetId="18">'RES_pt-BR'!$AU$2</definedName>
    <definedName name="dbRegressionTitle" localSheetId="19">'RES_pt-PT'!$AU$2</definedName>
    <definedName name="dbRegressionTitle" localSheetId="20">'RES_ro-RO'!$AU$2</definedName>
    <definedName name="dbRegressionTitle" localSheetId="21">'RES_ru-RU'!$AU$2</definedName>
    <definedName name="dbRegressionTitle" localSheetId="22">'RES_sl-SI'!$AU$2</definedName>
    <definedName name="dbRegressionTitle" localSheetId="23">'RES_sv-SE'!$AU$2</definedName>
    <definedName name="dbRegressionTitle" localSheetId="24">'RES_tr-TR'!$AU$2</definedName>
    <definedName name="dbRegressionTitle" localSheetId="25">'RES_zh-CN'!$AU$2</definedName>
    <definedName name="dbRegressionTitle" localSheetId="26">'RES_zh-TW'!$AU$2</definedName>
    <definedName name="dbSampling" localSheetId="3">'RES_cs-CZ'!$CL$2:$CR$24</definedName>
    <definedName name="dbSampling" localSheetId="4">'RES_da-DK'!$CL$2:$CR$24</definedName>
    <definedName name="dbSampling" localSheetId="5">'RES_de-DE'!$CL$2:$CR$24</definedName>
    <definedName name="dbSampling" localSheetId="6">'RES_el-GR'!$CL$2:$CR$24</definedName>
    <definedName name="dbSampling" localSheetId="2">'RES_en-US'!$CL$2:$CR$24</definedName>
    <definedName name="dbSampling" localSheetId="7">'RES_es-ES'!$CL$2:$CR$24</definedName>
    <definedName name="dbSampling" localSheetId="8">'RES_fi-FI'!$CL$2:$CR$24</definedName>
    <definedName name="dbSampling" localSheetId="1">'RES_fr-FR'!$CL$2:$CR$24</definedName>
    <definedName name="dbSampling" localSheetId="9">'RES_hr-HR'!$CL$2:$CR$24</definedName>
    <definedName name="dbSampling" localSheetId="10">'RES_hu-HU'!$CL$2:$CR$24</definedName>
    <definedName name="dbSampling" localSheetId="11">'RES_it-IT'!$CL$2:$CR$24</definedName>
    <definedName name="dbSampling" localSheetId="12">'RES_ja-JP'!$CL$2:$CR$24</definedName>
    <definedName name="dbSampling" localSheetId="13">'RES_ko-KR'!$CL$2:$CR$24</definedName>
    <definedName name="dbSampling" localSheetId="14">'RES_lv-LV'!$CL$2:$CR$24</definedName>
    <definedName name="dbSampling" localSheetId="15">'RES_nb-NO'!$CL$2:$CR$24</definedName>
    <definedName name="dbSampling" localSheetId="16">'RES_nl-NL'!$CL$2:$CR$24</definedName>
    <definedName name="dbSampling" localSheetId="17">'RES_pl-PL'!$CL$2:$CR$24</definedName>
    <definedName name="dbSampling" localSheetId="18">'RES_pt-BR'!$CL$2:$CR$24</definedName>
    <definedName name="dbSampling" localSheetId="19">'RES_pt-PT'!$CL$2:$CR$24</definedName>
    <definedName name="dbSampling" localSheetId="20">'RES_ro-RO'!$CL$2:$CR$24</definedName>
    <definedName name="dbSampling" localSheetId="21">'RES_ru-RU'!$CL$2:$CR$24</definedName>
    <definedName name="dbSampling" localSheetId="22">'RES_sl-SI'!$CL$2:$CR$24</definedName>
    <definedName name="dbSampling" localSheetId="23">'RES_sv-SE'!$CL$2:$CR$24</definedName>
    <definedName name="dbSampling" localSheetId="24">'RES_tr-TR'!$CL$2:$CR$24</definedName>
    <definedName name="dbSampling" localSheetId="25">'RES_zh-CN'!$CL$2:$CR$24</definedName>
    <definedName name="dbSampling" localSheetId="26">'RES_zh-TW'!$CL$2:$CR$24</definedName>
    <definedName name="dbSampling_InRange" localSheetId="3">'RES_cs-CZ'!$CR$7</definedName>
    <definedName name="dbSampling_InRange" localSheetId="4">'RES_da-DK'!$CR$7</definedName>
    <definedName name="dbSampling_InRange" localSheetId="5">'RES_de-DE'!$CR$7</definedName>
    <definedName name="dbSampling_InRange" localSheetId="6">'RES_el-GR'!$CR$7</definedName>
    <definedName name="dbSampling_InRange" localSheetId="2">'RES_en-US'!$CR$7</definedName>
    <definedName name="dbSampling_InRange" localSheetId="7">'RES_es-ES'!$CR$7</definedName>
    <definedName name="dbSampling_InRange" localSheetId="8">'RES_fi-FI'!$CR$7</definedName>
    <definedName name="dbSampling_InRange" localSheetId="1">'RES_fr-FR'!$CR$7</definedName>
    <definedName name="dbSampling_InRange" localSheetId="9">'RES_hr-HR'!$CR$7</definedName>
    <definedName name="dbSampling_InRange" localSheetId="10">'RES_hu-HU'!$CR$7</definedName>
    <definedName name="dbSampling_InRange" localSheetId="11">'RES_it-IT'!$CR$7</definedName>
    <definedName name="dbSampling_InRange" localSheetId="12">'RES_ja-JP'!$CR$7</definedName>
    <definedName name="dbSampling_InRange" localSheetId="13">'RES_ko-KR'!$CR$7</definedName>
    <definedName name="dbSampling_InRange" localSheetId="14">'RES_lv-LV'!$CR$7</definedName>
    <definedName name="dbSampling_InRange" localSheetId="15">'RES_nb-NO'!$CR$7</definedName>
    <definedName name="dbSampling_InRange" localSheetId="16">'RES_nl-NL'!$CR$7</definedName>
    <definedName name="dbSampling_InRange" localSheetId="17">'RES_pl-PL'!$CR$7</definedName>
    <definedName name="dbSampling_InRange" localSheetId="18">'RES_pt-BR'!$CR$7</definedName>
    <definedName name="dbSampling_InRange" localSheetId="19">'RES_pt-PT'!$CR$7</definedName>
    <definedName name="dbSampling_InRange" localSheetId="20">'RES_ro-RO'!$CR$7</definedName>
    <definedName name="dbSampling_InRange" localSheetId="21">'RES_ru-RU'!$CR$7</definedName>
    <definedName name="dbSampling_InRange" localSheetId="22">'RES_sl-SI'!$CR$7</definedName>
    <definedName name="dbSampling_InRange" localSheetId="23">'RES_sv-SE'!$CR$7</definedName>
    <definedName name="dbSampling_InRange" localSheetId="24">'RES_tr-TR'!$CR$7</definedName>
    <definedName name="dbSampling_InRange" localSheetId="25">'RES_zh-CN'!$CR$7</definedName>
    <definedName name="dbSampling_InRange" localSheetId="26">'RES_zh-TW'!$CR$7</definedName>
    <definedName name="dbSampling_LblChkBox" localSheetId="3">'RES_cs-CZ'!$CR$8</definedName>
    <definedName name="dbSampling_LblChkBox" localSheetId="4">'RES_da-DK'!$CR$8</definedName>
    <definedName name="dbSampling_LblChkBox" localSheetId="5">'RES_de-DE'!$CR$8</definedName>
    <definedName name="dbSampling_LblChkBox" localSheetId="6">'RES_el-GR'!$CR$8</definedName>
    <definedName name="dbSampling_LblChkBox" localSheetId="2">'RES_en-US'!$CR$8</definedName>
    <definedName name="dbSampling_LblChkBox" localSheetId="7">'RES_es-ES'!$CR$8</definedName>
    <definedName name="dbSampling_LblChkBox" localSheetId="8">'RES_fi-FI'!$CR$8</definedName>
    <definedName name="dbSampling_LblChkBox" localSheetId="1">'RES_fr-FR'!$CR$8</definedName>
    <definedName name="dbSampling_LblChkBox" localSheetId="9">'RES_hr-HR'!$CR$8</definedName>
    <definedName name="dbSampling_LblChkBox" localSheetId="10">'RES_hu-HU'!$CR$8</definedName>
    <definedName name="dbSampling_LblChkBox" localSheetId="11">'RES_it-IT'!$CR$8</definedName>
    <definedName name="dbSampling_LblChkBox" localSheetId="12">'RES_ja-JP'!$CR$8</definedName>
    <definedName name="dbSampling_LblChkBox" localSheetId="13">'RES_ko-KR'!$CR$8</definedName>
    <definedName name="dbSampling_LblChkBox" localSheetId="14">'RES_lv-LV'!$CR$8</definedName>
    <definedName name="dbSampling_LblChkBox" localSheetId="15">'RES_nb-NO'!$CR$8</definedName>
    <definedName name="dbSampling_LblChkBox" localSheetId="16">'RES_nl-NL'!$CR$8</definedName>
    <definedName name="dbSampling_LblChkBox" localSheetId="17">'RES_pl-PL'!$CR$8</definedName>
    <definedName name="dbSampling_LblChkBox" localSheetId="18">'RES_pt-BR'!$CR$8</definedName>
    <definedName name="dbSampling_LblChkBox" localSheetId="19">'RES_pt-PT'!$CR$8</definedName>
    <definedName name="dbSampling_LblChkBox" localSheetId="20">'RES_ro-RO'!$CR$8</definedName>
    <definedName name="dbSampling_LblChkBox" localSheetId="21">'RES_ru-RU'!$CR$8</definedName>
    <definedName name="dbSampling_LblChkBox" localSheetId="22">'RES_sl-SI'!$CR$8</definedName>
    <definedName name="dbSampling_LblChkBox" localSheetId="23">'RES_sv-SE'!$CR$8</definedName>
    <definedName name="dbSampling_LblChkBox" localSheetId="24">'RES_tr-TR'!$CR$8</definedName>
    <definedName name="dbSampling_LblChkBox" localSheetId="25">'RES_zh-CN'!$CR$8</definedName>
    <definedName name="dbSampling_LblChkBox" localSheetId="26">'RES_zh-TW'!$CR$8</definedName>
    <definedName name="dbSampling_Method" localSheetId="3">'RES_cs-CZ'!$CR$10</definedName>
    <definedName name="dbSampling_Method" localSheetId="4">'RES_da-DK'!$CR$10</definedName>
    <definedName name="dbSampling_Method" localSheetId="5">'RES_de-DE'!$CR$10</definedName>
    <definedName name="dbSampling_Method" localSheetId="6">'RES_el-GR'!$CR$10</definedName>
    <definedName name="dbSampling_Method" localSheetId="2">'RES_en-US'!$CR$10</definedName>
    <definedName name="dbSampling_Method" localSheetId="7">'RES_es-ES'!$CR$10</definedName>
    <definedName name="dbSampling_Method" localSheetId="8">'RES_fi-FI'!$CR$10</definedName>
    <definedName name="dbSampling_Method" localSheetId="1">'RES_fr-FR'!$CR$10</definedName>
    <definedName name="dbSampling_Method" localSheetId="9">'RES_hr-HR'!$CR$10</definedName>
    <definedName name="dbSampling_Method" localSheetId="10">'RES_hu-HU'!$CR$10</definedName>
    <definedName name="dbSampling_Method" localSheetId="11">'RES_it-IT'!$CR$10</definedName>
    <definedName name="dbSampling_Method" localSheetId="12">'RES_ja-JP'!$CR$10</definedName>
    <definedName name="dbSampling_Method" localSheetId="13">'RES_ko-KR'!$CR$10</definedName>
    <definedName name="dbSampling_Method" localSheetId="14">'RES_lv-LV'!$CR$10</definedName>
    <definedName name="dbSampling_Method" localSheetId="15">'RES_nb-NO'!$CR$10</definedName>
    <definedName name="dbSampling_Method" localSheetId="16">'RES_nl-NL'!$CR$10</definedName>
    <definedName name="dbSampling_Method" localSheetId="17">'RES_pl-PL'!$CR$10</definedName>
    <definedName name="dbSampling_Method" localSheetId="18">'RES_pt-BR'!$CR$10</definedName>
    <definedName name="dbSampling_Method" localSheetId="19">'RES_pt-PT'!$CR$10</definedName>
    <definedName name="dbSampling_Method" localSheetId="20">'RES_ro-RO'!$CR$10</definedName>
    <definedName name="dbSampling_Method" localSheetId="21">'RES_ru-RU'!$CR$10</definedName>
    <definedName name="dbSampling_Method" localSheetId="22">'RES_sl-SI'!$CR$10</definedName>
    <definedName name="dbSampling_Method" localSheetId="23">'RES_sv-SE'!$CR$10</definedName>
    <definedName name="dbSampling_Method" localSheetId="24">'RES_tr-TR'!$CR$10</definedName>
    <definedName name="dbSampling_Method" localSheetId="25">'RES_zh-CN'!$CR$10</definedName>
    <definedName name="dbSampling_Method" localSheetId="26">'RES_zh-TW'!$CR$10</definedName>
    <definedName name="dbSampling_NumOfSamples" localSheetId="3">'RES_cs-CZ'!$CR$16</definedName>
    <definedName name="dbSampling_NumOfSamples" localSheetId="4">'RES_da-DK'!$CR$16</definedName>
    <definedName name="dbSampling_NumOfSamples" localSheetId="5">'RES_de-DE'!$CR$16</definedName>
    <definedName name="dbSampling_NumOfSamples" localSheetId="6">'RES_el-GR'!$CR$16</definedName>
    <definedName name="dbSampling_NumOfSamples" localSheetId="2">'RES_en-US'!$CR$16</definedName>
    <definedName name="dbSampling_NumOfSamples" localSheetId="7">'RES_es-ES'!$CR$16</definedName>
    <definedName name="dbSampling_NumOfSamples" localSheetId="8">'RES_fi-FI'!$CR$16</definedName>
    <definedName name="dbSampling_NumOfSamples" localSheetId="1">'RES_fr-FR'!$CR$16</definedName>
    <definedName name="dbSampling_NumOfSamples" localSheetId="9">'RES_hr-HR'!$CR$16</definedName>
    <definedName name="dbSampling_NumOfSamples" localSheetId="10">'RES_hu-HU'!$CR$16</definedName>
    <definedName name="dbSampling_NumOfSamples" localSheetId="11">'RES_it-IT'!$CR$16</definedName>
    <definedName name="dbSampling_NumOfSamples" localSheetId="12">'RES_ja-JP'!$CR$16</definedName>
    <definedName name="dbSampling_NumOfSamples" localSheetId="13">'RES_ko-KR'!$CR$16</definedName>
    <definedName name="dbSampling_NumOfSamples" localSheetId="14">'RES_lv-LV'!$CR$16</definedName>
    <definedName name="dbSampling_NumOfSamples" localSheetId="15">'RES_nb-NO'!$CR$16</definedName>
    <definedName name="dbSampling_NumOfSamples" localSheetId="16">'RES_nl-NL'!$CR$16</definedName>
    <definedName name="dbSampling_NumOfSamples" localSheetId="17">'RES_pl-PL'!$CR$16</definedName>
    <definedName name="dbSampling_NumOfSamples" localSheetId="18">'RES_pt-BR'!$CR$16</definedName>
    <definedName name="dbSampling_NumOfSamples" localSheetId="19">'RES_pt-PT'!$CR$16</definedName>
    <definedName name="dbSampling_NumOfSamples" localSheetId="20">'RES_ro-RO'!$CR$16</definedName>
    <definedName name="dbSampling_NumOfSamples" localSheetId="21">'RES_ru-RU'!$CR$16</definedName>
    <definedName name="dbSampling_NumOfSamples" localSheetId="22">'RES_sl-SI'!$CR$16</definedName>
    <definedName name="dbSampling_NumOfSamples" localSheetId="23">'RES_sv-SE'!$CR$16</definedName>
    <definedName name="dbSampling_NumOfSamples" localSheetId="24">'RES_tr-TR'!$CR$16</definedName>
    <definedName name="dbSampling_NumOfSamples" localSheetId="25">'RES_zh-CN'!$CR$16</definedName>
    <definedName name="dbSampling_NumOfSamples" localSheetId="26">'RES_zh-TW'!$CR$16</definedName>
    <definedName name="dbSampling_OutOption" localSheetId="3">'RES_cs-CZ'!$CR$18</definedName>
    <definedName name="dbSampling_OutOption" localSheetId="4">'RES_da-DK'!$CR$18</definedName>
    <definedName name="dbSampling_OutOption" localSheetId="5">'RES_de-DE'!$CR$18</definedName>
    <definedName name="dbSampling_OutOption" localSheetId="6">'RES_el-GR'!$CR$18</definedName>
    <definedName name="dbSampling_OutOption" localSheetId="2">'RES_en-US'!$CR$18</definedName>
    <definedName name="dbSampling_OutOption" localSheetId="7">'RES_es-ES'!$CR$18</definedName>
    <definedName name="dbSampling_OutOption" localSheetId="8">'RES_fi-FI'!$CR$18</definedName>
    <definedName name="dbSampling_OutOption" localSheetId="1">'RES_fr-FR'!$CR$18</definedName>
    <definedName name="dbSampling_OutOption" localSheetId="9">'RES_hr-HR'!$CR$18</definedName>
    <definedName name="dbSampling_OutOption" localSheetId="10">'RES_hu-HU'!$CR$18</definedName>
    <definedName name="dbSampling_OutOption" localSheetId="11">'RES_it-IT'!$CR$18</definedName>
    <definedName name="dbSampling_OutOption" localSheetId="12">'RES_ja-JP'!$CR$18</definedName>
    <definedName name="dbSampling_OutOption" localSheetId="13">'RES_ko-KR'!$CR$18</definedName>
    <definedName name="dbSampling_OutOption" localSheetId="14">'RES_lv-LV'!$CR$18</definedName>
    <definedName name="dbSampling_OutOption" localSheetId="15">'RES_nb-NO'!$CR$18</definedName>
    <definedName name="dbSampling_OutOption" localSheetId="16">'RES_nl-NL'!$CR$18</definedName>
    <definedName name="dbSampling_OutOption" localSheetId="17">'RES_pl-PL'!$CR$18</definedName>
    <definedName name="dbSampling_OutOption" localSheetId="18">'RES_pt-BR'!$CR$18</definedName>
    <definedName name="dbSampling_OutOption" localSheetId="19">'RES_pt-PT'!$CR$18</definedName>
    <definedName name="dbSampling_OutOption" localSheetId="20">'RES_ro-RO'!$CR$18</definedName>
    <definedName name="dbSampling_OutOption" localSheetId="21">'RES_ru-RU'!$CR$18</definedName>
    <definedName name="dbSampling_OutOption" localSheetId="22">'RES_sl-SI'!$CR$18</definedName>
    <definedName name="dbSampling_OutOption" localSheetId="23">'RES_sv-SE'!$CR$18</definedName>
    <definedName name="dbSampling_OutOption" localSheetId="24">'RES_tr-TR'!$CR$18</definedName>
    <definedName name="dbSampling_OutOption" localSheetId="25">'RES_zh-CN'!$CR$18</definedName>
    <definedName name="dbSampling_OutOption" localSheetId="26">'RES_zh-TW'!$CR$18</definedName>
    <definedName name="dbSampling_Period" localSheetId="3">'RES_cs-CZ'!$CR$14</definedName>
    <definedName name="dbSampling_Period" localSheetId="4">'RES_da-DK'!$CR$14</definedName>
    <definedName name="dbSampling_Period" localSheetId="5">'RES_de-DE'!$CR$14</definedName>
    <definedName name="dbSampling_Period" localSheetId="6">'RES_el-GR'!$CR$14</definedName>
    <definedName name="dbSampling_Period" localSheetId="2">'RES_en-US'!$CR$14</definedName>
    <definedName name="dbSampling_Period" localSheetId="7">'RES_es-ES'!$CR$14</definedName>
    <definedName name="dbSampling_Period" localSheetId="8">'RES_fi-FI'!$CR$14</definedName>
    <definedName name="dbSampling_Period" localSheetId="1">'RES_fr-FR'!$CR$14</definedName>
    <definedName name="dbSampling_Period" localSheetId="9">'RES_hr-HR'!$CR$14</definedName>
    <definedName name="dbSampling_Period" localSheetId="10">'RES_hu-HU'!$CR$14</definedName>
    <definedName name="dbSampling_Period" localSheetId="11">'RES_it-IT'!$CR$14</definedName>
    <definedName name="dbSampling_Period" localSheetId="12">'RES_ja-JP'!$CR$14</definedName>
    <definedName name="dbSampling_Period" localSheetId="13">'RES_ko-KR'!$CR$14</definedName>
    <definedName name="dbSampling_Period" localSheetId="14">'RES_lv-LV'!$CR$14</definedName>
    <definedName name="dbSampling_Period" localSheetId="15">'RES_nb-NO'!$CR$14</definedName>
    <definedName name="dbSampling_Period" localSheetId="16">'RES_nl-NL'!$CR$14</definedName>
    <definedName name="dbSampling_Period" localSheetId="17">'RES_pl-PL'!$CR$14</definedName>
    <definedName name="dbSampling_Period" localSheetId="18">'RES_pt-BR'!$CR$14</definedName>
    <definedName name="dbSampling_Period" localSheetId="19">'RES_pt-PT'!$CR$14</definedName>
    <definedName name="dbSampling_Period" localSheetId="20">'RES_ro-RO'!$CR$14</definedName>
    <definedName name="dbSampling_Period" localSheetId="21">'RES_ru-RU'!$CR$14</definedName>
    <definedName name="dbSampling_Period" localSheetId="22">'RES_sl-SI'!$CR$14</definedName>
    <definedName name="dbSampling_Period" localSheetId="23">'RES_sv-SE'!$CR$14</definedName>
    <definedName name="dbSampling_Period" localSheetId="24">'RES_tr-TR'!$CR$14</definedName>
    <definedName name="dbSampling_Period" localSheetId="25">'RES_zh-CN'!$CR$14</definedName>
    <definedName name="dbSampling_Period" localSheetId="26">'RES_zh-TW'!$CR$14</definedName>
    <definedName name="dbSampling_PeriodMethod" localSheetId="3">'RES_cs-CZ'!$CL$14</definedName>
    <definedName name="dbSampling_PeriodMethod" localSheetId="4">'RES_da-DK'!$CL$14</definedName>
    <definedName name="dbSampling_PeriodMethod" localSheetId="5">'RES_de-DE'!$CL$14</definedName>
    <definedName name="dbSampling_PeriodMethod" localSheetId="6">'RES_el-GR'!$CL$14</definedName>
    <definedName name="dbSampling_PeriodMethod" localSheetId="2">'RES_en-US'!$CL$14</definedName>
    <definedName name="dbSampling_PeriodMethod" localSheetId="7">'RES_es-ES'!$CL$14</definedName>
    <definedName name="dbSampling_PeriodMethod" localSheetId="8">'RES_fi-FI'!$CL$14</definedName>
    <definedName name="dbSampling_PeriodMethod" localSheetId="1">'RES_fr-FR'!$CL$14</definedName>
    <definedName name="dbSampling_PeriodMethod" localSheetId="9">'RES_hr-HR'!$CL$14</definedName>
    <definedName name="dbSampling_PeriodMethod" localSheetId="10">'RES_hu-HU'!$CL$14</definedName>
    <definedName name="dbSampling_PeriodMethod" localSheetId="11">'RES_it-IT'!$CL$14</definedName>
    <definedName name="dbSampling_PeriodMethod" localSheetId="12">'RES_ja-JP'!$CL$14</definedName>
    <definedName name="dbSampling_PeriodMethod" localSheetId="13">'RES_ko-KR'!$CL$14</definedName>
    <definedName name="dbSampling_PeriodMethod" localSheetId="14">'RES_lv-LV'!$CL$14</definedName>
    <definedName name="dbSampling_PeriodMethod" localSheetId="15">'RES_nb-NO'!$CL$14</definedName>
    <definedName name="dbSampling_PeriodMethod" localSheetId="16">'RES_nl-NL'!$CL$14</definedName>
    <definedName name="dbSampling_PeriodMethod" localSheetId="17">'RES_pl-PL'!$CL$14</definedName>
    <definedName name="dbSampling_PeriodMethod" localSheetId="18">'RES_pt-BR'!$CL$14</definedName>
    <definedName name="dbSampling_PeriodMethod" localSheetId="19">'RES_pt-PT'!$CL$14</definedName>
    <definedName name="dbSampling_PeriodMethod" localSheetId="20">'RES_ro-RO'!$CL$14</definedName>
    <definedName name="dbSampling_PeriodMethod" localSheetId="21">'RES_ru-RU'!$CL$14</definedName>
    <definedName name="dbSampling_PeriodMethod" localSheetId="22">'RES_sl-SI'!$CL$14</definedName>
    <definedName name="dbSampling_PeriodMethod" localSheetId="23">'RES_sv-SE'!$CL$14</definedName>
    <definedName name="dbSampling_PeriodMethod" localSheetId="24">'RES_tr-TR'!$CL$14</definedName>
    <definedName name="dbSampling_PeriodMethod" localSheetId="25">'RES_zh-CN'!$CL$14</definedName>
    <definedName name="dbSampling_PeriodMethod" localSheetId="26">'RES_zh-TW'!$CL$14</definedName>
    <definedName name="dbSampling_PlyInpFld" localSheetId="3">'RES_cs-CZ'!$CL$23</definedName>
    <definedName name="dbSampling_PlyInpFld" localSheetId="4">'RES_da-DK'!$CL$23</definedName>
    <definedName name="dbSampling_PlyInpFld" localSheetId="5">'RES_de-DE'!$CL$23</definedName>
    <definedName name="dbSampling_PlyInpFld" localSheetId="6">'RES_el-GR'!$CL$23</definedName>
    <definedName name="dbSampling_PlyInpFld" localSheetId="2">'RES_en-US'!$CL$23</definedName>
    <definedName name="dbSampling_PlyInpFld" localSheetId="7">'RES_es-ES'!$CL$23</definedName>
    <definedName name="dbSampling_PlyInpFld" localSheetId="8">'RES_fi-FI'!$CL$23</definedName>
    <definedName name="dbSampling_PlyInpFld" localSheetId="1">'RES_fr-FR'!$CL$23</definedName>
    <definedName name="dbSampling_PlyInpFld" localSheetId="9">'RES_hr-HR'!$CL$23</definedName>
    <definedName name="dbSampling_PlyInpFld" localSheetId="10">'RES_hu-HU'!$CL$23</definedName>
    <definedName name="dbSampling_PlyInpFld" localSheetId="11">'RES_it-IT'!$CL$23</definedName>
    <definedName name="dbSampling_PlyInpFld" localSheetId="12">'RES_ja-JP'!$CL$23</definedName>
    <definedName name="dbSampling_PlyInpFld" localSheetId="13">'RES_ko-KR'!$CL$23</definedName>
    <definedName name="dbSampling_PlyInpFld" localSheetId="14">'RES_lv-LV'!$CL$23</definedName>
    <definedName name="dbSampling_PlyInpFld" localSheetId="15">'RES_nb-NO'!$CL$23</definedName>
    <definedName name="dbSampling_PlyInpFld" localSheetId="16">'RES_nl-NL'!$CL$23</definedName>
    <definedName name="dbSampling_PlyInpFld" localSheetId="17">'RES_pl-PL'!$CL$23</definedName>
    <definedName name="dbSampling_PlyInpFld" localSheetId="18">'RES_pt-BR'!$CL$23</definedName>
    <definedName name="dbSampling_PlyInpFld" localSheetId="19">'RES_pt-PT'!$CL$23</definedName>
    <definedName name="dbSampling_PlyInpFld" localSheetId="20">'RES_ro-RO'!$CL$23</definedName>
    <definedName name="dbSampling_PlyInpFld" localSheetId="21">'RES_ru-RU'!$CL$23</definedName>
    <definedName name="dbSampling_PlyInpFld" localSheetId="22">'RES_sl-SI'!$CL$23</definedName>
    <definedName name="dbSampling_PlyInpFld" localSheetId="23">'RES_sv-SE'!$CL$23</definedName>
    <definedName name="dbSampling_PlyInpFld" localSheetId="24">'RES_tr-TR'!$CL$23</definedName>
    <definedName name="dbSampling_PlyInpFld" localSheetId="25">'RES_zh-CN'!$CL$23</definedName>
    <definedName name="dbSampling_PlyInpFld" localSheetId="26">'RES_zh-TW'!$CL$23</definedName>
    <definedName name="dbSampling_PlyName" localSheetId="3">'RES_cs-CZ'!$CR$23</definedName>
    <definedName name="dbSampling_PlyName" localSheetId="4">'RES_da-DK'!$CR$23</definedName>
    <definedName name="dbSampling_PlyName" localSheetId="5">'RES_de-DE'!$CR$23</definedName>
    <definedName name="dbSampling_PlyName" localSheetId="6">'RES_el-GR'!$CR$23</definedName>
    <definedName name="dbSampling_PlyName" localSheetId="2">'RES_en-US'!$CR$23</definedName>
    <definedName name="dbSampling_PlyName" localSheetId="7">'RES_es-ES'!$CR$23</definedName>
    <definedName name="dbSampling_PlyName" localSheetId="8">'RES_fi-FI'!$CR$23</definedName>
    <definedName name="dbSampling_PlyName" localSheetId="1">'RES_fr-FR'!$CR$23</definedName>
    <definedName name="dbSampling_PlyName" localSheetId="9">'RES_hr-HR'!$CR$23</definedName>
    <definedName name="dbSampling_PlyName" localSheetId="10">'RES_hu-HU'!$CR$23</definedName>
    <definedName name="dbSampling_PlyName" localSheetId="11">'RES_it-IT'!$CR$23</definedName>
    <definedName name="dbSampling_PlyName" localSheetId="12">'RES_ja-JP'!$CR$23</definedName>
    <definedName name="dbSampling_PlyName" localSheetId="13">'RES_ko-KR'!$CR$23</definedName>
    <definedName name="dbSampling_PlyName" localSheetId="14">'RES_lv-LV'!$CR$23</definedName>
    <definedName name="dbSampling_PlyName" localSheetId="15">'RES_nb-NO'!$CR$23</definedName>
    <definedName name="dbSampling_PlyName" localSheetId="16">'RES_nl-NL'!$CR$23</definedName>
    <definedName name="dbSampling_PlyName" localSheetId="17">'RES_pl-PL'!$CR$23</definedName>
    <definedName name="dbSampling_PlyName" localSheetId="18">'RES_pt-BR'!$CR$23</definedName>
    <definedName name="dbSampling_PlyName" localSheetId="19">'RES_pt-PT'!$CR$23</definedName>
    <definedName name="dbSampling_PlyName" localSheetId="20">'RES_ro-RO'!$CR$23</definedName>
    <definedName name="dbSampling_PlyName" localSheetId="21">'RES_ru-RU'!$CR$23</definedName>
    <definedName name="dbSampling_PlyName" localSheetId="22">'RES_sl-SI'!$CR$23</definedName>
    <definedName name="dbSampling_PlyName" localSheetId="23">'RES_sv-SE'!$CR$23</definedName>
    <definedName name="dbSampling_PlyName" localSheetId="24">'RES_tr-TR'!$CR$23</definedName>
    <definedName name="dbSampling_PlyName" localSheetId="25">'RES_zh-CN'!$CR$23</definedName>
    <definedName name="dbSampling_PlyName" localSheetId="26">'RES_zh-TW'!$CR$23</definedName>
    <definedName name="dbSampling_RandMethod" localSheetId="3">'RES_cs-CZ'!$CL$16</definedName>
    <definedName name="dbSampling_RandMethod" localSheetId="4">'RES_da-DK'!$CL$16</definedName>
    <definedName name="dbSampling_RandMethod" localSheetId="5">'RES_de-DE'!$CL$16</definedName>
    <definedName name="dbSampling_RandMethod" localSheetId="6">'RES_el-GR'!$CL$16</definedName>
    <definedName name="dbSampling_RandMethod" localSheetId="2">'RES_en-US'!$CL$16</definedName>
    <definedName name="dbSampling_RandMethod" localSheetId="7">'RES_es-ES'!$CL$16</definedName>
    <definedName name="dbSampling_RandMethod" localSheetId="8">'RES_fi-FI'!$CL$16</definedName>
    <definedName name="dbSampling_RandMethod" localSheetId="1">'RES_fr-FR'!$CL$16</definedName>
    <definedName name="dbSampling_RandMethod" localSheetId="9">'RES_hr-HR'!$CL$16</definedName>
    <definedName name="dbSampling_RandMethod" localSheetId="10">'RES_hu-HU'!$CL$16</definedName>
    <definedName name="dbSampling_RandMethod" localSheetId="11">'RES_it-IT'!$CL$16</definedName>
    <definedName name="dbSampling_RandMethod" localSheetId="12">'RES_ja-JP'!$CL$16</definedName>
    <definedName name="dbSampling_RandMethod" localSheetId="13">'RES_ko-KR'!$CL$16</definedName>
    <definedName name="dbSampling_RandMethod" localSheetId="14">'RES_lv-LV'!$CL$16</definedName>
    <definedName name="dbSampling_RandMethod" localSheetId="15">'RES_nb-NO'!$CL$16</definedName>
    <definedName name="dbSampling_RandMethod" localSheetId="16">'RES_nl-NL'!$CL$16</definedName>
    <definedName name="dbSampling_RandMethod" localSheetId="17">'RES_pl-PL'!$CL$16</definedName>
    <definedName name="dbSampling_RandMethod" localSheetId="18">'RES_pt-BR'!$CL$16</definedName>
    <definedName name="dbSampling_RandMethod" localSheetId="19">'RES_pt-PT'!$CL$16</definedName>
    <definedName name="dbSampling_RandMethod" localSheetId="20">'RES_ro-RO'!$CL$16</definedName>
    <definedName name="dbSampling_RandMethod" localSheetId="21">'RES_ru-RU'!$CL$16</definedName>
    <definedName name="dbSampling_RandMethod" localSheetId="22">'RES_sl-SI'!$CL$16</definedName>
    <definedName name="dbSampling_RandMethod" localSheetId="23">'RES_sv-SE'!$CL$16</definedName>
    <definedName name="dbSampling_RandMethod" localSheetId="24">'RES_tr-TR'!$CL$16</definedName>
    <definedName name="dbSampling_RandMethod" localSheetId="25">'RES_zh-CN'!$CL$16</definedName>
    <definedName name="dbSampling_RandMethod" localSheetId="26">'RES_zh-TW'!$CL$16</definedName>
    <definedName name="dbSampling_RangeInpFld" localSheetId="3">'RES_cs-CZ'!$CL$22</definedName>
    <definedName name="dbSampling_RangeInpFld" localSheetId="4">'RES_da-DK'!$CL$22</definedName>
    <definedName name="dbSampling_RangeInpFld" localSheetId="5">'RES_de-DE'!$CL$22</definedName>
    <definedName name="dbSampling_RangeInpFld" localSheetId="6">'RES_el-GR'!$CL$22</definedName>
    <definedName name="dbSampling_RangeInpFld" localSheetId="2">'RES_en-US'!$CL$22</definedName>
    <definedName name="dbSampling_RangeInpFld" localSheetId="7">'RES_es-ES'!$CL$22</definedName>
    <definedName name="dbSampling_RangeInpFld" localSheetId="8">'RES_fi-FI'!$CL$22</definedName>
    <definedName name="dbSampling_RangeInpFld" localSheetId="1">'RES_fr-FR'!$CL$22</definedName>
    <definedName name="dbSampling_RangeInpFld" localSheetId="9">'RES_hr-HR'!$CL$22</definedName>
    <definedName name="dbSampling_RangeInpFld" localSheetId="10">'RES_hu-HU'!$CL$22</definedName>
    <definedName name="dbSampling_RangeInpFld" localSheetId="11">'RES_it-IT'!$CL$22</definedName>
    <definedName name="dbSampling_RangeInpFld" localSheetId="12">'RES_ja-JP'!$CL$22</definedName>
    <definedName name="dbSampling_RangeInpFld" localSheetId="13">'RES_ko-KR'!$CL$22</definedName>
    <definedName name="dbSampling_RangeInpFld" localSheetId="14">'RES_lv-LV'!$CL$22</definedName>
    <definedName name="dbSampling_RangeInpFld" localSheetId="15">'RES_nb-NO'!$CL$22</definedName>
    <definedName name="dbSampling_RangeInpFld" localSheetId="16">'RES_nl-NL'!$CL$22</definedName>
    <definedName name="dbSampling_RangeInpFld" localSheetId="17">'RES_pl-PL'!$CL$22</definedName>
    <definedName name="dbSampling_RangeInpFld" localSheetId="18">'RES_pt-BR'!$CL$22</definedName>
    <definedName name="dbSampling_RangeInpFld" localSheetId="19">'RES_pt-PT'!$CL$22</definedName>
    <definedName name="dbSampling_RangeInpFld" localSheetId="20">'RES_ro-RO'!$CL$22</definedName>
    <definedName name="dbSampling_RangeInpFld" localSheetId="21">'RES_ru-RU'!$CL$22</definedName>
    <definedName name="dbSampling_RangeInpFld" localSheetId="22">'RES_sl-SI'!$CL$22</definedName>
    <definedName name="dbSampling_RangeInpFld" localSheetId="23">'RES_sv-SE'!$CL$22</definedName>
    <definedName name="dbSampling_RangeInpFld" localSheetId="24">'RES_tr-TR'!$CL$22</definedName>
    <definedName name="dbSampling_RangeInpFld" localSheetId="25">'RES_zh-CN'!$CL$22</definedName>
    <definedName name="dbSampling_RangeInpFld" localSheetId="26">'RES_zh-TW'!$CL$22</definedName>
    <definedName name="dbSampling_RangeRef" localSheetId="3">'RES_cs-CZ'!$CR$22</definedName>
    <definedName name="dbSampling_RangeRef" localSheetId="4">'RES_da-DK'!$CR$22</definedName>
    <definedName name="dbSampling_RangeRef" localSheetId="5">'RES_de-DE'!$CR$22</definedName>
    <definedName name="dbSampling_RangeRef" localSheetId="6">'RES_el-GR'!$CR$22</definedName>
    <definedName name="dbSampling_RangeRef" localSheetId="2">'RES_en-US'!$CR$22</definedName>
    <definedName name="dbSampling_RangeRef" localSheetId="7">'RES_es-ES'!$CR$22</definedName>
    <definedName name="dbSampling_RangeRef" localSheetId="8">'RES_fi-FI'!$CR$22</definedName>
    <definedName name="dbSampling_RangeRef" localSheetId="1">'RES_fr-FR'!$CR$22</definedName>
    <definedName name="dbSampling_RangeRef" localSheetId="9">'RES_hr-HR'!$CR$22</definedName>
    <definedName name="dbSampling_RangeRef" localSheetId="10">'RES_hu-HU'!$CR$22</definedName>
    <definedName name="dbSampling_RangeRef" localSheetId="11">'RES_it-IT'!$CR$22</definedName>
    <definedName name="dbSampling_RangeRef" localSheetId="12">'RES_ja-JP'!$CR$22</definedName>
    <definedName name="dbSampling_RangeRef" localSheetId="13">'RES_ko-KR'!$CR$22</definedName>
    <definedName name="dbSampling_RangeRef" localSheetId="14">'RES_lv-LV'!$CR$22</definedName>
    <definedName name="dbSampling_RangeRef" localSheetId="15">'RES_nb-NO'!$CR$22</definedName>
    <definedName name="dbSampling_RangeRef" localSheetId="16">'RES_nl-NL'!$CR$22</definedName>
    <definedName name="dbSampling_RangeRef" localSheetId="17">'RES_pl-PL'!$CR$22</definedName>
    <definedName name="dbSampling_RangeRef" localSheetId="18">'RES_pt-BR'!$CR$22</definedName>
    <definedName name="dbSampling_RangeRef" localSheetId="19">'RES_pt-PT'!$CR$22</definedName>
    <definedName name="dbSampling_RangeRef" localSheetId="20">'RES_ro-RO'!$CR$22</definedName>
    <definedName name="dbSampling_RangeRef" localSheetId="21">'RES_ru-RU'!$CR$22</definedName>
    <definedName name="dbSampling_RangeRef" localSheetId="22">'RES_sl-SI'!$CR$22</definedName>
    <definedName name="dbSampling_RangeRef" localSheetId="23">'RES_sv-SE'!$CR$22</definedName>
    <definedName name="dbSampling_RangeRef" localSheetId="24">'RES_tr-TR'!$CR$22</definedName>
    <definedName name="dbSampling_RangeRef" localSheetId="25">'RES_zh-CN'!$CR$22</definedName>
    <definedName name="dbSampling_RangeRef" localSheetId="26">'RES_zh-TW'!$CR$22</definedName>
    <definedName name="dbSamplingTitle" localSheetId="3">'RES_cs-CZ'!$CQ$2</definedName>
    <definedName name="dbSamplingTitle" localSheetId="4">'RES_da-DK'!$CQ$2</definedName>
    <definedName name="dbSamplingTitle" localSheetId="5">'RES_de-DE'!$CQ$2</definedName>
    <definedName name="dbSamplingTitle" localSheetId="6">'RES_el-GR'!$CQ$2</definedName>
    <definedName name="dbSamplingTitle" localSheetId="2">'RES_en-US'!$CQ$2</definedName>
    <definedName name="dbSamplingTitle" localSheetId="7">'RES_es-ES'!$CQ$2</definedName>
    <definedName name="dbSamplingTitle" localSheetId="8">'RES_fi-FI'!$CQ$2</definedName>
    <definedName name="dbSamplingTitle" localSheetId="1">'RES_fr-FR'!$CQ$2</definedName>
    <definedName name="dbSamplingTitle" localSheetId="9">'RES_hr-HR'!$CQ$2</definedName>
    <definedName name="dbSamplingTitle" localSheetId="10">'RES_hu-HU'!$CQ$2</definedName>
    <definedName name="dbSamplingTitle" localSheetId="11">'RES_it-IT'!$CQ$2</definedName>
    <definedName name="dbSamplingTitle" localSheetId="12">'RES_ja-JP'!$CQ$2</definedName>
    <definedName name="dbSamplingTitle" localSheetId="13">'RES_ko-KR'!$CQ$2</definedName>
    <definedName name="dbSamplingTitle" localSheetId="14">'RES_lv-LV'!$CQ$2</definedName>
    <definedName name="dbSamplingTitle" localSheetId="15">'RES_nb-NO'!$CQ$2</definedName>
    <definedName name="dbSamplingTitle" localSheetId="16">'RES_nl-NL'!$CQ$2</definedName>
    <definedName name="dbSamplingTitle" localSheetId="17">'RES_pl-PL'!$CQ$2</definedName>
    <definedName name="dbSamplingTitle" localSheetId="18">'RES_pt-BR'!$CQ$2</definedName>
    <definedName name="dbSamplingTitle" localSheetId="19">'RES_pt-PT'!$CQ$2</definedName>
    <definedName name="dbSamplingTitle" localSheetId="20">'RES_ro-RO'!$CQ$2</definedName>
    <definedName name="dbSamplingTitle" localSheetId="21">'RES_ru-RU'!$CQ$2</definedName>
    <definedName name="dbSamplingTitle" localSheetId="22">'RES_sl-SI'!$CQ$2</definedName>
    <definedName name="dbSamplingTitle" localSheetId="23">'RES_sv-SE'!$CQ$2</definedName>
    <definedName name="dbSamplingTitle" localSheetId="24">'RES_tr-TR'!$CQ$2</definedName>
    <definedName name="dbSamplingTitle" localSheetId="25">'RES_zh-CN'!$CQ$2</definedName>
    <definedName name="dbSamplingTitle" localSheetId="26">'RES_zh-TW'!$CQ$2</definedName>
    <definedName name="dbt.Percent" localSheetId="3">'RES_cs-CZ'!$B$275</definedName>
    <definedName name="dbt.Percent" localSheetId="4">'RES_da-DK'!$B$275</definedName>
    <definedName name="dbt.Percent" localSheetId="5">'RES_de-DE'!$B$275</definedName>
    <definedName name="dbt.Percent" localSheetId="6">'RES_el-GR'!$B$275</definedName>
    <definedName name="dbt.Percent" localSheetId="2">'RES_en-US'!$B$275</definedName>
    <definedName name="dbt.Percent" localSheetId="7">'RES_es-ES'!$B$275</definedName>
    <definedName name="dbt.Percent" localSheetId="8">'RES_fi-FI'!$B$275</definedName>
    <definedName name="dbt.Percent" localSheetId="1">'RES_fr-FR'!$B$275</definedName>
    <definedName name="dbt.Percent" localSheetId="9">'RES_hr-HR'!$B$275</definedName>
    <definedName name="dbt.Percent" localSheetId="10">'RES_hu-HU'!$B$275</definedName>
    <definedName name="dbt.Percent" localSheetId="11">'RES_it-IT'!$B$275</definedName>
    <definedName name="dbt.Percent" localSheetId="12">'RES_ja-JP'!$B$275</definedName>
    <definedName name="dbt.Percent" localSheetId="13">'RES_ko-KR'!$B$275</definedName>
    <definedName name="dbt.Percent" localSheetId="14">'RES_lv-LV'!$B$275</definedName>
    <definedName name="dbt.Percent" localSheetId="15">'RES_nb-NO'!$B$275</definedName>
    <definedName name="dbt.Percent" localSheetId="16">'RES_nl-NL'!$B$275</definedName>
    <definedName name="dbt.Percent" localSheetId="17">'RES_pl-PL'!$B$275</definedName>
    <definedName name="dbt.Percent" localSheetId="18">'RES_pt-BR'!$B$275</definedName>
    <definedName name="dbt.Percent" localSheetId="19">'RES_pt-PT'!$B$275</definedName>
    <definedName name="dbt.Percent" localSheetId="20">'RES_ro-RO'!$B$275</definedName>
    <definedName name="dbt.Percent" localSheetId="21">'RES_ru-RU'!$B$275</definedName>
    <definedName name="dbt.Percent" localSheetId="22">'RES_sl-SI'!$B$275</definedName>
    <definedName name="dbt.Percent" localSheetId="23">'RES_sv-SE'!$B$275</definedName>
    <definedName name="dbt.Percent" localSheetId="24">'RES_tr-TR'!$B$275</definedName>
    <definedName name="dbt.Percent" localSheetId="25">'RES_zh-CN'!$B$275</definedName>
    <definedName name="dbt.Percent" localSheetId="26">'RES_zh-TW'!$B$275</definedName>
    <definedName name="dbt.Residu" localSheetId="3">'RES_cs-CZ'!$B$276</definedName>
    <definedName name="dbt.Residu" localSheetId="4">'RES_da-DK'!$B$276</definedName>
    <definedName name="dbt.Residu" localSheetId="5">'RES_de-DE'!$B$276</definedName>
    <definedName name="dbt.Residu" localSheetId="6">'RES_el-GR'!$B$276</definedName>
    <definedName name="dbt.Residu" localSheetId="2">'RES_en-US'!$B$276</definedName>
    <definedName name="dbt.Residu" localSheetId="7">'RES_es-ES'!$B$276</definedName>
    <definedName name="dbt.Residu" localSheetId="8">'RES_fi-FI'!$B$276</definedName>
    <definedName name="dbt.Residu" localSheetId="1">'RES_fr-FR'!$B$276</definedName>
    <definedName name="dbt.Residu" localSheetId="9">'RES_hr-HR'!$B$276</definedName>
    <definedName name="dbt.Residu" localSheetId="10">'RES_hu-HU'!$B$276</definedName>
    <definedName name="dbt.Residu" localSheetId="11">'RES_it-IT'!$B$276</definedName>
    <definedName name="dbt.Residu" localSheetId="12">'RES_ja-JP'!$B$276</definedName>
    <definedName name="dbt.Residu" localSheetId="13">'RES_ko-KR'!$B$276</definedName>
    <definedName name="dbt.Residu" localSheetId="14">'RES_lv-LV'!$B$276</definedName>
    <definedName name="dbt.Residu" localSheetId="15">'RES_nb-NO'!$B$276</definedName>
    <definedName name="dbt.Residu" localSheetId="16">'RES_nl-NL'!$B$276</definedName>
    <definedName name="dbt.Residu" localSheetId="17">'RES_pl-PL'!$B$276</definedName>
    <definedName name="dbt.Residu" localSheetId="18">'RES_pt-BR'!$B$276</definedName>
    <definedName name="dbt.Residu" localSheetId="19">'RES_pt-PT'!$B$276</definedName>
    <definedName name="dbt.Residu" localSheetId="20">'RES_ro-RO'!$B$276</definedName>
    <definedName name="dbt.Residu" localSheetId="21">'RES_ru-RU'!$B$276</definedName>
    <definedName name="dbt.Residu" localSheetId="22">'RES_sl-SI'!$B$276</definedName>
    <definedName name="dbt.Residu" localSheetId="23">'RES_sv-SE'!$B$276</definedName>
    <definedName name="dbt.Residu" localSheetId="24">'RES_tr-TR'!$B$276</definedName>
    <definedName name="dbt.Residu" localSheetId="25">'RES_zh-CN'!$B$276</definedName>
    <definedName name="dbt.Residu" localSheetId="26">'RES_zh-TW'!$B$276</definedName>
    <definedName name="dbTTest1" localSheetId="3">'RES_cs-CZ'!$CD$25:$CJ$45</definedName>
    <definedName name="dbTTest1" localSheetId="4">'RES_da-DK'!$CD$25:$CJ$45</definedName>
    <definedName name="dbTTest1" localSheetId="5">'RES_de-DE'!$CD$25:$CJ$45</definedName>
    <definedName name="dbTTest1" localSheetId="6">'RES_el-GR'!$CD$25:$CJ$45</definedName>
    <definedName name="dbTTest1" localSheetId="2">'RES_en-US'!$CD$25:$CJ$45</definedName>
    <definedName name="dbTTest1" localSheetId="7">'RES_es-ES'!$CD$25:$CJ$45</definedName>
    <definedName name="dbTTest1" localSheetId="8">'RES_fi-FI'!$CD$25:$CJ$45</definedName>
    <definedName name="dbTTest1" localSheetId="1">'RES_fr-FR'!$CD$25:$CJ$45</definedName>
    <definedName name="dbTTest1" localSheetId="9">'RES_hr-HR'!$CD$25:$CJ$45</definedName>
    <definedName name="dbTTest1" localSheetId="10">'RES_hu-HU'!$CD$25:$CJ$45</definedName>
    <definedName name="dbTTest1" localSheetId="11">'RES_it-IT'!$CD$25:$CJ$45</definedName>
    <definedName name="dbTTest1" localSheetId="12">'RES_ja-JP'!$CD$25:$CJ$45</definedName>
    <definedName name="dbTTest1" localSheetId="13">'RES_ko-KR'!$CD$25:$CJ$45</definedName>
    <definedName name="dbTTest1" localSheetId="14">'RES_lv-LV'!$CD$25:$CJ$45</definedName>
    <definedName name="dbTTest1" localSheetId="15">'RES_nb-NO'!$CD$25:$CJ$45</definedName>
    <definedName name="dbTTest1" localSheetId="16">'RES_nl-NL'!$CD$25:$CJ$45</definedName>
    <definedName name="dbTTest1" localSheetId="17">'RES_pl-PL'!$CD$25:$CJ$45</definedName>
    <definedName name="dbTTest1" localSheetId="18">'RES_pt-BR'!$CD$25:$CJ$45</definedName>
    <definedName name="dbTTest1" localSheetId="19">'RES_pt-PT'!$CD$25:$CJ$45</definedName>
    <definedName name="dbTTest1" localSheetId="20">'RES_ro-RO'!$CD$25:$CJ$45</definedName>
    <definedName name="dbTTest1" localSheetId="21">'RES_ru-RU'!$CD$25:$CJ$45</definedName>
    <definedName name="dbTTest1" localSheetId="22">'RES_sl-SI'!$CD$25:$CJ$45</definedName>
    <definedName name="dbTTest1" localSheetId="23">'RES_sv-SE'!$CD$25:$CJ$45</definedName>
    <definedName name="dbTTest1" localSheetId="24">'RES_tr-TR'!$CD$25:$CJ$45</definedName>
    <definedName name="dbTTest1" localSheetId="25">'RES_zh-CN'!$CD$25:$CJ$45</definedName>
    <definedName name="dbTTest1" localSheetId="26">'RES_zh-TW'!$CD$25:$CJ$45</definedName>
    <definedName name="dbTTest1_AlphaValue" localSheetId="3">'RES_cs-CZ'!$CJ$37</definedName>
    <definedName name="dbTTest1_AlphaValue" localSheetId="4">'RES_da-DK'!$CJ$37</definedName>
    <definedName name="dbTTest1_AlphaValue" localSheetId="5">'RES_de-DE'!$CJ$37</definedName>
    <definedName name="dbTTest1_AlphaValue" localSheetId="6">'RES_el-GR'!$CJ$37</definedName>
    <definedName name="dbTTest1_AlphaValue" localSheetId="2">'RES_en-US'!$CJ$37</definedName>
    <definedName name="dbTTest1_AlphaValue" localSheetId="7">'RES_es-ES'!$CJ$37</definedName>
    <definedName name="dbTTest1_AlphaValue" localSheetId="8">'RES_fi-FI'!$CJ$37</definedName>
    <definedName name="dbTTest1_AlphaValue" localSheetId="1">'RES_fr-FR'!$CJ$37</definedName>
    <definedName name="dbTTest1_AlphaValue" localSheetId="9">'RES_hr-HR'!$CJ$37</definedName>
    <definedName name="dbTTest1_AlphaValue" localSheetId="10">'RES_hu-HU'!$CJ$37</definedName>
    <definedName name="dbTTest1_AlphaValue" localSheetId="11">'RES_it-IT'!$CJ$37</definedName>
    <definedName name="dbTTest1_AlphaValue" localSheetId="12">'RES_ja-JP'!$CJ$37</definedName>
    <definedName name="dbTTest1_AlphaValue" localSheetId="13">'RES_ko-KR'!$CJ$37</definedName>
    <definedName name="dbTTest1_AlphaValue" localSheetId="14">'RES_lv-LV'!$CJ$37</definedName>
    <definedName name="dbTTest1_AlphaValue" localSheetId="15">'RES_nb-NO'!$CJ$37</definedName>
    <definedName name="dbTTest1_AlphaValue" localSheetId="16">'RES_nl-NL'!$CJ$37</definedName>
    <definedName name="dbTTest1_AlphaValue" localSheetId="17">'RES_pl-PL'!$CJ$37</definedName>
    <definedName name="dbTTest1_AlphaValue" localSheetId="18">'RES_pt-BR'!$CJ$37</definedName>
    <definedName name="dbTTest1_AlphaValue" localSheetId="19">'RES_pt-PT'!$CJ$37</definedName>
    <definedName name="dbTTest1_AlphaValue" localSheetId="20">'RES_ro-RO'!$CJ$37</definedName>
    <definedName name="dbTTest1_AlphaValue" localSheetId="21">'RES_ru-RU'!$CJ$37</definedName>
    <definedName name="dbTTest1_AlphaValue" localSheetId="22">'RES_sl-SI'!$CJ$37</definedName>
    <definedName name="dbTTest1_AlphaValue" localSheetId="23">'RES_sv-SE'!$CJ$37</definedName>
    <definedName name="dbTTest1_AlphaValue" localSheetId="24">'RES_tr-TR'!$CJ$37</definedName>
    <definedName name="dbTTest1_AlphaValue" localSheetId="25">'RES_zh-CN'!$CJ$37</definedName>
    <definedName name="dbTTest1_AlphaValue" localSheetId="26">'RES_zh-TW'!$CJ$37</definedName>
    <definedName name="dbTTest1_LblChkBox" localSheetId="3">'RES_cs-CZ'!$CJ$35</definedName>
    <definedName name="dbTTest1_LblChkBox" localSheetId="4">'RES_da-DK'!$CJ$35</definedName>
    <definedName name="dbTTest1_LblChkBox" localSheetId="5">'RES_de-DE'!$CJ$35</definedName>
    <definedName name="dbTTest1_LblChkBox" localSheetId="6">'RES_el-GR'!$CJ$35</definedName>
    <definedName name="dbTTest1_LblChkBox" localSheetId="2">'RES_en-US'!$CJ$35</definedName>
    <definedName name="dbTTest1_LblChkBox" localSheetId="7">'RES_es-ES'!$CJ$35</definedName>
    <definedName name="dbTTest1_LblChkBox" localSheetId="8">'RES_fi-FI'!$CJ$35</definedName>
    <definedName name="dbTTest1_LblChkBox" localSheetId="1">'RES_fr-FR'!$CJ$35</definedName>
    <definedName name="dbTTest1_LblChkBox" localSheetId="9">'RES_hr-HR'!$CJ$35</definedName>
    <definedName name="dbTTest1_LblChkBox" localSheetId="10">'RES_hu-HU'!$CJ$35</definedName>
    <definedName name="dbTTest1_LblChkBox" localSheetId="11">'RES_it-IT'!$CJ$35</definedName>
    <definedName name="dbTTest1_LblChkBox" localSheetId="12">'RES_ja-JP'!$CJ$35</definedName>
    <definedName name="dbTTest1_LblChkBox" localSheetId="13">'RES_ko-KR'!$CJ$35</definedName>
    <definedName name="dbTTest1_LblChkBox" localSheetId="14">'RES_lv-LV'!$CJ$35</definedName>
    <definedName name="dbTTest1_LblChkBox" localSheetId="15">'RES_nb-NO'!$CJ$35</definedName>
    <definedName name="dbTTest1_LblChkBox" localSheetId="16">'RES_nl-NL'!$CJ$35</definedName>
    <definedName name="dbTTest1_LblChkBox" localSheetId="17">'RES_pl-PL'!$CJ$35</definedName>
    <definedName name="dbTTest1_LblChkBox" localSheetId="18">'RES_pt-BR'!$CJ$35</definedName>
    <definedName name="dbTTest1_LblChkBox" localSheetId="19">'RES_pt-PT'!$CJ$35</definedName>
    <definedName name="dbTTest1_LblChkBox" localSheetId="20">'RES_ro-RO'!$CJ$35</definedName>
    <definedName name="dbTTest1_LblChkBox" localSheetId="21">'RES_ru-RU'!$CJ$35</definedName>
    <definedName name="dbTTest1_LblChkBox" localSheetId="22">'RES_sl-SI'!$CJ$35</definedName>
    <definedName name="dbTTest1_LblChkBox" localSheetId="23">'RES_sv-SE'!$CJ$35</definedName>
    <definedName name="dbTTest1_LblChkBox" localSheetId="24">'RES_tr-TR'!$CJ$35</definedName>
    <definedName name="dbTTest1_LblChkBox" localSheetId="25">'RES_zh-CN'!$CJ$35</definedName>
    <definedName name="dbTTest1_LblChkBox" localSheetId="26">'RES_zh-TW'!$CJ$35</definedName>
    <definedName name="dbTTest1_MeanDiff" localSheetId="3">'RES_cs-CZ'!$CJ$34</definedName>
    <definedName name="dbTTest1_MeanDiff" localSheetId="4">'RES_da-DK'!$CJ$34</definedName>
    <definedName name="dbTTest1_MeanDiff" localSheetId="5">'RES_de-DE'!$CJ$34</definedName>
    <definedName name="dbTTest1_MeanDiff" localSheetId="6">'RES_el-GR'!$CJ$34</definedName>
    <definedName name="dbTTest1_MeanDiff" localSheetId="2">'RES_en-US'!$CJ$34</definedName>
    <definedName name="dbTTest1_MeanDiff" localSheetId="7">'RES_es-ES'!$CJ$34</definedName>
    <definedName name="dbTTest1_MeanDiff" localSheetId="8">'RES_fi-FI'!$CJ$34</definedName>
    <definedName name="dbTTest1_MeanDiff" localSheetId="1">'RES_fr-FR'!$CJ$34</definedName>
    <definedName name="dbTTest1_MeanDiff" localSheetId="9">'RES_hr-HR'!$CJ$34</definedName>
    <definedName name="dbTTest1_MeanDiff" localSheetId="10">'RES_hu-HU'!$CJ$34</definedName>
    <definedName name="dbTTest1_MeanDiff" localSheetId="11">'RES_it-IT'!$CJ$34</definedName>
    <definedName name="dbTTest1_MeanDiff" localSheetId="12">'RES_ja-JP'!$CJ$34</definedName>
    <definedName name="dbTTest1_MeanDiff" localSheetId="13">'RES_ko-KR'!$CJ$34</definedName>
    <definedName name="dbTTest1_MeanDiff" localSheetId="14">'RES_lv-LV'!$CJ$34</definedName>
    <definedName name="dbTTest1_MeanDiff" localSheetId="15">'RES_nb-NO'!$CJ$34</definedName>
    <definedName name="dbTTest1_MeanDiff" localSheetId="16">'RES_nl-NL'!$CJ$34</definedName>
    <definedName name="dbTTest1_MeanDiff" localSheetId="17">'RES_pl-PL'!$CJ$34</definedName>
    <definedName name="dbTTest1_MeanDiff" localSheetId="18">'RES_pt-BR'!$CJ$34</definedName>
    <definedName name="dbTTest1_MeanDiff" localSheetId="19">'RES_pt-PT'!$CJ$34</definedName>
    <definedName name="dbTTest1_MeanDiff" localSheetId="20">'RES_ro-RO'!$CJ$34</definedName>
    <definedName name="dbTTest1_MeanDiff" localSheetId="21">'RES_ru-RU'!$CJ$34</definedName>
    <definedName name="dbTTest1_MeanDiff" localSheetId="22">'RES_sl-SI'!$CJ$34</definedName>
    <definedName name="dbTTest1_MeanDiff" localSheetId="23">'RES_sv-SE'!$CJ$34</definedName>
    <definedName name="dbTTest1_MeanDiff" localSheetId="24">'RES_tr-TR'!$CJ$34</definedName>
    <definedName name="dbTTest1_MeanDiff" localSheetId="25">'RES_zh-CN'!$CJ$34</definedName>
    <definedName name="dbTTest1_MeanDiff" localSheetId="26">'RES_zh-TW'!$CJ$34</definedName>
    <definedName name="dbTTest1_OutOption" localSheetId="3">'RES_cs-CZ'!$CJ$39</definedName>
    <definedName name="dbTTest1_OutOption" localSheetId="4">'RES_da-DK'!$CJ$39</definedName>
    <definedName name="dbTTest1_OutOption" localSheetId="5">'RES_de-DE'!$CJ$39</definedName>
    <definedName name="dbTTest1_OutOption" localSheetId="6">'RES_el-GR'!$CJ$39</definedName>
    <definedName name="dbTTest1_OutOption" localSheetId="2">'RES_en-US'!$CJ$39</definedName>
    <definedName name="dbTTest1_OutOption" localSheetId="7">'RES_es-ES'!$CJ$39</definedName>
    <definedName name="dbTTest1_OutOption" localSheetId="8">'RES_fi-FI'!$CJ$39</definedName>
    <definedName name="dbTTest1_OutOption" localSheetId="1">'RES_fr-FR'!$CJ$39</definedName>
    <definedName name="dbTTest1_OutOption" localSheetId="9">'RES_hr-HR'!$CJ$39</definedName>
    <definedName name="dbTTest1_OutOption" localSheetId="10">'RES_hu-HU'!$CJ$39</definedName>
    <definedName name="dbTTest1_OutOption" localSheetId="11">'RES_it-IT'!$CJ$39</definedName>
    <definedName name="dbTTest1_OutOption" localSheetId="12">'RES_ja-JP'!$CJ$39</definedName>
    <definedName name="dbTTest1_OutOption" localSheetId="13">'RES_ko-KR'!$CJ$39</definedName>
    <definedName name="dbTTest1_OutOption" localSheetId="14">'RES_lv-LV'!$CJ$39</definedName>
    <definedName name="dbTTest1_OutOption" localSheetId="15">'RES_nb-NO'!$CJ$39</definedName>
    <definedName name="dbTTest1_OutOption" localSheetId="16">'RES_nl-NL'!$CJ$39</definedName>
    <definedName name="dbTTest1_OutOption" localSheetId="17">'RES_pl-PL'!$CJ$39</definedName>
    <definedName name="dbTTest1_OutOption" localSheetId="18">'RES_pt-BR'!$CJ$39</definedName>
    <definedName name="dbTTest1_OutOption" localSheetId="19">'RES_pt-PT'!$CJ$39</definedName>
    <definedName name="dbTTest1_OutOption" localSheetId="20">'RES_ro-RO'!$CJ$39</definedName>
    <definedName name="dbTTest1_OutOption" localSheetId="21">'RES_ru-RU'!$CJ$39</definedName>
    <definedName name="dbTTest1_OutOption" localSheetId="22">'RES_sl-SI'!$CJ$39</definedName>
    <definedName name="dbTTest1_OutOption" localSheetId="23">'RES_sv-SE'!$CJ$39</definedName>
    <definedName name="dbTTest1_OutOption" localSheetId="24">'RES_tr-TR'!$CJ$39</definedName>
    <definedName name="dbTTest1_OutOption" localSheetId="25">'RES_zh-CN'!$CJ$39</definedName>
    <definedName name="dbTTest1_OutOption" localSheetId="26">'RES_zh-TW'!$CJ$39</definedName>
    <definedName name="dbTTest1_PlyInpFld" localSheetId="3">'RES_cs-CZ'!$CD$44</definedName>
    <definedName name="dbTTest1_PlyInpFld" localSheetId="4">'RES_da-DK'!$CD$44</definedName>
    <definedName name="dbTTest1_PlyInpFld" localSheetId="5">'RES_de-DE'!$CD$44</definedName>
    <definedName name="dbTTest1_PlyInpFld" localSheetId="6">'RES_el-GR'!$CD$44</definedName>
    <definedName name="dbTTest1_PlyInpFld" localSheetId="2">'RES_en-US'!$CD$44</definedName>
    <definedName name="dbTTest1_PlyInpFld" localSheetId="7">'RES_es-ES'!$CD$44</definedName>
    <definedName name="dbTTest1_PlyInpFld" localSheetId="8">'RES_fi-FI'!$CD$44</definedName>
    <definedName name="dbTTest1_PlyInpFld" localSheetId="1">'RES_fr-FR'!$CD$44</definedName>
    <definedName name="dbTTest1_PlyInpFld" localSheetId="9">'RES_hr-HR'!$CD$44</definedName>
    <definedName name="dbTTest1_PlyInpFld" localSheetId="10">'RES_hu-HU'!$CD$44</definedName>
    <definedName name="dbTTest1_PlyInpFld" localSheetId="11">'RES_it-IT'!$CD$44</definedName>
    <definedName name="dbTTest1_PlyInpFld" localSheetId="12">'RES_ja-JP'!$CD$44</definedName>
    <definedName name="dbTTest1_PlyInpFld" localSheetId="13">'RES_ko-KR'!$CD$44</definedName>
    <definedName name="dbTTest1_PlyInpFld" localSheetId="14">'RES_lv-LV'!$CD$44</definedName>
    <definedName name="dbTTest1_PlyInpFld" localSheetId="15">'RES_nb-NO'!$CD$44</definedName>
    <definedName name="dbTTest1_PlyInpFld" localSheetId="16">'RES_nl-NL'!$CD$44</definedName>
    <definedName name="dbTTest1_PlyInpFld" localSheetId="17">'RES_pl-PL'!$CD$44</definedName>
    <definedName name="dbTTest1_PlyInpFld" localSheetId="18">'RES_pt-BR'!$CD$44</definedName>
    <definedName name="dbTTest1_PlyInpFld" localSheetId="19">'RES_pt-PT'!$CD$44</definedName>
    <definedName name="dbTTest1_PlyInpFld" localSheetId="20">'RES_ro-RO'!$CD$44</definedName>
    <definedName name="dbTTest1_PlyInpFld" localSheetId="21">'RES_ru-RU'!$CD$44</definedName>
    <definedName name="dbTTest1_PlyInpFld" localSheetId="22">'RES_sl-SI'!$CD$44</definedName>
    <definedName name="dbTTest1_PlyInpFld" localSheetId="23">'RES_sv-SE'!$CD$44</definedName>
    <definedName name="dbTTest1_PlyInpFld" localSheetId="24">'RES_tr-TR'!$CD$44</definedName>
    <definedName name="dbTTest1_PlyInpFld" localSheetId="25">'RES_zh-CN'!$CD$44</definedName>
    <definedName name="dbTTest1_PlyInpFld" localSheetId="26">'RES_zh-TW'!$CD$44</definedName>
    <definedName name="dbTTest1_PlyName" localSheetId="3">'RES_cs-CZ'!$CJ$44</definedName>
    <definedName name="dbTTest1_PlyName" localSheetId="4">'RES_da-DK'!$CJ$44</definedName>
    <definedName name="dbTTest1_PlyName" localSheetId="5">'RES_de-DE'!$CJ$44</definedName>
    <definedName name="dbTTest1_PlyName" localSheetId="6">'RES_el-GR'!$CJ$44</definedName>
    <definedName name="dbTTest1_PlyName" localSheetId="2">'RES_en-US'!$CJ$44</definedName>
    <definedName name="dbTTest1_PlyName" localSheetId="7">'RES_es-ES'!$CJ$44</definedName>
    <definedName name="dbTTest1_PlyName" localSheetId="8">'RES_fi-FI'!$CJ$44</definedName>
    <definedName name="dbTTest1_PlyName" localSheetId="1">'RES_fr-FR'!$CJ$44</definedName>
    <definedName name="dbTTest1_PlyName" localSheetId="9">'RES_hr-HR'!$CJ$44</definedName>
    <definedName name="dbTTest1_PlyName" localSheetId="10">'RES_hu-HU'!$CJ$44</definedName>
    <definedName name="dbTTest1_PlyName" localSheetId="11">'RES_it-IT'!$CJ$44</definedName>
    <definedName name="dbTTest1_PlyName" localSheetId="12">'RES_ja-JP'!$CJ$44</definedName>
    <definedName name="dbTTest1_PlyName" localSheetId="13">'RES_ko-KR'!$CJ$44</definedName>
    <definedName name="dbTTest1_PlyName" localSheetId="14">'RES_lv-LV'!$CJ$44</definedName>
    <definedName name="dbTTest1_PlyName" localSheetId="15">'RES_nb-NO'!$CJ$44</definedName>
    <definedName name="dbTTest1_PlyName" localSheetId="16">'RES_nl-NL'!$CJ$44</definedName>
    <definedName name="dbTTest1_PlyName" localSheetId="17">'RES_pl-PL'!$CJ$44</definedName>
    <definedName name="dbTTest1_PlyName" localSheetId="18">'RES_pt-BR'!$CJ$44</definedName>
    <definedName name="dbTTest1_PlyName" localSheetId="19">'RES_pt-PT'!$CJ$44</definedName>
    <definedName name="dbTTest1_PlyName" localSheetId="20">'RES_ro-RO'!$CJ$44</definedName>
    <definedName name="dbTTest1_PlyName" localSheetId="21">'RES_ru-RU'!$CJ$44</definedName>
    <definedName name="dbTTest1_PlyName" localSheetId="22">'RES_sl-SI'!$CJ$44</definedName>
    <definedName name="dbTTest1_PlyName" localSheetId="23">'RES_sv-SE'!$CJ$44</definedName>
    <definedName name="dbTTest1_PlyName" localSheetId="24">'RES_tr-TR'!$CJ$44</definedName>
    <definedName name="dbTTest1_PlyName" localSheetId="25">'RES_zh-CN'!$CJ$44</definedName>
    <definedName name="dbTTest1_PlyName" localSheetId="26">'RES_zh-TW'!$CJ$44</definedName>
    <definedName name="dbTTest1_RangeInpFld" localSheetId="3">'RES_cs-CZ'!$CD$43</definedName>
    <definedName name="dbTTest1_RangeInpFld" localSheetId="4">'RES_da-DK'!$CD$43</definedName>
    <definedName name="dbTTest1_RangeInpFld" localSheetId="5">'RES_de-DE'!$CD$43</definedName>
    <definedName name="dbTTest1_RangeInpFld" localSheetId="6">'RES_el-GR'!$CD$43</definedName>
    <definedName name="dbTTest1_RangeInpFld" localSheetId="2">'RES_en-US'!$CD$43</definedName>
    <definedName name="dbTTest1_RangeInpFld" localSheetId="7">'RES_es-ES'!$CD$43</definedName>
    <definedName name="dbTTest1_RangeInpFld" localSheetId="8">'RES_fi-FI'!$CD$43</definedName>
    <definedName name="dbTTest1_RangeInpFld" localSheetId="1">'RES_fr-FR'!$CD$43</definedName>
    <definedName name="dbTTest1_RangeInpFld" localSheetId="9">'RES_hr-HR'!$CD$43</definedName>
    <definedName name="dbTTest1_RangeInpFld" localSheetId="10">'RES_hu-HU'!$CD$43</definedName>
    <definedName name="dbTTest1_RangeInpFld" localSheetId="11">'RES_it-IT'!$CD$43</definedName>
    <definedName name="dbTTest1_RangeInpFld" localSheetId="12">'RES_ja-JP'!$CD$43</definedName>
    <definedName name="dbTTest1_RangeInpFld" localSheetId="13">'RES_ko-KR'!$CD$43</definedName>
    <definedName name="dbTTest1_RangeInpFld" localSheetId="14">'RES_lv-LV'!$CD$43</definedName>
    <definedName name="dbTTest1_RangeInpFld" localSheetId="15">'RES_nb-NO'!$CD$43</definedName>
    <definedName name="dbTTest1_RangeInpFld" localSheetId="16">'RES_nl-NL'!$CD$43</definedName>
    <definedName name="dbTTest1_RangeInpFld" localSheetId="17">'RES_pl-PL'!$CD$43</definedName>
    <definedName name="dbTTest1_RangeInpFld" localSheetId="18">'RES_pt-BR'!$CD$43</definedName>
    <definedName name="dbTTest1_RangeInpFld" localSheetId="19">'RES_pt-PT'!$CD$43</definedName>
    <definedName name="dbTTest1_RangeInpFld" localSheetId="20">'RES_ro-RO'!$CD$43</definedName>
    <definedName name="dbTTest1_RangeInpFld" localSheetId="21">'RES_ru-RU'!$CD$43</definedName>
    <definedName name="dbTTest1_RangeInpFld" localSheetId="22">'RES_sl-SI'!$CD$43</definedName>
    <definedName name="dbTTest1_RangeInpFld" localSheetId="23">'RES_sv-SE'!$CD$43</definedName>
    <definedName name="dbTTest1_RangeInpFld" localSheetId="24">'RES_tr-TR'!$CD$43</definedName>
    <definedName name="dbTTest1_RangeInpFld" localSheetId="25">'RES_zh-CN'!$CD$43</definedName>
    <definedName name="dbTTest1_RangeInpFld" localSheetId="26">'RES_zh-TW'!$CD$43</definedName>
    <definedName name="dbTTest1_RangeRef" localSheetId="3">'RES_cs-CZ'!$CJ$43</definedName>
    <definedName name="dbTTest1_RangeRef" localSheetId="4">'RES_da-DK'!$CJ$43</definedName>
    <definedName name="dbTTest1_RangeRef" localSheetId="5">'RES_de-DE'!$CJ$43</definedName>
    <definedName name="dbTTest1_RangeRef" localSheetId="6">'RES_el-GR'!$CJ$43</definedName>
    <definedName name="dbTTest1_RangeRef" localSheetId="2">'RES_en-US'!$CJ$43</definedName>
    <definedName name="dbTTest1_RangeRef" localSheetId="7">'RES_es-ES'!$CJ$43</definedName>
    <definedName name="dbTTest1_RangeRef" localSheetId="8">'RES_fi-FI'!$CJ$43</definedName>
    <definedName name="dbTTest1_RangeRef" localSheetId="1">'RES_fr-FR'!$CJ$43</definedName>
    <definedName name="dbTTest1_RangeRef" localSheetId="9">'RES_hr-HR'!$CJ$43</definedName>
    <definedName name="dbTTest1_RangeRef" localSheetId="10">'RES_hu-HU'!$CJ$43</definedName>
    <definedName name="dbTTest1_RangeRef" localSheetId="11">'RES_it-IT'!$CJ$43</definedName>
    <definedName name="dbTTest1_RangeRef" localSheetId="12">'RES_ja-JP'!$CJ$43</definedName>
    <definedName name="dbTTest1_RangeRef" localSheetId="13">'RES_ko-KR'!$CJ$43</definedName>
    <definedName name="dbTTest1_RangeRef" localSheetId="14">'RES_lv-LV'!$CJ$43</definedName>
    <definedName name="dbTTest1_RangeRef" localSheetId="15">'RES_nb-NO'!$CJ$43</definedName>
    <definedName name="dbTTest1_RangeRef" localSheetId="16">'RES_nl-NL'!$CJ$43</definedName>
    <definedName name="dbTTest1_RangeRef" localSheetId="17">'RES_pl-PL'!$CJ$43</definedName>
    <definedName name="dbTTest1_RangeRef" localSheetId="18">'RES_pt-BR'!$CJ$43</definedName>
    <definedName name="dbTTest1_RangeRef" localSheetId="19">'RES_pt-PT'!$CJ$43</definedName>
    <definedName name="dbTTest1_RangeRef" localSheetId="20">'RES_ro-RO'!$CJ$43</definedName>
    <definedName name="dbTTest1_RangeRef" localSheetId="21">'RES_ru-RU'!$CJ$43</definedName>
    <definedName name="dbTTest1_RangeRef" localSheetId="22">'RES_sl-SI'!$CJ$43</definedName>
    <definedName name="dbTTest1_RangeRef" localSheetId="23">'RES_sv-SE'!$CJ$43</definedName>
    <definedName name="dbTTest1_RangeRef" localSheetId="24">'RES_tr-TR'!$CJ$43</definedName>
    <definedName name="dbTTest1_RangeRef" localSheetId="25">'RES_zh-CN'!$CJ$43</definedName>
    <definedName name="dbTTest1_RangeRef" localSheetId="26">'RES_zh-TW'!$CJ$43</definedName>
    <definedName name="dbTTest1_VarRng1" localSheetId="3">'RES_cs-CZ'!$CJ$30</definedName>
    <definedName name="dbTTest1_VarRng1" localSheetId="4">'RES_da-DK'!$CJ$30</definedName>
    <definedName name="dbTTest1_VarRng1" localSheetId="5">'RES_de-DE'!$CJ$30</definedName>
    <definedName name="dbTTest1_VarRng1" localSheetId="6">'RES_el-GR'!$CJ$30</definedName>
    <definedName name="dbTTest1_VarRng1" localSheetId="2">'RES_en-US'!$CJ$30</definedName>
    <definedName name="dbTTest1_VarRng1" localSheetId="7">'RES_es-ES'!$CJ$30</definedName>
    <definedName name="dbTTest1_VarRng1" localSheetId="8">'RES_fi-FI'!$CJ$30</definedName>
    <definedName name="dbTTest1_VarRng1" localSheetId="1">'RES_fr-FR'!$CJ$30</definedName>
    <definedName name="dbTTest1_VarRng1" localSheetId="9">'RES_hr-HR'!$CJ$30</definedName>
    <definedName name="dbTTest1_VarRng1" localSheetId="10">'RES_hu-HU'!$CJ$30</definedName>
    <definedName name="dbTTest1_VarRng1" localSheetId="11">'RES_it-IT'!$CJ$30</definedName>
    <definedName name="dbTTest1_VarRng1" localSheetId="12">'RES_ja-JP'!$CJ$30</definedName>
    <definedName name="dbTTest1_VarRng1" localSheetId="13">'RES_ko-KR'!$CJ$30</definedName>
    <definedName name="dbTTest1_VarRng1" localSheetId="14">'RES_lv-LV'!$CJ$30</definedName>
    <definedName name="dbTTest1_VarRng1" localSheetId="15">'RES_nb-NO'!$CJ$30</definedName>
    <definedName name="dbTTest1_VarRng1" localSheetId="16">'RES_nl-NL'!$CJ$30</definedName>
    <definedName name="dbTTest1_VarRng1" localSheetId="17">'RES_pl-PL'!$CJ$30</definedName>
    <definedName name="dbTTest1_VarRng1" localSheetId="18">'RES_pt-BR'!$CJ$30</definedName>
    <definedName name="dbTTest1_VarRng1" localSheetId="19">'RES_pt-PT'!$CJ$30</definedName>
    <definedName name="dbTTest1_VarRng1" localSheetId="20">'RES_ro-RO'!$CJ$30</definedName>
    <definedName name="dbTTest1_VarRng1" localSheetId="21">'RES_ru-RU'!$CJ$30</definedName>
    <definedName name="dbTTest1_VarRng1" localSheetId="22">'RES_sl-SI'!$CJ$30</definedName>
    <definedName name="dbTTest1_VarRng1" localSheetId="23">'RES_sv-SE'!$CJ$30</definedName>
    <definedName name="dbTTest1_VarRng1" localSheetId="24">'RES_tr-TR'!$CJ$30</definedName>
    <definedName name="dbTTest1_VarRng1" localSheetId="25">'RES_zh-CN'!$CJ$30</definedName>
    <definedName name="dbTTest1_VarRng1" localSheetId="26">'RES_zh-TW'!$CJ$30</definedName>
    <definedName name="dbTTest1_VarRng2" localSheetId="3">'RES_cs-CZ'!$CJ$32</definedName>
    <definedName name="dbTTest1_VarRng2" localSheetId="4">'RES_da-DK'!$CJ$32</definedName>
    <definedName name="dbTTest1_VarRng2" localSheetId="5">'RES_de-DE'!$CJ$32</definedName>
    <definedName name="dbTTest1_VarRng2" localSheetId="6">'RES_el-GR'!$CJ$32</definedName>
    <definedName name="dbTTest1_VarRng2" localSheetId="2">'RES_en-US'!$CJ$32</definedName>
    <definedName name="dbTTest1_VarRng2" localSheetId="7">'RES_es-ES'!$CJ$32</definedName>
    <definedName name="dbTTest1_VarRng2" localSheetId="8">'RES_fi-FI'!$CJ$32</definedName>
    <definedName name="dbTTest1_VarRng2" localSheetId="1">'RES_fr-FR'!$CJ$32</definedName>
    <definedName name="dbTTest1_VarRng2" localSheetId="9">'RES_hr-HR'!$CJ$32</definedName>
    <definedName name="dbTTest1_VarRng2" localSheetId="10">'RES_hu-HU'!$CJ$32</definedName>
    <definedName name="dbTTest1_VarRng2" localSheetId="11">'RES_it-IT'!$CJ$32</definedName>
    <definedName name="dbTTest1_VarRng2" localSheetId="12">'RES_ja-JP'!$CJ$32</definedName>
    <definedName name="dbTTest1_VarRng2" localSheetId="13">'RES_ko-KR'!$CJ$32</definedName>
    <definedName name="dbTTest1_VarRng2" localSheetId="14">'RES_lv-LV'!$CJ$32</definedName>
    <definedName name="dbTTest1_VarRng2" localSheetId="15">'RES_nb-NO'!$CJ$32</definedName>
    <definedName name="dbTTest1_VarRng2" localSheetId="16">'RES_nl-NL'!$CJ$32</definedName>
    <definedName name="dbTTest1_VarRng2" localSheetId="17">'RES_pl-PL'!$CJ$32</definedName>
    <definedName name="dbTTest1_VarRng2" localSheetId="18">'RES_pt-BR'!$CJ$32</definedName>
    <definedName name="dbTTest1_VarRng2" localSheetId="19">'RES_pt-PT'!$CJ$32</definedName>
    <definedName name="dbTTest1_VarRng2" localSheetId="20">'RES_ro-RO'!$CJ$32</definedName>
    <definedName name="dbTTest1_VarRng2" localSheetId="21">'RES_ru-RU'!$CJ$32</definedName>
    <definedName name="dbTTest1_VarRng2" localSheetId="22">'RES_sl-SI'!$CJ$32</definedName>
    <definedName name="dbTTest1_VarRng2" localSheetId="23">'RES_sv-SE'!$CJ$32</definedName>
    <definedName name="dbTTest1_VarRng2" localSheetId="24">'RES_tr-TR'!$CJ$32</definedName>
    <definedName name="dbTTest1_VarRng2" localSheetId="25">'RES_zh-CN'!$CJ$32</definedName>
    <definedName name="dbTTest1_VarRng2" localSheetId="26">'RES_zh-TW'!$CJ$32</definedName>
    <definedName name="dbTTest1Title" localSheetId="3">'RES_cs-CZ'!$CI$25</definedName>
    <definedName name="dbTTest1Title" localSheetId="4">'RES_da-DK'!$CI$25</definedName>
    <definedName name="dbTTest1Title" localSheetId="5">'RES_de-DE'!$CI$25</definedName>
    <definedName name="dbTTest1Title" localSheetId="6">'RES_el-GR'!$CI$25</definedName>
    <definedName name="dbTTest1Title" localSheetId="2">'RES_en-US'!$CI$25</definedName>
    <definedName name="dbTTest1Title" localSheetId="7">'RES_es-ES'!$CI$25</definedName>
    <definedName name="dbTTest1Title" localSheetId="8">'RES_fi-FI'!$CI$25</definedName>
    <definedName name="dbTTest1Title" localSheetId="1">'RES_fr-FR'!$CI$25</definedName>
    <definedName name="dbTTest1Title" localSheetId="9">'RES_hr-HR'!$CI$25</definedName>
    <definedName name="dbTTest1Title" localSheetId="10">'RES_hu-HU'!$CI$25</definedName>
    <definedName name="dbTTest1Title" localSheetId="11">'RES_it-IT'!$CI$25</definedName>
    <definedName name="dbTTest1Title" localSheetId="12">'RES_ja-JP'!$CI$25</definedName>
    <definedName name="dbTTest1Title" localSheetId="13">'RES_ko-KR'!$CI$25</definedName>
    <definedName name="dbTTest1Title" localSheetId="14">'RES_lv-LV'!$CI$25</definedName>
    <definedName name="dbTTest1Title" localSheetId="15">'RES_nb-NO'!$CI$25</definedName>
    <definedName name="dbTTest1Title" localSheetId="16">'RES_nl-NL'!$CI$25</definedName>
    <definedName name="dbTTest1Title" localSheetId="17">'RES_pl-PL'!$CI$25</definedName>
    <definedName name="dbTTest1Title" localSheetId="18">'RES_pt-BR'!$CI$25</definedName>
    <definedName name="dbTTest1Title" localSheetId="19">'RES_pt-PT'!$CI$25</definedName>
    <definedName name="dbTTest1Title" localSheetId="20">'RES_ro-RO'!$CI$25</definedName>
    <definedName name="dbTTest1Title" localSheetId="21">'RES_ru-RU'!$CI$25</definedName>
    <definedName name="dbTTest1Title" localSheetId="22">'RES_sl-SI'!$CI$25</definedName>
    <definedName name="dbTTest1Title" localSheetId="23">'RES_sv-SE'!$CI$25</definedName>
    <definedName name="dbTTest1Title" localSheetId="24">'RES_tr-TR'!$CI$25</definedName>
    <definedName name="dbTTest1Title" localSheetId="25">'RES_zh-CN'!$CI$25</definedName>
    <definedName name="dbTTest1Title" localSheetId="26">'RES_zh-TW'!$CI$25</definedName>
    <definedName name="dbTTest2" localSheetId="3">'RES_cs-CZ'!$CD$50:$CJ$70</definedName>
    <definedName name="dbTTest2" localSheetId="4">'RES_da-DK'!$CD$50:$CJ$70</definedName>
    <definedName name="dbTTest2" localSheetId="5">'RES_de-DE'!$CD$50:$CJ$70</definedName>
    <definedName name="dbTTest2" localSheetId="6">'RES_el-GR'!$CD$50:$CJ$70</definedName>
    <definedName name="dbTTest2" localSheetId="2">'RES_en-US'!$CD$50:$CJ$70</definedName>
    <definedName name="dbTTest2" localSheetId="7">'RES_es-ES'!$CD$50:$CJ$70</definedName>
    <definedName name="dbTTest2" localSheetId="8">'RES_fi-FI'!$CD$50:$CJ$70</definedName>
    <definedName name="dbTTest2" localSheetId="1">'RES_fr-FR'!$CD$50:$CJ$70</definedName>
    <definedName name="dbTTest2" localSheetId="9">'RES_hr-HR'!$CD$50:$CJ$70</definedName>
    <definedName name="dbTTest2" localSheetId="10">'RES_hu-HU'!$CD$50:$CJ$70</definedName>
    <definedName name="dbTTest2" localSheetId="11">'RES_it-IT'!$CD$50:$CJ$70</definedName>
    <definedName name="dbTTest2" localSheetId="12">'RES_ja-JP'!$CD$50:$CJ$70</definedName>
    <definedName name="dbTTest2" localSheetId="13">'RES_ko-KR'!$CD$50:$CJ$70</definedName>
    <definedName name="dbTTest2" localSheetId="14">'RES_lv-LV'!$CD$50:$CJ$70</definedName>
    <definedName name="dbTTest2" localSheetId="15">'RES_nb-NO'!$CD$50:$CJ$70</definedName>
    <definedName name="dbTTest2" localSheetId="16">'RES_nl-NL'!$CD$50:$CJ$70</definedName>
    <definedName name="dbTTest2" localSheetId="17">'RES_pl-PL'!$CD$50:$CJ$70</definedName>
    <definedName name="dbTTest2" localSheetId="18">'RES_pt-BR'!$CD$50:$CJ$70</definedName>
    <definedName name="dbTTest2" localSheetId="19">'RES_pt-PT'!$CD$50:$CJ$70</definedName>
    <definedName name="dbTTest2" localSheetId="20">'RES_ro-RO'!$CD$50:$CJ$70</definedName>
    <definedName name="dbTTest2" localSheetId="21">'RES_ru-RU'!$CD$50:$CJ$70</definedName>
    <definedName name="dbTTest2" localSheetId="22">'RES_sl-SI'!$CD$50:$CJ$70</definedName>
    <definedName name="dbTTest2" localSheetId="23">'RES_sv-SE'!$CD$50:$CJ$70</definedName>
    <definedName name="dbTTest2" localSheetId="24">'RES_tr-TR'!$CD$50:$CJ$70</definedName>
    <definedName name="dbTTest2" localSheetId="25">'RES_zh-CN'!$CD$50:$CJ$70</definedName>
    <definedName name="dbTTest2" localSheetId="26">'RES_zh-TW'!$CD$50:$CJ$70</definedName>
    <definedName name="dbTTest2_AlphaValue" localSheetId="3">'RES_cs-CZ'!$CJ$62</definedName>
    <definedName name="dbTTest2_AlphaValue" localSheetId="4">'RES_da-DK'!$CJ$62</definedName>
    <definedName name="dbTTest2_AlphaValue" localSheetId="5">'RES_de-DE'!$CJ$62</definedName>
    <definedName name="dbTTest2_AlphaValue" localSheetId="6">'RES_el-GR'!$CJ$62</definedName>
    <definedName name="dbTTest2_AlphaValue" localSheetId="2">'RES_en-US'!$CJ$62</definedName>
    <definedName name="dbTTest2_AlphaValue" localSheetId="7">'RES_es-ES'!$CJ$62</definedName>
    <definedName name="dbTTest2_AlphaValue" localSheetId="8">'RES_fi-FI'!$CJ$62</definedName>
    <definedName name="dbTTest2_AlphaValue" localSheetId="1">'RES_fr-FR'!$CJ$62</definedName>
    <definedName name="dbTTest2_AlphaValue" localSheetId="9">'RES_hr-HR'!$CJ$62</definedName>
    <definedName name="dbTTest2_AlphaValue" localSheetId="10">'RES_hu-HU'!$CJ$62</definedName>
    <definedName name="dbTTest2_AlphaValue" localSheetId="11">'RES_it-IT'!$CJ$62</definedName>
    <definedName name="dbTTest2_AlphaValue" localSheetId="12">'RES_ja-JP'!$CJ$62</definedName>
    <definedName name="dbTTest2_AlphaValue" localSheetId="13">'RES_ko-KR'!$CJ$62</definedName>
    <definedName name="dbTTest2_AlphaValue" localSheetId="14">'RES_lv-LV'!$CJ$62</definedName>
    <definedName name="dbTTest2_AlphaValue" localSheetId="15">'RES_nb-NO'!$CJ$62</definedName>
    <definedName name="dbTTest2_AlphaValue" localSheetId="16">'RES_nl-NL'!$CJ$62</definedName>
    <definedName name="dbTTest2_AlphaValue" localSheetId="17">'RES_pl-PL'!$CJ$62</definedName>
    <definedName name="dbTTest2_AlphaValue" localSheetId="18">'RES_pt-BR'!$CJ$62</definedName>
    <definedName name="dbTTest2_AlphaValue" localSheetId="19">'RES_pt-PT'!$CJ$62</definedName>
    <definedName name="dbTTest2_AlphaValue" localSheetId="20">'RES_ro-RO'!$CJ$62</definedName>
    <definedName name="dbTTest2_AlphaValue" localSheetId="21">'RES_ru-RU'!$CJ$62</definedName>
    <definedName name="dbTTest2_AlphaValue" localSheetId="22">'RES_sl-SI'!$CJ$62</definedName>
    <definedName name="dbTTest2_AlphaValue" localSheetId="23">'RES_sv-SE'!$CJ$62</definedName>
    <definedName name="dbTTest2_AlphaValue" localSheetId="24">'RES_tr-TR'!$CJ$62</definedName>
    <definedName name="dbTTest2_AlphaValue" localSheetId="25">'RES_zh-CN'!$CJ$62</definedName>
    <definedName name="dbTTest2_AlphaValue" localSheetId="26">'RES_zh-TW'!$CJ$62</definedName>
    <definedName name="dbTTest2_LabelText" localSheetId="3">'RES_cs-CZ'!$CI$60</definedName>
    <definedName name="dbTTest2_LabelText" localSheetId="4">'RES_da-DK'!$CI$60</definedName>
    <definedName name="dbTTest2_LabelText" localSheetId="5">'RES_de-DE'!$CI$60</definedName>
    <definedName name="dbTTest2_LabelText" localSheetId="6">'RES_el-GR'!$CI$60</definedName>
    <definedName name="dbTTest2_LabelText" localSheetId="2">'RES_en-US'!$CI$60</definedName>
    <definedName name="dbTTest2_LabelText" localSheetId="7">'RES_es-ES'!$CI$60</definedName>
    <definedName name="dbTTest2_LabelText" localSheetId="8">'RES_fi-FI'!$CI$60</definedName>
    <definedName name="dbTTest2_LabelText" localSheetId="1">'RES_fr-FR'!$CI$60</definedName>
    <definedName name="dbTTest2_LabelText" localSheetId="9">'RES_hr-HR'!$CI$60</definedName>
    <definedName name="dbTTest2_LabelText" localSheetId="10">'RES_hu-HU'!$CI$60</definedName>
    <definedName name="dbTTest2_LabelText" localSheetId="11">'RES_it-IT'!$CI$60</definedName>
    <definedName name="dbTTest2_LabelText" localSheetId="12">'RES_ja-JP'!$CI$60</definedName>
    <definedName name="dbTTest2_LabelText" localSheetId="13">'RES_ko-KR'!$CI$60</definedName>
    <definedName name="dbTTest2_LabelText" localSheetId="14">'RES_lv-LV'!$CI$60</definedName>
    <definedName name="dbTTest2_LabelText" localSheetId="15">'RES_nb-NO'!$CI$60</definedName>
    <definedName name="dbTTest2_LabelText" localSheetId="16">'RES_nl-NL'!$CI$60</definedName>
    <definedName name="dbTTest2_LabelText" localSheetId="17">'RES_pl-PL'!$CI$60</definedName>
    <definedName name="dbTTest2_LabelText" localSheetId="18">'RES_pt-BR'!$CI$60</definedName>
    <definedName name="dbTTest2_LabelText" localSheetId="19">'RES_pt-PT'!$CI$60</definedName>
    <definedName name="dbTTest2_LabelText" localSheetId="20">'RES_ro-RO'!$CI$60</definedName>
    <definedName name="dbTTest2_LabelText" localSheetId="21">'RES_ru-RU'!$CI$60</definedName>
    <definedName name="dbTTest2_LabelText" localSheetId="22">'RES_sl-SI'!$CI$60</definedName>
    <definedName name="dbTTest2_LabelText" localSheetId="23">'RES_sv-SE'!$CI$60</definedName>
    <definedName name="dbTTest2_LabelText" localSheetId="24">'RES_tr-TR'!$CI$60</definedName>
    <definedName name="dbTTest2_LabelText" localSheetId="25">'RES_zh-CN'!$CI$60</definedName>
    <definedName name="dbTTest2_LabelText" localSheetId="26">'RES_zh-TW'!$CI$60</definedName>
    <definedName name="dbTTest2_LblChkBox" localSheetId="3">'RES_cs-CZ'!$CJ$60</definedName>
    <definedName name="dbTTest2_LblChkBox" localSheetId="4">'RES_da-DK'!$CJ$60</definedName>
    <definedName name="dbTTest2_LblChkBox" localSheetId="5">'RES_de-DE'!$CJ$60</definedName>
    <definedName name="dbTTest2_LblChkBox" localSheetId="6">'RES_el-GR'!$CJ$60</definedName>
    <definedName name="dbTTest2_LblChkBox" localSheetId="2">'RES_en-US'!$CJ$60</definedName>
    <definedName name="dbTTest2_LblChkBox" localSheetId="7">'RES_es-ES'!$CJ$60</definedName>
    <definedName name="dbTTest2_LblChkBox" localSheetId="8">'RES_fi-FI'!$CJ$60</definedName>
    <definedName name="dbTTest2_LblChkBox" localSheetId="1">'RES_fr-FR'!$CJ$60</definedName>
    <definedName name="dbTTest2_LblChkBox" localSheetId="9">'RES_hr-HR'!$CJ$60</definedName>
    <definedName name="dbTTest2_LblChkBox" localSheetId="10">'RES_hu-HU'!$CJ$60</definedName>
    <definedName name="dbTTest2_LblChkBox" localSheetId="11">'RES_it-IT'!$CJ$60</definedName>
    <definedName name="dbTTest2_LblChkBox" localSheetId="12">'RES_ja-JP'!$CJ$60</definedName>
    <definedName name="dbTTest2_LblChkBox" localSheetId="13">'RES_ko-KR'!$CJ$60</definedName>
    <definedName name="dbTTest2_LblChkBox" localSheetId="14">'RES_lv-LV'!$CJ$60</definedName>
    <definedName name="dbTTest2_LblChkBox" localSheetId="15">'RES_nb-NO'!$CJ$60</definedName>
    <definedName name="dbTTest2_LblChkBox" localSheetId="16">'RES_nl-NL'!$CJ$60</definedName>
    <definedName name="dbTTest2_LblChkBox" localSheetId="17">'RES_pl-PL'!$CJ$60</definedName>
    <definedName name="dbTTest2_LblChkBox" localSheetId="18">'RES_pt-BR'!$CJ$60</definedName>
    <definedName name="dbTTest2_LblChkBox" localSheetId="19">'RES_pt-PT'!$CJ$60</definedName>
    <definedName name="dbTTest2_LblChkBox" localSheetId="20">'RES_ro-RO'!$CJ$60</definedName>
    <definedName name="dbTTest2_LblChkBox" localSheetId="21">'RES_ru-RU'!$CJ$60</definedName>
    <definedName name="dbTTest2_LblChkBox" localSheetId="22">'RES_sl-SI'!$CJ$60</definedName>
    <definedName name="dbTTest2_LblChkBox" localSheetId="23">'RES_sv-SE'!$CJ$60</definedName>
    <definedName name="dbTTest2_LblChkBox" localSheetId="24">'RES_tr-TR'!$CJ$60</definedName>
    <definedName name="dbTTest2_LblChkBox" localSheetId="25">'RES_zh-CN'!$CJ$60</definedName>
    <definedName name="dbTTest2_LblChkBox" localSheetId="26">'RES_zh-TW'!$CJ$60</definedName>
    <definedName name="dbTTest2_MeanDiff" localSheetId="3">'RES_cs-CZ'!$CJ$59</definedName>
    <definedName name="dbTTest2_MeanDiff" localSheetId="4">'RES_da-DK'!$CJ$59</definedName>
    <definedName name="dbTTest2_MeanDiff" localSheetId="5">'RES_de-DE'!$CJ$59</definedName>
    <definedName name="dbTTest2_MeanDiff" localSheetId="6">'RES_el-GR'!$CJ$59</definedName>
    <definedName name="dbTTest2_MeanDiff" localSheetId="2">'RES_en-US'!$CJ$59</definedName>
    <definedName name="dbTTest2_MeanDiff" localSheetId="7">'RES_es-ES'!$CJ$59</definedName>
    <definedName name="dbTTest2_MeanDiff" localSheetId="8">'RES_fi-FI'!$CJ$59</definedName>
    <definedName name="dbTTest2_MeanDiff" localSheetId="1">'RES_fr-FR'!$CJ$59</definedName>
    <definedName name="dbTTest2_MeanDiff" localSheetId="9">'RES_hr-HR'!$CJ$59</definedName>
    <definedName name="dbTTest2_MeanDiff" localSheetId="10">'RES_hu-HU'!$CJ$59</definedName>
    <definedName name="dbTTest2_MeanDiff" localSheetId="11">'RES_it-IT'!$CJ$59</definedName>
    <definedName name="dbTTest2_MeanDiff" localSheetId="12">'RES_ja-JP'!$CJ$59</definedName>
    <definedName name="dbTTest2_MeanDiff" localSheetId="13">'RES_ko-KR'!$CJ$59</definedName>
    <definedName name="dbTTest2_MeanDiff" localSheetId="14">'RES_lv-LV'!$CJ$59</definedName>
    <definedName name="dbTTest2_MeanDiff" localSheetId="15">'RES_nb-NO'!$CJ$59</definedName>
    <definedName name="dbTTest2_MeanDiff" localSheetId="16">'RES_nl-NL'!$CJ$59</definedName>
    <definedName name="dbTTest2_MeanDiff" localSheetId="17">'RES_pl-PL'!$CJ$59</definedName>
    <definedName name="dbTTest2_MeanDiff" localSheetId="18">'RES_pt-BR'!$CJ$59</definedName>
    <definedName name="dbTTest2_MeanDiff" localSheetId="19">'RES_pt-PT'!$CJ$59</definedName>
    <definedName name="dbTTest2_MeanDiff" localSheetId="20">'RES_ro-RO'!$CJ$59</definedName>
    <definedName name="dbTTest2_MeanDiff" localSheetId="21">'RES_ru-RU'!$CJ$59</definedName>
    <definedName name="dbTTest2_MeanDiff" localSheetId="22">'RES_sl-SI'!$CJ$59</definedName>
    <definedName name="dbTTest2_MeanDiff" localSheetId="23">'RES_sv-SE'!$CJ$59</definedName>
    <definedName name="dbTTest2_MeanDiff" localSheetId="24">'RES_tr-TR'!$CJ$59</definedName>
    <definedName name="dbTTest2_MeanDiff" localSheetId="25">'RES_zh-CN'!$CJ$59</definedName>
    <definedName name="dbTTest2_MeanDiff" localSheetId="26">'RES_zh-TW'!$CJ$59</definedName>
    <definedName name="dbTTest2_NewRef" localSheetId="3">'RES_cs-CZ'!$CJ$69</definedName>
    <definedName name="dbTTest2_NewRef" localSheetId="4">'RES_da-DK'!$CJ$69</definedName>
    <definedName name="dbTTest2_NewRef" localSheetId="5">'RES_de-DE'!$CJ$69</definedName>
    <definedName name="dbTTest2_NewRef" localSheetId="6">'RES_el-GR'!$CJ$69</definedName>
    <definedName name="dbTTest2_NewRef" localSheetId="2">'RES_en-US'!$CJ$69</definedName>
    <definedName name="dbTTest2_NewRef" localSheetId="7">'RES_es-ES'!$CJ$69</definedName>
    <definedName name="dbTTest2_NewRef" localSheetId="8">'RES_fi-FI'!$CJ$69</definedName>
    <definedName name="dbTTest2_NewRef" localSheetId="1">'RES_fr-FR'!$CJ$69</definedName>
    <definedName name="dbTTest2_NewRef" localSheetId="9">'RES_hr-HR'!$CJ$69</definedName>
    <definedName name="dbTTest2_NewRef" localSheetId="10">'RES_hu-HU'!$CJ$69</definedName>
    <definedName name="dbTTest2_NewRef" localSheetId="11">'RES_it-IT'!$CJ$69</definedName>
    <definedName name="dbTTest2_NewRef" localSheetId="12">'RES_ja-JP'!$CJ$69</definedName>
    <definedName name="dbTTest2_NewRef" localSheetId="13">'RES_ko-KR'!$CJ$69</definedName>
    <definedName name="dbTTest2_NewRef" localSheetId="14">'RES_lv-LV'!$CJ$69</definedName>
    <definedName name="dbTTest2_NewRef" localSheetId="15">'RES_nb-NO'!$CJ$69</definedName>
    <definedName name="dbTTest2_NewRef" localSheetId="16">'RES_nl-NL'!$CJ$69</definedName>
    <definedName name="dbTTest2_NewRef" localSheetId="17">'RES_pl-PL'!$CJ$69</definedName>
    <definedName name="dbTTest2_NewRef" localSheetId="18">'RES_pt-BR'!$CJ$69</definedName>
    <definedName name="dbTTest2_NewRef" localSheetId="19">'RES_pt-PT'!$CJ$69</definedName>
    <definedName name="dbTTest2_NewRef" localSheetId="20">'RES_ro-RO'!$CJ$69</definedName>
    <definedName name="dbTTest2_NewRef" localSheetId="21">'RES_ru-RU'!$CJ$69</definedName>
    <definedName name="dbTTest2_NewRef" localSheetId="22">'RES_sl-SI'!$CJ$69</definedName>
    <definedName name="dbTTest2_NewRef" localSheetId="23">'RES_sv-SE'!$CJ$69</definedName>
    <definedName name="dbTTest2_NewRef" localSheetId="24">'RES_tr-TR'!$CJ$69</definedName>
    <definedName name="dbTTest2_NewRef" localSheetId="25">'RES_zh-CN'!$CJ$69</definedName>
    <definedName name="dbTTest2_NewRef" localSheetId="26">'RES_zh-TW'!$CJ$69</definedName>
    <definedName name="dbTTest2_NewType" localSheetId="3">'RES_cs-CZ'!$CD$69</definedName>
    <definedName name="dbTTest2_NewType" localSheetId="4">'RES_da-DK'!$CD$69</definedName>
    <definedName name="dbTTest2_NewType" localSheetId="5">'RES_de-DE'!$CD$69</definedName>
    <definedName name="dbTTest2_NewType" localSheetId="6">'RES_el-GR'!$CD$69</definedName>
    <definedName name="dbTTest2_NewType" localSheetId="2">'RES_en-US'!$CD$69</definedName>
    <definedName name="dbTTest2_NewType" localSheetId="7">'RES_es-ES'!$CD$69</definedName>
    <definedName name="dbTTest2_NewType" localSheetId="8">'RES_fi-FI'!$CD$69</definedName>
    <definedName name="dbTTest2_NewType" localSheetId="1">'RES_fr-FR'!$CD$69</definedName>
    <definedName name="dbTTest2_NewType" localSheetId="9">'RES_hr-HR'!$CD$69</definedName>
    <definedName name="dbTTest2_NewType" localSheetId="10">'RES_hu-HU'!$CD$69</definedName>
    <definedName name="dbTTest2_NewType" localSheetId="11">'RES_it-IT'!$CD$69</definedName>
    <definedName name="dbTTest2_NewType" localSheetId="12">'RES_ja-JP'!$CD$69</definedName>
    <definedName name="dbTTest2_NewType" localSheetId="13">'RES_ko-KR'!$CD$69</definedName>
    <definedName name="dbTTest2_NewType" localSheetId="14">'RES_lv-LV'!$CD$69</definedName>
    <definedName name="dbTTest2_NewType" localSheetId="15">'RES_nb-NO'!$CD$69</definedName>
    <definedName name="dbTTest2_NewType" localSheetId="16">'RES_nl-NL'!$CD$69</definedName>
    <definedName name="dbTTest2_NewType" localSheetId="17">'RES_pl-PL'!$CD$69</definedName>
    <definedName name="dbTTest2_NewType" localSheetId="18">'RES_pt-BR'!$CD$69</definedName>
    <definedName name="dbTTest2_NewType" localSheetId="19">'RES_pt-PT'!$CD$69</definedName>
    <definedName name="dbTTest2_NewType" localSheetId="20">'RES_ro-RO'!$CD$69</definedName>
    <definedName name="dbTTest2_NewType" localSheetId="21">'RES_ru-RU'!$CD$69</definedName>
    <definedName name="dbTTest2_NewType" localSheetId="22">'RES_sl-SI'!$CD$69</definedName>
    <definedName name="dbTTest2_NewType" localSheetId="23">'RES_sv-SE'!$CD$69</definedName>
    <definedName name="dbTTest2_NewType" localSheetId="24">'RES_tr-TR'!$CD$69</definedName>
    <definedName name="dbTTest2_NewType" localSheetId="25">'RES_zh-CN'!$CD$69</definedName>
    <definedName name="dbTTest2_NewType" localSheetId="26">'RES_zh-TW'!$CD$69</definedName>
    <definedName name="dbTTest2_OutOption" localSheetId="3">'RES_cs-CZ'!$CJ$64</definedName>
    <definedName name="dbTTest2_OutOption" localSheetId="4">'RES_da-DK'!$CJ$64</definedName>
    <definedName name="dbTTest2_OutOption" localSheetId="5">'RES_de-DE'!$CJ$64</definedName>
    <definedName name="dbTTest2_OutOption" localSheetId="6">'RES_el-GR'!$CJ$64</definedName>
    <definedName name="dbTTest2_OutOption" localSheetId="2">'RES_en-US'!$CJ$64</definedName>
    <definedName name="dbTTest2_OutOption" localSheetId="7">'RES_es-ES'!$CJ$64</definedName>
    <definedName name="dbTTest2_OutOption" localSheetId="8">'RES_fi-FI'!$CJ$64</definedName>
    <definedName name="dbTTest2_OutOption" localSheetId="1">'RES_fr-FR'!$CJ$64</definedName>
    <definedName name="dbTTest2_OutOption" localSheetId="9">'RES_hr-HR'!$CJ$64</definedName>
    <definedName name="dbTTest2_OutOption" localSheetId="10">'RES_hu-HU'!$CJ$64</definedName>
    <definedName name="dbTTest2_OutOption" localSheetId="11">'RES_it-IT'!$CJ$64</definedName>
    <definedName name="dbTTest2_OutOption" localSheetId="12">'RES_ja-JP'!$CJ$64</definedName>
    <definedName name="dbTTest2_OutOption" localSheetId="13">'RES_ko-KR'!$CJ$64</definedName>
    <definedName name="dbTTest2_OutOption" localSheetId="14">'RES_lv-LV'!$CJ$64</definedName>
    <definedName name="dbTTest2_OutOption" localSheetId="15">'RES_nb-NO'!$CJ$64</definedName>
    <definedName name="dbTTest2_OutOption" localSheetId="16">'RES_nl-NL'!$CJ$64</definedName>
    <definedName name="dbTTest2_OutOption" localSheetId="17">'RES_pl-PL'!$CJ$64</definedName>
    <definedName name="dbTTest2_OutOption" localSheetId="18">'RES_pt-BR'!$CJ$64</definedName>
    <definedName name="dbTTest2_OutOption" localSheetId="19">'RES_pt-PT'!$CJ$64</definedName>
    <definedName name="dbTTest2_OutOption" localSheetId="20">'RES_ro-RO'!$CJ$64</definedName>
    <definedName name="dbTTest2_OutOption" localSheetId="21">'RES_ru-RU'!$CJ$64</definedName>
    <definedName name="dbTTest2_OutOption" localSheetId="22">'RES_sl-SI'!$CJ$64</definedName>
    <definedName name="dbTTest2_OutOption" localSheetId="23">'RES_sv-SE'!$CJ$64</definedName>
    <definedName name="dbTTest2_OutOption" localSheetId="24">'RES_tr-TR'!$CJ$64</definedName>
    <definedName name="dbTTest2_OutOption" localSheetId="25">'RES_zh-CN'!$CJ$64</definedName>
    <definedName name="dbTTest2_OutOption" localSheetId="26">'RES_zh-TW'!$CJ$64</definedName>
    <definedName name="dbTTest2_OutRef" localSheetId="3">'RES_cs-CZ'!$CJ$68</definedName>
    <definedName name="dbTTest2_OutRef" localSheetId="4">'RES_da-DK'!$CJ$68</definedName>
    <definedName name="dbTTest2_OutRef" localSheetId="5">'RES_de-DE'!$CJ$68</definedName>
    <definedName name="dbTTest2_OutRef" localSheetId="6">'RES_el-GR'!$CJ$68</definedName>
    <definedName name="dbTTest2_OutRef" localSheetId="2">'RES_en-US'!$CJ$68</definedName>
    <definedName name="dbTTest2_OutRef" localSheetId="7">'RES_es-ES'!$CJ$68</definedName>
    <definedName name="dbTTest2_OutRef" localSheetId="8">'RES_fi-FI'!$CJ$68</definedName>
    <definedName name="dbTTest2_OutRef" localSheetId="1">'RES_fr-FR'!$CJ$68</definedName>
    <definedName name="dbTTest2_OutRef" localSheetId="9">'RES_hr-HR'!$CJ$68</definedName>
    <definedName name="dbTTest2_OutRef" localSheetId="10">'RES_hu-HU'!$CJ$68</definedName>
    <definedName name="dbTTest2_OutRef" localSheetId="11">'RES_it-IT'!$CJ$68</definedName>
    <definedName name="dbTTest2_OutRef" localSheetId="12">'RES_ja-JP'!$CJ$68</definedName>
    <definedName name="dbTTest2_OutRef" localSheetId="13">'RES_ko-KR'!$CJ$68</definedName>
    <definedName name="dbTTest2_OutRef" localSheetId="14">'RES_lv-LV'!$CJ$68</definedName>
    <definedName name="dbTTest2_OutRef" localSheetId="15">'RES_nb-NO'!$CJ$68</definedName>
    <definedName name="dbTTest2_OutRef" localSheetId="16">'RES_nl-NL'!$CJ$68</definedName>
    <definedName name="dbTTest2_OutRef" localSheetId="17">'RES_pl-PL'!$CJ$68</definedName>
    <definedName name="dbTTest2_OutRef" localSheetId="18">'RES_pt-BR'!$CJ$68</definedName>
    <definedName name="dbTTest2_OutRef" localSheetId="19">'RES_pt-PT'!$CJ$68</definedName>
    <definedName name="dbTTest2_OutRef" localSheetId="20">'RES_ro-RO'!$CJ$68</definedName>
    <definedName name="dbTTest2_OutRef" localSheetId="21">'RES_ru-RU'!$CJ$68</definedName>
    <definedName name="dbTTest2_OutRef" localSheetId="22">'RES_sl-SI'!$CJ$68</definedName>
    <definedName name="dbTTest2_OutRef" localSheetId="23">'RES_sv-SE'!$CJ$68</definedName>
    <definedName name="dbTTest2_OutRef" localSheetId="24">'RES_tr-TR'!$CJ$68</definedName>
    <definedName name="dbTTest2_OutRef" localSheetId="25">'RES_zh-CN'!$CJ$68</definedName>
    <definedName name="dbTTest2_OutRef" localSheetId="26">'RES_zh-TW'!$CJ$68</definedName>
    <definedName name="dbTTest2_OutType" localSheetId="3">'RES_cs-CZ'!$CD$68</definedName>
    <definedName name="dbTTest2_OutType" localSheetId="4">'RES_da-DK'!$CD$68</definedName>
    <definedName name="dbTTest2_OutType" localSheetId="5">'RES_de-DE'!$CD$68</definedName>
    <definedName name="dbTTest2_OutType" localSheetId="6">'RES_el-GR'!$CD$68</definedName>
    <definedName name="dbTTest2_OutType" localSheetId="2">'RES_en-US'!$CD$68</definedName>
    <definedName name="dbTTest2_OutType" localSheetId="7">'RES_es-ES'!$CD$68</definedName>
    <definedName name="dbTTest2_OutType" localSheetId="8">'RES_fi-FI'!$CD$68</definedName>
    <definedName name="dbTTest2_OutType" localSheetId="1">'RES_fr-FR'!$CD$68</definedName>
    <definedName name="dbTTest2_OutType" localSheetId="9">'RES_hr-HR'!$CD$68</definedName>
    <definedName name="dbTTest2_OutType" localSheetId="10">'RES_hu-HU'!$CD$68</definedName>
    <definedName name="dbTTest2_OutType" localSheetId="11">'RES_it-IT'!$CD$68</definedName>
    <definedName name="dbTTest2_OutType" localSheetId="12">'RES_ja-JP'!$CD$68</definedName>
    <definedName name="dbTTest2_OutType" localSheetId="13">'RES_ko-KR'!$CD$68</definedName>
    <definedName name="dbTTest2_OutType" localSheetId="14">'RES_lv-LV'!$CD$68</definedName>
    <definedName name="dbTTest2_OutType" localSheetId="15">'RES_nb-NO'!$CD$68</definedName>
    <definedName name="dbTTest2_OutType" localSheetId="16">'RES_nl-NL'!$CD$68</definedName>
    <definedName name="dbTTest2_OutType" localSheetId="17">'RES_pl-PL'!$CD$68</definedName>
    <definedName name="dbTTest2_OutType" localSheetId="18">'RES_pt-BR'!$CD$68</definedName>
    <definedName name="dbTTest2_OutType" localSheetId="19">'RES_pt-PT'!$CD$68</definedName>
    <definedName name="dbTTest2_OutType" localSheetId="20">'RES_ro-RO'!$CD$68</definedName>
    <definedName name="dbTTest2_OutType" localSheetId="21">'RES_ru-RU'!$CD$68</definedName>
    <definedName name="dbTTest2_OutType" localSheetId="22">'RES_sl-SI'!$CD$68</definedName>
    <definedName name="dbTTest2_OutType" localSheetId="23">'RES_sv-SE'!$CD$68</definedName>
    <definedName name="dbTTest2_OutType" localSheetId="24">'RES_tr-TR'!$CD$68</definedName>
    <definedName name="dbTTest2_OutType" localSheetId="25">'RES_zh-CN'!$CD$68</definedName>
    <definedName name="dbTTest2_OutType" localSheetId="26">'RES_zh-TW'!$CD$68</definedName>
    <definedName name="dbTTest2_PlyInpFld" localSheetId="3">'RES_cs-CZ'!$CD$69</definedName>
    <definedName name="dbTTest2_PlyInpFld" localSheetId="4">'RES_da-DK'!$CD$69</definedName>
    <definedName name="dbTTest2_PlyInpFld" localSheetId="5">'RES_de-DE'!$CD$69</definedName>
    <definedName name="dbTTest2_PlyInpFld" localSheetId="6">'RES_el-GR'!$CD$69</definedName>
    <definedName name="dbTTest2_PlyInpFld" localSheetId="2">'RES_en-US'!$CD$69</definedName>
    <definedName name="dbTTest2_PlyInpFld" localSheetId="7">'RES_es-ES'!$CD$69</definedName>
    <definedName name="dbTTest2_PlyInpFld" localSheetId="8">'RES_fi-FI'!$CD$69</definedName>
    <definedName name="dbTTest2_PlyInpFld" localSheetId="1">'RES_fr-FR'!$CD$69</definedName>
    <definedName name="dbTTest2_PlyInpFld" localSheetId="9">'RES_hr-HR'!$CD$69</definedName>
    <definedName name="dbTTest2_PlyInpFld" localSheetId="10">'RES_hu-HU'!$CD$69</definedName>
    <definedName name="dbTTest2_PlyInpFld" localSheetId="11">'RES_it-IT'!$CD$69</definedName>
    <definedName name="dbTTest2_PlyInpFld" localSheetId="12">'RES_ja-JP'!$CD$69</definedName>
    <definedName name="dbTTest2_PlyInpFld" localSheetId="13">'RES_ko-KR'!$CD$69</definedName>
    <definedName name="dbTTest2_PlyInpFld" localSheetId="14">'RES_lv-LV'!$CD$69</definedName>
    <definedName name="dbTTest2_PlyInpFld" localSheetId="15">'RES_nb-NO'!$CD$69</definedName>
    <definedName name="dbTTest2_PlyInpFld" localSheetId="16">'RES_nl-NL'!$CD$69</definedName>
    <definedName name="dbTTest2_PlyInpFld" localSheetId="17">'RES_pl-PL'!$CD$69</definedName>
    <definedName name="dbTTest2_PlyInpFld" localSheetId="18">'RES_pt-BR'!$CD$69</definedName>
    <definedName name="dbTTest2_PlyInpFld" localSheetId="19">'RES_pt-PT'!$CD$69</definedName>
    <definedName name="dbTTest2_PlyInpFld" localSheetId="20">'RES_ro-RO'!$CD$69</definedName>
    <definedName name="dbTTest2_PlyInpFld" localSheetId="21">'RES_ru-RU'!$CD$69</definedName>
    <definedName name="dbTTest2_PlyInpFld" localSheetId="22">'RES_sl-SI'!$CD$69</definedName>
    <definedName name="dbTTest2_PlyInpFld" localSheetId="23">'RES_sv-SE'!$CD$69</definedName>
    <definedName name="dbTTest2_PlyInpFld" localSheetId="24">'RES_tr-TR'!$CD$69</definedName>
    <definedName name="dbTTest2_PlyInpFld" localSheetId="25">'RES_zh-CN'!$CD$69</definedName>
    <definedName name="dbTTest2_PlyInpFld" localSheetId="26">'RES_zh-TW'!$CD$69</definedName>
    <definedName name="dbTTest2_PlyName" localSheetId="3">'RES_cs-CZ'!$CJ$69</definedName>
    <definedName name="dbTTest2_PlyName" localSheetId="4">'RES_da-DK'!$CJ$69</definedName>
    <definedName name="dbTTest2_PlyName" localSheetId="5">'RES_de-DE'!$CJ$69</definedName>
    <definedName name="dbTTest2_PlyName" localSheetId="6">'RES_el-GR'!$CJ$69</definedName>
    <definedName name="dbTTest2_PlyName" localSheetId="2">'RES_en-US'!$CJ$69</definedName>
    <definedName name="dbTTest2_PlyName" localSheetId="7">'RES_es-ES'!$CJ$69</definedName>
    <definedName name="dbTTest2_PlyName" localSheetId="8">'RES_fi-FI'!$CJ$69</definedName>
    <definedName name="dbTTest2_PlyName" localSheetId="1">'RES_fr-FR'!$CJ$69</definedName>
    <definedName name="dbTTest2_PlyName" localSheetId="9">'RES_hr-HR'!$CJ$69</definedName>
    <definedName name="dbTTest2_PlyName" localSheetId="10">'RES_hu-HU'!$CJ$69</definedName>
    <definedName name="dbTTest2_PlyName" localSheetId="11">'RES_it-IT'!$CJ$69</definedName>
    <definedName name="dbTTest2_PlyName" localSheetId="12">'RES_ja-JP'!$CJ$69</definedName>
    <definedName name="dbTTest2_PlyName" localSheetId="13">'RES_ko-KR'!$CJ$69</definedName>
    <definedName name="dbTTest2_PlyName" localSheetId="14">'RES_lv-LV'!$CJ$69</definedName>
    <definedName name="dbTTest2_PlyName" localSheetId="15">'RES_nb-NO'!$CJ$69</definedName>
    <definedName name="dbTTest2_PlyName" localSheetId="16">'RES_nl-NL'!$CJ$69</definedName>
    <definedName name="dbTTest2_PlyName" localSheetId="17">'RES_pl-PL'!$CJ$69</definedName>
    <definedName name="dbTTest2_PlyName" localSheetId="18">'RES_pt-BR'!$CJ$69</definedName>
    <definedName name="dbTTest2_PlyName" localSheetId="19">'RES_pt-PT'!$CJ$69</definedName>
    <definedName name="dbTTest2_PlyName" localSheetId="20">'RES_ro-RO'!$CJ$69</definedName>
    <definedName name="dbTTest2_PlyName" localSheetId="21">'RES_ru-RU'!$CJ$69</definedName>
    <definedName name="dbTTest2_PlyName" localSheetId="22">'RES_sl-SI'!$CJ$69</definedName>
    <definedName name="dbTTest2_PlyName" localSheetId="23">'RES_sv-SE'!$CJ$69</definedName>
    <definedName name="dbTTest2_PlyName" localSheetId="24">'RES_tr-TR'!$CJ$69</definedName>
    <definedName name="dbTTest2_PlyName" localSheetId="25">'RES_zh-CN'!$CJ$69</definedName>
    <definedName name="dbTTest2_PlyName" localSheetId="26">'RES_zh-TW'!$CJ$69</definedName>
    <definedName name="dbTTest2_RangeInpFld" localSheetId="3">'RES_cs-CZ'!$CD$68</definedName>
    <definedName name="dbTTest2_RangeInpFld" localSheetId="4">'RES_da-DK'!$CD$68</definedName>
    <definedName name="dbTTest2_RangeInpFld" localSheetId="5">'RES_de-DE'!$CD$68</definedName>
    <definedName name="dbTTest2_RangeInpFld" localSheetId="6">'RES_el-GR'!$CD$68</definedName>
    <definedName name="dbTTest2_RangeInpFld" localSheetId="2">'RES_en-US'!$CD$68</definedName>
    <definedName name="dbTTest2_RangeInpFld" localSheetId="7">'RES_es-ES'!$CD$68</definedName>
    <definedName name="dbTTest2_RangeInpFld" localSheetId="8">'RES_fi-FI'!$CD$68</definedName>
    <definedName name="dbTTest2_RangeInpFld" localSheetId="1">'RES_fr-FR'!$CD$68</definedName>
    <definedName name="dbTTest2_RangeInpFld" localSheetId="9">'RES_hr-HR'!$CD$68</definedName>
    <definedName name="dbTTest2_RangeInpFld" localSheetId="10">'RES_hu-HU'!$CD$68</definedName>
    <definedName name="dbTTest2_RangeInpFld" localSheetId="11">'RES_it-IT'!$CD$68</definedName>
    <definedName name="dbTTest2_RangeInpFld" localSheetId="12">'RES_ja-JP'!$CD$68</definedName>
    <definedName name="dbTTest2_RangeInpFld" localSheetId="13">'RES_ko-KR'!$CD$68</definedName>
    <definedName name="dbTTest2_RangeInpFld" localSheetId="14">'RES_lv-LV'!$CD$68</definedName>
    <definedName name="dbTTest2_RangeInpFld" localSheetId="15">'RES_nb-NO'!$CD$68</definedName>
    <definedName name="dbTTest2_RangeInpFld" localSheetId="16">'RES_nl-NL'!$CD$68</definedName>
    <definedName name="dbTTest2_RangeInpFld" localSheetId="17">'RES_pl-PL'!$CD$68</definedName>
    <definedName name="dbTTest2_RangeInpFld" localSheetId="18">'RES_pt-BR'!$CD$68</definedName>
    <definedName name="dbTTest2_RangeInpFld" localSheetId="19">'RES_pt-PT'!$CD$68</definedName>
    <definedName name="dbTTest2_RangeInpFld" localSheetId="20">'RES_ro-RO'!$CD$68</definedName>
    <definedName name="dbTTest2_RangeInpFld" localSheetId="21">'RES_ru-RU'!$CD$68</definedName>
    <definedName name="dbTTest2_RangeInpFld" localSheetId="22">'RES_sl-SI'!$CD$68</definedName>
    <definedName name="dbTTest2_RangeInpFld" localSheetId="23">'RES_sv-SE'!$CD$68</definedName>
    <definedName name="dbTTest2_RangeInpFld" localSheetId="24">'RES_tr-TR'!$CD$68</definedName>
    <definedName name="dbTTest2_RangeInpFld" localSheetId="25">'RES_zh-CN'!$CD$68</definedName>
    <definedName name="dbTTest2_RangeInpFld" localSheetId="26">'RES_zh-TW'!$CD$68</definedName>
    <definedName name="dbTTest2_RangeRef" localSheetId="3">'RES_cs-CZ'!$CJ$68</definedName>
    <definedName name="dbTTest2_RangeRef" localSheetId="4">'RES_da-DK'!$CJ$68</definedName>
    <definedName name="dbTTest2_RangeRef" localSheetId="5">'RES_de-DE'!$CJ$68</definedName>
    <definedName name="dbTTest2_RangeRef" localSheetId="6">'RES_el-GR'!$CJ$68</definedName>
    <definedName name="dbTTest2_RangeRef" localSheetId="2">'RES_en-US'!$CJ$68</definedName>
    <definedName name="dbTTest2_RangeRef" localSheetId="7">'RES_es-ES'!$CJ$68</definedName>
    <definedName name="dbTTest2_RangeRef" localSheetId="8">'RES_fi-FI'!$CJ$68</definedName>
    <definedName name="dbTTest2_RangeRef" localSheetId="1">'RES_fr-FR'!$CJ$68</definedName>
    <definedName name="dbTTest2_RangeRef" localSheetId="9">'RES_hr-HR'!$CJ$68</definedName>
    <definedName name="dbTTest2_RangeRef" localSheetId="10">'RES_hu-HU'!$CJ$68</definedName>
    <definedName name="dbTTest2_RangeRef" localSheetId="11">'RES_it-IT'!$CJ$68</definedName>
    <definedName name="dbTTest2_RangeRef" localSheetId="12">'RES_ja-JP'!$CJ$68</definedName>
    <definedName name="dbTTest2_RangeRef" localSheetId="13">'RES_ko-KR'!$CJ$68</definedName>
    <definedName name="dbTTest2_RangeRef" localSheetId="14">'RES_lv-LV'!$CJ$68</definedName>
    <definedName name="dbTTest2_RangeRef" localSheetId="15">'RES_nb-NO'!$CJ$68</definedName>
    <definedName name="dbTTest2_RangeRef" localSheetId="16">'RES_nl-NL'!$CJ$68</definedName>
    <definedName name="dbTTest2_RangeRef" localSheetId="17">'RES_pl-PL'!$CJ$68</definedName>
    <definedName name="dbTTest2_RangeRef" localSheetId="18">'RES_pt-BR'!$CJ$68</definedName>
    <definedName name="dbTTest2_RangeRef" localSheetId="19">'RES_pt-PT'!$CJ$68</definedName>
    <definedName name="dbTTest2_RangeRef" localSheetId="20">'RES_ro-RO'!$CJ$68</definedName>
    <definedName name="dbTTest2_RangeRef" localSheetId="21">'RES_ru-RU'!$CJ$68</definedName>
    <definedName name="dbTTest2_RangeRef" localSheetId="22">'RES_sl-SI'!$CJ$68</definedName>
    <definedName name="dbTTest2_RangeRef" localSheetId="23">'RES_sv-SE'!$CJ$68</definedName>
    <definedName name="dbTTest2_RangeRef" localSheetId="24">'RES_tr-TR'!$CJ$68</definedName>
    <definedName name="dbTTest2_RangeRef" localSheetId="25">'RES_zh-CN'!$CJ$68</definedName>
    <definedName name="dbTTest2_RangeRef" localSheetId="26">'RES_zh-TW'!$CJ$68</definedName>
    <definedName name="dbTTest2_VarRng1" localSheetId="3">'RES_cs-CZ'!$CJ$55</definedName>
    <definedName name="dbTTest2_VarRng1" localSheetId="4">'RES_da-DK'!$CJ$55</definedName>
    <definedName name="dbTTest2_VarRng1" localSheetId="5">'RES_de-DE'!$CJ$55</definedName>
    <definedName name="dbTTest2_VarRng1" localSheetId="6">'RES_el-GR'!$CJ$55</definedName>
    <definedName name="dbTTest2_VarRng1" localSheetId="2">'RES_en-US'!$CJ$55</definedName>
    <definedName name="dbTTest2_VarRng1" localSheetId="7">'RES_es-ES'!$CJ$55</definedName>
    <definedName name="dbTTest2_VarRng1" localSheetId="8">'RES_fi-FI'!$CJ$55</definedName>
    <definedName name="dbTTest2_VarRng1" localSheetId="1">'RES_fr-FR'!$CJ$55</definedName>
    <definedName name="dbTTest2_VarRng1" localSheetId="9">'RES_hr-HR'!$CJ$55</definedName>
    <definedName name="dbTTest2_VarRng1" localSheetId="10">'RES_hu-HU'!$CJ$55</definedName>
    <definedName name="dbTTest2_VarRng1" localSheetId="11">'RES_it-IT'!$CJ$55</definedName>
    <definedName name="dbTTest2_VarRng1" localSheetId="12">'RES_ja-JP'!$CJ$55</definedName>
    <definedName name="dbTTest2_VarRng1" localSheetId="13">'RES_ko-KR'!$CJ$55</definedName>
    <definedName name="dbTTest2_VarRng1" localSheetId="14">'RES_lv-LV'!$CJ$55</definedName>
    <definedName name="dbTTest2_VarRng1" localSheetId="15">'RES_nb-NO'!$CJ$55</definedName>
    <definedName name="dbTTest2_VarRng1" localSheetId="16">'RES_nl-NL'!$CJ$55</definedName>
    <definedName name="dbTTest2_VarRng1" localSheetId="17">'RES_pl-PL'!$CJ$55</definedName>
    <definedName name="dbTTest2_VarRng1" localSheetId="18">'RES_pt-BR'!$CJ$55</definedName>
    <definedName name="dbTTest2_VarRng1" localSheetId="19">'RES_pt-PT'!$CJ$55</definedName>
    <definedName name="dbTTest2_VarRng1" localSheetId="20">'RES_ro-RO'!$CJ$55</definedName>
    <definedName name="dbTTest2_VarRng1" localSheetId="21">'RES_ru-RU'!$CJ$55</definedName>
    <definedName name="dbTTest2_VarRng1" localSheetId="22">'RES_sl-SI'!$CJ$55</definedName>
    <definedName name="dbTTest2_VarRng1" localSheetId="23">'RES_sv-SE'!$CJ$55</definedName>
    <definedName name="dbTTest2_VarRng1" localSheetId="24">'RES_tr-TR'!$CJ$55</definedName>
    <definedName name="dbTTest2_VarRng1" localSheetId="25">'RES_zh-CN'!$CJ$55</definedName>
    <definedName name="dbTTest2_VarRng1" localSheetId="26">'RES_zh-TW'!$CJ$55</definedName>
    <definedName name="dbTTest2_VarRng2" localSheetId="3">'RES_cs-CZ'!$CJ$57</definedName>
    <definedName name="dbTTest2_VarRng2" localSheetId="4">'RES_da-DK'!$CJ$57</definedName>
    <definedName name="dbTTest2_VarRng2" localSheetId="5">'RES_de-DE'!$CJ$57</definedName>
    <definedName name="dbTTest2_VarRng2" localSheetId="6">'RES_el-GR'!$CJ$57</definedName>
    <definedName name="dbTTest2_VarRng2" localSheetId="2">'RES_en-US'!$CJ$57</definedName>
    <definedName name="dbTTest2_VarRng2" localSheetId="7">'RES_es-ES'!$CJ$57</definedName>
    <definedName name="dbTTest2_VarRng2" localSheetId="8">'RES_fi-FI'!$CJ$57</definedName>
    <definedName name="dbTTest2_VarRng2" localSheetId="1">'RES_fr-FR'!$CJ$57</definedName>
    <definedName name="dbTTest2_VarRng2" localSheetId="9">'RES_hr-HR'!$CJ$57</definedName>
    <definedName name="dbTTest2_VarRng2" localSheetId="10">'RES_hu-HU'!$CJ$57</definedName>
    <definedName name="dbTTest2_VarRng2" localSheetId="11">'RES_it-IT'!$CJ$57</definedName>
    <definedName name="dbTTest2_VarRng2" localSheetId="12">'RES_ja-JP'!$CJ$57</definedName>
    <definedName name="dbTTest2_VarRng2" localSheetId="13">'RES_ko-KR'!$CJ$57</definedName>
    <definedName name="dbTTest2_VarRng2" localSheetId="14">'RES_lv-LV'!$CJ$57</definedName>
    <definedName name="dbTTest2_VarRng2" localSheetId="15">'RES_nb-NO'!$CJ$57</definedName>
    <definedName name="dbTTest2_VarRng2" localSheetId="16">'RES_nl-NL'!$CJ$57</definedName>
    <definedName name="dbTTest2_VarRng2" localSheetId="17">'RES_pl-PL'!$CJ$57</definedName>
    <definedName name="dbTTest2_VarRng2" localSheetId="18">'RES_pt-BR'!$CJ$57</definedName>
    <definedName name="dbTTest2_VarRng2" localSheetId="19">'RES_pt-PT'!$CJ$57</definedName>
    <definedName name="dbTTest2_VarRng2" localSheetId="20">'RES_ro-RO'!$CJ$57</definedName>
    <definedName name="dbTTest2_VarRng2" localSheetId="21">'RES_ru-RU'!$CJ$57</definedName>
    <definedName name="dbTTest2_VarRng2" localSheetId="22">'RES_sl-SI'!$CJ$57</definedName>
    <definedName name="dbTTest2_VarRng2" localSheetId="23">'RES_sv-SE'!$CJ$57</definedName>
    <definedName name="dbTTest2_VarRng2" localSheetId="24">'RES_tr-TR'!$CJ$57</definedName>
    <definedName name="dbTTest2_VarRng2" localSheetId="25">'RES_zh-CN'!$CJ$57</definedName>
    <definedName name="dbTTest2_VarRng2" localSheetId="26">'RES_zh-TW'!$CJ$57</definedName>
    <definedName name="dbTTest2Title" localSheetId="3">'RES_cs-CZ'!$CI$50</definedName>
    <definedName name="dbTTest2Title" localSheetId="4">'RES_da-DK'!$CI$50</definedName>
    <definedName name="dbTTest2Title" localSheetId="5">'RES_de-DE'!$CI$50</definedName>
    <definedName name="dbTTest2Title" localSheetId="6">'RES_el-GR'!$CI$50</definedName>
    <definedName name="dbTTest2Title" localSheetId="2">'RES_en-US'!$CI$50</definedName>
    <definedName name="dbTTest2Title" localSheetId="7">'RES_es-ES'!$CI$50</definedName>
    <definedName name="dbTTest2Title" localSheetId="8">'RES_fi-FI'!$CI$50</definedName>
    <definedName name="dbTTest2Title" localSheetId="1">'RES_fr-FR'!$CI$50</definedName>
    <definedName name="dbTTest2Title" localSheetId="9">'RES_hr-HR'!$CI$50</definedName>
    <definedName name="dbTTest2Title" localSheetId="10">'RES_hu-HU'!$CI$50</definedName>
    <definedName name="dbTTest2Title" localSheetId="11">'RES_it-IT'!$CI$50</definedName>
    <definedName name="dbTTest2Title" localSheetId="12">'RES_ja-JP'!$CI$50</definedName>
    <definedName name="dbTTest2Title" localSheetId="13">'RES_ko-KR'!$CI$50</definedName>
    <definedName name="dbTTest2Title" localSheetId="14">'RES_lv-LV'!$CI$50</definedName>
    <definedName name="dbTTest2Title" localSheetId="15">'RES_nb-NO'!$CI$50</definedName>
    <definedName name="dbTTest2Title" localSheetId="16">'RES_nl-NL'!$CI$50</definedName>
    <definedName name="dbTTest2Title" localSheetId="17">'RES_pl-PL'!$CI$50</definedName>
    <definedName name="dbTTest2Title" localSheetId="18">'RES_pt-BR'!$CI$50</definedName>
    <definedName name="dbTTest2Title" localSheetId="19">'RES_pt-PT'!$CI$50</definedName>
    <definedName name="dbTTest2Title" localSheetId="20">'RES_ro-RO'!$CI$50</definedName>
    <definedName name="dbTTest2Title" localSheetId="21">'RES_ru-RU'!$CI$50</definedName>
    <definedName name="dbTTest2Title" localSheetId="22">'RES_sl-SI'!$CI$50</definedName>
    <definedName name="dbTTest2Title" localSheetId="23">'RES_sv-SE'!$CI$50</definedName>
    <definedName name="dbTTest2Title" localSheetId="24">'RES_tr-TR'!$CI$50</definedName>
    <definedName name="dbTTest2Title" localSheetId="25">'RES_zh-CN'!$CI$50</definedName>
    <definedName name="dbTTest2Title" localSheetId="26">'RES_zh-TW'!$CI$50</definedName>
    <definedName name="dbTTest3" localSheetId="3">'RES_cs-CZ'!$CD$75:$CJ$95</definedName>
    <definedName name="dbTTest3" localSheetId="4">'RES_da-DK'!$CD$75:$CJ$95</definedName>
    <definedName name="dbTTest3" localSheetId="5">'RES_de-DE'!$CD$75:$CJ$95</definedName>
    <definedName name="dbTTest3" localSheetId="6">'RES_el-GR'!$CD$75:$CJ$95</definedName>
    <definedName name="dbTTest3" localSheetId="2">'RES_en-US'!$CD$75:$CJ$95</definedName>
    <definedName name="dbTTest3" localSheetId="7">'RES_es-ES'!$CD$75:$CJ$95</definedName>
    <definedName name="dbTTest3" localSheetId="8">'RES_fi-FI'!$CD$75:$CJ$95</definedName>
    <definedName name="dbTTest3" localSheetId="1">'RES_fr-FR'!$CD$75:$CJ$95</definedName>
    <definedName name="dbTTest3" localSheetId="9">'RES_hr-HR'!$CD$75:$CJ$95</definedName>
    <definedName name="dbTTest3" localSheetId="10">'RES_hu-HU'!$CD$75:$CJ$95</definedName>
    <definedName name="dbTTest3" localSheetId="11">'RES_it-IT'!$CD$75:$CJ$95</definedName>
    <definedName name="dbTTest3" localSheetId="12">'RES_ja-JP'!$CD$75:$CJ$95</definedName>
    <definedName name="dbTTest3" localSheetId="13">'RES_ko-KR'!$CD$75:$CJ$95</definedName>
    <definedName name="dbTTest3" localSheetId="14">'RES_lv-LV'!$CD$75:$CJ$95</definedName>
    <definedName name="dbTTest3" localSheetId="15">'RES_nb-NO'!$CD$75:$CJ$95</definedName>
    <definedName name="dbTTest3" localSheetId="16">'RES_nl-NL'!$CD$75:$CJ$95</definedName>
    <definedName name="dbTTest3" localSheetId="17">'RES_pl-PL'!$CD$75:$CJ$95</definedName>
    <definedName name="dbTTest3" localSheetId="18">'RES_pt-BR'!$CD$75:$CJ$95</definedName>
    <definedName name="dbTTest3" localSheetId="19">'RES_pt-PT'!$CD$75:$CJ$95</definedName>
    <definedName name="dbTTest3" localSheetId="20">'RES_ro-RO'!$CD$75:$CJ$95</definedName>
    <definedName name="dbTTest3" localSheetId="21">'RES_ru-RU'!$CD$75:$CJ$95</definedName>
    <definedName name="dbTTest3" localSheetId="22">'RES_sl-SI'!$CD$75:$CJ$95</definedName>
    <definedName name="dbTTest3" localSheetId="23">'RES_sv-SE'!$CD$75:$CJ$95</definedName>
    <definedName name="dbTTest3" localSheetId="24">'RES_tr-TR'!$CD$75:$CJ$95</definedName>
    <definedName name="dbTTest3" localSheetId="25">'RES_zh-CN'!$CD$75:$CJ$95</definedName>
    <definedName name="dbTTest3" localSheetId="26">'RES_zh-TW'!$CD$75:$CJ$95</definedName>
    <definedName name="dbTTest3_AlphaValue" localSheetId="3">'RES_cs-CZ'!$CJ$87</definedName>
    <definedName name="dbTTest3_AlphaValue" localSheetId="4">'RES_da-DK'!$CJ$87</definedName>
    <definedName name="dbTTest3_AlphaValue" localSheetId="5">'RES_de-DE'!$CJ$87</definedName>
    <definedName name="dbTTest3_AlphaValue" localSheetId="6">'RES_el-GR'!$CJ$87</definedName>
    <definedName name="dbTTest3_AlphaValue" localSheetId="2">'RES_en-US'!$CJ$87</definedName>
    <definedName name="dbTTest3_AlphaValue" localSheetId="7">'RES_es-ES'!$CJ$87</definedName>
    <definedName name="dbTTest3_AlphaValue" localSheetId="8">'RES_fi-FI'!$CJ$87</definedName>
    <definedName name="dbTTest3_AlphaValue" localSheetId="1">'RES_fr-FR'!$CJ$87</definedName>
    <definedName name="dbTTest3_AlphaValue" localSheetId="9">'RES_hr-HR'!$CJ$87</definedName>
    <definedName name="dbTTest3_AlphaValue" localSheetId="10">'RES_hu-HU'!$CJ$87</definedName>
    <definedName name="dbTTest3_AlphaValue" localSheetId="11">'RES_it-IT'!$CJ$87</definedName>
    <definedName name="dbTTest3_AlphaValue" localSheetId="12">'RES_ja-JP'!$CJ$87</definedName>
    <definedName name="dbTTest3_AlphaValue" localSheetId="13">'RES_ko-KR'!$CJ$87</definedName>
    <definedName name="dbTTest3_AlphaValue" localSheetId="14">'RES_lv-LV'!$CJ$87</definedName>
    <definedName name="dbTTest3_AlphaValue" localSheetId="15">'RES_nb-NO'!$CJ$87</definedName>
    <definedName name="dbTTest3_AlphaValue" localSheetId="16">'RES_nl-NL'!$CJ$87</definedName>
    <definedName name="dbTTest3_AlphaValue" localSheetId="17">'RES_pl-PL'!$CJ$87</definedName>
    <definedName name="dbTTest3_AlphaValue" localSheetId="18">'RES_pt-BR'!$CJ$87</definedName>
    <definedName name="dbTTest3_AlphaValue" localSheetId="19">'RES_pt-PT'!$CJ$87</definedName>
    <definedName name="dbTTest3_AlphaValue" localSheetId="20">'RES_ro-RO'!$CJ$87</definedName>
    <definedName name="dbTTest3_AlphaValue" localSheetId="21">'RES_ru-RU'!$CJ$87</definedName>
    <definedName name="dbTTest3_AlphaValue" localSheetId="22">'RES_sl-SI'!$CJ$87</definedName>
    <definedName name="dbTTest3_AlphaValue" localSheetId="23">'RES_sv-SE'!$CJ$87</definedName>
    <definedName name="dbTTest3_AlphaValue" localSheetId="24">'RES_tr-TR'!$CJ$87</definedName>
    <definedName name="dbTTest3_AlphaValue" localSheetId="25">'RES_zh-CN'!$CJ$87</definedName>
    <definedName name="dbTTest3_AlphaValue" localSheetId="26">'RES_zh-TW'!$CJ$87</definedName>
    <definedName name="dbTTest3_LblChkBox" localSheetId="3">'RES_cs-CZ'!$CJ$85</definedName>
    <definedName name="dbTTest3_LblChkBox" localSheetId="4">'RES_da-DK'!$CJ$85</definedName>
    <definedName name="dbTTest3_LblChkBox" localSheetId="5">'RES_de-DE'!$CJ$85</definedName>
    <definedName name="dbTTest3_LblChkBox" localSheetId="6">'RES_el-GR'!$CJ$85</definedName>
    <definedName name="dbTTest3_LblChkBox" localSheetId="2">'RES_en-US'!$CJ$85</definedName>
    <definedName name="dbTTest3_LblChkBox" localSheetId="7">'RES_es-ES'!$CJ$85</definedName>
    <definedName name="dbTTest3_LblChkBox" localSheetId="8">'RES_fi-FI'!$CJ$85</definedName>
    <definedName name="dbTTest3_LblChkBox" localSheetId="1">'RES_fr-FR'!$CJ$85</definedName>
    <definedName name="dbTTest3_LblChkBox" localSheetId="9">'RES_hr-HR'!$CJ$85</definedName>
    <definedName name="dbTTest3_LblChkBox" localSheetId="10">'RES_hu-HU'!$CJ$85</definedName>
    <definedName name="dbTTest3_LblChkBox" localSheetId="11">'RES_it-IT'!$CJ$85</definedName>
    <definedName name="dbTTest3_LblChkBox" localSheetId="12">'RES_ja-JP'!$CJ$85</definedName>
    <definedName name="dbTTest3_LblChkBox" localSheetId="13">'RES_ko-KR'!$CJ$85</definedName>
    <definedName name="dbTTest3_LblChkBox" localSheetId="14">'RES_lv-LV'!$CJ$85</definedName>
    <definedName name="dbTTest3_LblChkBox" localSheetId="15">'RES_nb-NO'!$CJ$85</definedName>
    <definedName name="dbTTest3_LblChkBox" localSheetId="16">'RES_nl-NL'!$CJ$85</definedName>
    <definedName name="dbTTest3_LblChkBox" localSheetId="17">'RES_pl-PL'!$CJ$85</definedName>
    <definedName name="dbTTest3_LblChkBox" localSheetId="18">'RES_pt-BR'!$CJ$85</definedName>
    <definedName name="dbTTest3_LblChkBox" localSheetId="19">'RES_pt-PT'!$CJ$85</definedName>
    <definedName name="dbTTest3_LblChkBox" localSheetId="20">'RES_ro-RO'!$CJ$85</definedName>
    <definedName name="dbTTest3_LblChkBox" localSheetId="21">'RES_ru-RU'!$CJ$85</definedName>
    <definedName name="dbTTest3_LblChkBox" localSheetId="22">'RES_sl-SI'!$CJ$85</definedName>
    <definedName name="dbTTest3_LblChkBox" localSheetId="23">'RES_sv-SE'!$CJ$85</definedName>
    <definedName name="dbTTest3_LblChkBox" localSheetId="24">'RES_tr-TR'!$CJ$85</definedName>
    <definedName name="dbTTest3_LblChkBox" localSheetId="25">'RES_zh-CN'!$CJ$85</definedName>
    <definedName name="dbTTest3_LblChkBox" localSheetId="26">'RES_zh-TW'!$CJ$85</definedName>
    <definedName name="dbTTest3_MeanDiff" localSheetId="3">'RES_cs-CZ'!$CJ$84</definedName>
    <definedName name="dbTTest3_MeanDiff" localSheetId="4">'RES_da-DK'!$CJ$84</definedName>
    <definedName name="dbTTest3_MeanDiff" localSheetId="5">'RES_de-DE'!$CJ$84</definedName>
    <definedName name="dbTTest3_MeanDiff" localSheetId="6">'RES_el-GR'!$CJ$84</definedName>
    <definedName name="dbTTest3_MeanDiff" localSheetId="2">'RES_en-US'!$CJ$84</definedName>
    <definedName name="dbTTest3_MeanDiff" localSheetId="7">'RES_es-ES'!$CJ$84</definedName>
    <definedName name="dbTTest3_MeanDiff" localSheetId="8">'RES_fi-FI'!$CJ$84</definedName>
    <definedName name="dbTTest3_MeanDiff" localSheetId="1">'RES_fr-FR'!$CJ$84</definedName>
    <definedName name="dbTTest3_MeanDiff" localSheetId="9">'RES_hr-HR'!$CJ$84</definedName>
    <definedName name="dbTTest3_MeanDiff" localSheetId="10">'RES_hu-HU'!$CJ$84</definedName>
    <definedName name="dbTTest3_MeanDiff" localSheetId="11">'RES_it-IT'!$CJ$84</definedName>
    <definedName name="dbTTest3_MeanDiff" localSheetId="12">'RES_ja-JP'!$CJ$84</definedName>
    <definedName name="dbTTest3_MeanDiff" localSheetId="13">'RES_ko-KR'!$CJ$84</definedName>
    <definedName name="dbTTest3_MeanDiff" localSheetId="14">'RES_lv-LV'!$CJ$84</definedName>
    <definedName name="dbTTest3_MeanDiff" localSheetId="15">'RES_nb-NO'!$CJ$84</definedName>
    <definedName name="dbTTest3_MeanDiff" localSheetId="16">'RES_nl-NL'!$CJ$84</definedName>
    <definedName name="dbTTest3_MeanDiff" localSheetId="17">'RES_pl-PL'!$CJ$84</definedName>
    <definedName name="dbTTest3_MeanDiff" localSheetId="18">'RES_pt-BR'!$CJ$84</definedName>
    <definedName name="dbTTest3_MeanDiff" localSheetId="19">'RES_pt-PT'!$CJ$84</definedName>
    <definedName name="dbTTest3_MeanDiff" localSheetId="20">'RES_ro-RO'!$CJ$84</definedName>
    <definedName name="dbTTest3_MeanDiff" localSheetId="21">'RES_ru-RU'!$CJ$84</definedName>
    <definedName name="dbTTest3_MeanDiff" localSheetId="22">'RES_sl-SI'!$CJ$84</definedName>
    <definedName name="dbTTest3_MeanDiff" localSheetId="23">'RES_sv-SE'!$CJ$84</definedName>
    <definedName name="dbTTest3_MeanDiff" localSheetId="24">'RES_tr-TR'!$CJ$84</definedName>
    <definedName name="dbTTest3_MeanDiff" localSheetId="25">'RES_zh-CN'!$CJ$84</definedName>
    <definedName name="dbTTest3_MeanDiff" localSheetId="26">'RES_zh-TW'!$CJ$84</definedName>
    <definedName name="dbTTest3_NewRef" localSheetId="3">'RES_cs-CZ'!$CJ$94</definedName>
    <definedName name="dbTTest3_NewRef" localSheetId="4">'RES_da-DK'!$CJ$94</definedName>
    <definedName name="dbTTest3_NewRef" localSheetId="5">'RES_de-DE'!$CJ$94</definedName>
    <definedName name="dbTTest3_NewRef" localSheetId="6">'RES_el-GR'!$CJ$94</definedName>
    <definedName name="dbTTest3_NewRef" localSheetId="2">'RES_en-US'!$CJ$94</definedName>
    <definedName name="dbTTest3_NewRef" localSheetId="7">'RES_es-ES'!$CJ$94</definedName>
    <definedName name="dbTTest3_NewRef" localSheetId="8">'RES_fi-FI'!$CJ$94</definedName>
    <definedName name="dbTTest3_NewRef" localSheetId="1">'RES_fr-FR'!$CJ$94</definedName>
    <definedName name="dbTTest3_NewRef" localSheetId="9">'RES_hr-HR'!$CJ$94</definedName>
    <definedName name="dbTTest3_NewRef" localSheetId="10">'RES_hu-HU'!$CJ$94</definedName>
    <definedName name="dbTTest3_NewRef" localSheetId="11">'RES_it-IT'!$CJ$94</definedName>
    <definedName name="dbTTest3_NewRef" localSheetId="12">'RES_ja-JP'!$CJ$94</definedName>
    <definedName name="dbTTest3_NewRef" localSheetId="13">'RES_ko-KR'!$CJ$94</definedName>
    <definedName name="dbTTest3_NewRef" localSheetId="14">'RES_lv-LV'!$CJ$94</definedName>
    <definedName name="dbTTest3_NewRef" localSheetId="15">'RES_nb-NO'!$CJ$94</definedName>
    <definedName name="dbTTest3_NewRef" localSheetId="16">'RES_nl-NL'!$CJ$94</definedName>
    <definedName name="dbTTest3_NewRef" localSheetId="17">'RES_pl-PL'!$CJ$94</definedName>
    <definedName name="dbTTest3_NewRef" localSheetId="18">'RES_pt-BR'!$CJ$94</definedName>
    <definedName name="dbTTest3_NewRef" localSheetId="19">'RES_pt-PT'!$CJ$94</definedName>
    <definedName name="dbTTest3_NewRef" localSheetId="20">'RES_ro-RO'!$CJ$94</definedName>
    <definedName name="dbTTest3_NewRef" localSheetId="21">'RES_ru-RU'!$CJ$94</definedName>
    <definedName name="dbTTest3_NewRef" localSheetId="22">'RES_sl-SI'!$CJ$94</definedName>
    <definedName name="dbTTest3_NewRef" localSheetId="23">'RES_sv-SE'!$CJ$94</definedName>
    <definedName name="dbTTest3_NewRef" localSheetId="24">'RES_tr-TR'!$CJ$94</definedName>
    <definedName name="dbTTest3_NewRef" localSheetId="25">'RES_zh-CN'!$CJ$94</definedName>
    <definedName name="dbTTest3_NewRef" localSheetId="26">'RES_zh-TW'!$CJ$94</definedName>
    <definedName name="dbTTest3_NewType" localSheetId="3">'RES_cs-CZ'!$CD$94</definedName>
    <definedName name="dbTTest3_NewType" localSheetId="4">'RES_da-DK'!$CD$94</definedName>
    <definedName name="dbTTest3_NewType" localSheetId="5">'RES_de-DE'!$CD$94</definedName>
    <definedName name="dbTTest3_NewType" localSheetId="6">'RES_el-GR'!$CD$94</definedName>
    <definedName name="dbTTest3_NewType" localSheetId="2">'RES_en-US'!$CD$94</definedName>
    <definedName name="dbTTest3_NewType" localSheetId="7">'RES_es-ES'!$CD$94</definedName>
    <definedName name="dbTTest3_NewType" localSheetId="8">'RES_fi-FI'!$CD$94</definedName>
    <definedName name="dbTTest3_NewType" localSheetId="1">'RES_fr-FR'!$CD$94</definedName>
    <definedName name="dbTTest3_NewType" localSheetId="9">'RES_hr-HR'!$CD$94</definedName>
    <definedName name="dbTTest3_NewType" localSheetId="10">'RES_hu-HU'!$CD$94</definedName>
    <definedName name="dbTTest3_NewType" localSheetId="11">'RES_it-IT'!$CD$94</definedName>
    <definedName name="dbTTest3_NewType" localSheetId="12">'RES_ja-JP'!$CD$94</definedName>
    <definedName name="dbTTest3_NewType" localSheetId="13">'RES_ko-KR'!$CD$94</definedName>
    <definedName name="dbTTest3_NewType" localSheetId="14">'RES_lv-LV'!$CD$94</definedName>
    <definedName name="dbTTest3_NewType" localSheetId="15">'RES_nb-NO'!$CD$94</definedName>
    <definedName name="dbTTest3_NewType" localSheetId="16">'RES_nl-NL'!$CD$94</definedName>
    <definedName name="dbTTest3_NewType" localSheetId="17">'RES_pl-PL'!$CD$94</definedName>
    <definedName name="dbTTest3_NewType" localSheetId="18">'RES_pt-BR'!$CD$94</definedName>
    <definedName name="dbTTest3_NewType" localSheetId="19">'RES_pt-PT'!$CD$94</definedName>
    <definedName name="dbTTest3_NewType" localSheetId="20">'RES_ro-RO'!$CD$94</definedName>
    <definedName name="dbTTest3_NewType" localSheetId="21">'RES_ru-RU'!$CD$94</definedName>
    <definedName name="dbTTest3_NewType" localSheetId="22">'RES_sl-SI'!$CD$94</definedName>
    <definedName name="dbTTest3_NewType" localSheetId="23">'RES_sv-SE'!$CD$94</definedName>
    <definedName name="dbTTest3_NewType" localSheetId="24">'RES_tr-TR'!$CD$94</definedName>
    <definedName name="dbTTest3_NewType" localSheetId="25">'RES_zh-CN'!$CD$94</definedName>
    <definedName name="dbTTest3_NewType" localSheetId="26">'RES_zh-TW'!$CD$94</definedName>
    <definedName name="dbTTest3_OutOption" localSheetId="3">'RES_cs-CZ'!$CJ$89</definedName>
    <definedName name="dbTTest3_OutOption" localSheetId="4">'RES_da-DK'!$CJ$89</definedName>
    <definedName name="dbTTest3_OutOption" localSheetId="5">'RES_de-DE'!$CJ$89</definedName>
    <definedName name="dbTTest3_OutOption" localSheetId="6">'RES_el-GR'!$CJ$89</definedName>
    <definedName name="dbTTest3_OutOption" localSheetId="2">'RES_en-US'!$CJ$89</definedName>
    <definedName name="dbTTest3_OutOption" localSheetId="7">'RES_es-ES'!$CJ$89</definedName>
    <definedName name="dbTTest3_OutOption" localSheetId="8">'RES_fi-FI'!$CJ$89</definedName>
    <definedName name="dbTTest3_OutOption" localSheetId="1">'RES_fr-FR'!$CJ$89</definedName>
    <definedName name="dbTTest3_OutOption" localSheetId="9">'RES_hr-HR'!$CJ$89</definedName>
    <definedName name="dbTTest3_OutOption" localSheetId="10">'RES_hu-HU'!$CJ$89</definedName>
    <definedName name="dbTTest3_OutOption" localSheetId="11">'RES_it-IT'!$CJ$89</definedName>
    <definedName name="dbTTest3_OutOption" localSheetId="12">'RES_ja-JP'!$CJ$89</definedName>
    <definedName name="dbTTest3_OutOption" localSheetId="13">'RES_ko-KR'!$CJ$89</definedName>
    <definedName name="dbTTest3_OutOption" localSheetId="14">'RES_lv-LV'!$CJ$89</definedName>
    <definedName name="dbTTest3_OutOption" localSheetId="15">'RES_nb-NO'!$CJ$89</definedName>
    <definedName name="dbTTest3_OutOption" localSheetId="16">'RES_nl-NL'!$CJ$89</definedName>
    <definedName name="dbTTest3_OutOption" localSheetId="17">'RES_pl-PL'!$CJ$89</definedName>
    <definedName name="dbTTest3_OutOption" localSheetId="18">'RES_pt-BR'!$CJ$89</definedName>
    <definedName name="dbTTest3_OutOption" localSheetId="19">'RES_pt-PT'!$CJ$89</definedName>
    <definedName name="dbTTest3_OutOption" localSheetId="20">'RES_ro-RO'!$CJ$89</definedName>
    <definedName name="dbTTest3_OutOption" localSheetId="21">'RES_ru-RU'!$CJ$89</definedName>
    <definedName name="dbTTest3_OutOption" localSheetId="22">'RES_sl-SI'!$CJ$89</definedName>
    <definedName name="dbTTest3_OutOption" localSheetId="23">'RES_sv-SE'!$CJ$89</definedName>
    <definedName name="dbTTest3_OutOption" localSheetId="24">'RES_tr-TR'!$CJ$89</definedName>
    <definedName name="dbTTest3_OutOption" localSheetId="25">'RES_zh-CN'!$CJ$89</definedName>
    <definedName name="dbTTest3_OutOption" localSheetId="26">'RES_zh-TW'!$CJ$89</definedName>
    <definedName name="dbTTest3_OutRef" localSheetId="3">'RES_cs-CZ'!$CJ$93</definedName>
    <definedName name="dbTTest3_OutRef" localSheetId="4">'RES_da-DK'!$CJ$93</definedName>
    <definedName name="dbTTest3_OutRef" localSheetId="5">'RES_de-DE'!$CJ$93</definedName>
    <definedName name="dbTTest3_OutRef" localSheetId="6">'RES_el-GR'!$CJ$93</definedName>
    <definedName name="dbTTest3_OutRef" localSheetId="2">'RES_en-US'!$CJ$93</definedName>
    <definedName name="dbTTest3_OutRef" localSheetId="7">'RES_es-ES'!$CJ$93</definedName>
    <definedName name="dbTTest3_OutRef" localSheetId="8">'RES_fi-FI'!$CJ$93</definedName>
    <definedName name="dbTTest3_OutRef" localSheetId="1">'RES_fr-FR'!$CJ$93</definedName>
    <definedName name="dbTTest3_OutRef" localSheetId="9">'RES_hr-HR'!$CJ$93</definedName>
    <definedName name="dbTTest3_OutRef" localSheetId="10">'RES_hu-HU'!$CJ$93</definedName>
    <definedName name="dbTTest3_OutRef" localSheetId="11">'RES_it-IT'!$CJ$93</definedName>
    <definedName name="dbTTest3_OutRef" localSheetId="12">'RES_ja-JP'!$CJ$93</definedName>
    <definedName name="dbTTest3_OutRef" localSheetId="13">'RES_ko-KR'!$CJ$93</definedName>
    <definedName name="dbTTest3_OutRef" localSheetId="14">'RES_lv-LV'!$CJ$93</definedName>
    <definedName name="dbTTest3_OutRef" localSheetId="15">'RES_nb-NO'!$CJ$93</definedName>
    <definedName name="dbTTest3_OutRef" localSheetId="16">'RES_nl-NL'!$CJ$93</definedName>
    <definedName name="dbTTest3_OutRef" localSheetId="17">'RES_pl-PL'!$CJ$93</definedName>
    <definedName name="dbTTest3_OutRef" localSheetId="18">'RES_pt-BR'!$CJ$93</definedName>
    <definedName name="dbTTest3_OutRef" localSheetId="19">'RES_pt-PT'!$CJ$93</definedName>
    <definedName name="dbTTest3_OutRef" localSheetId="20">'RES_ro-RO'!$CJ$93</definedName>
    <definedName name="dbTTest3_OutRef" localSheetId="21">'RES_ru-RU'!$CJ$93</definedName>
    <definedName name="dbTTest3_OutRef" localSheetId="22">'RES_sl-SI'!$CJ$93</definedName>
    <definedName name="dbTTest3_OutRef" localSheetId="23">'RES_sv-SE'!$CJ$93</definedName>
    <definedName name="dbTTest3_OutRef" localSheetId="24">'RES_tr-TR'!$CJ$93</definedName>
    <definedName name="dbTTest3_OutRef" localSheetId="25">'RES_zh-CN'!$CJ$93</definedName>
    <definedName name="dbTTest3_OutRef" localSheetId="26">'RES_zh-TW'!$CJ$93</definedName>
    <definedName name="dbTTest3_OutType" localSheetId="3">'RES_cs-CZ'!$CD$93</definedName>
    <definedName name="dbTTest3_OutType" localSheetId="4">'RES_da-DK'!$CD$93</definedName>
    <definedName name="dbTTest3_OutType" localSheetId="5">'RES_de-DE'!$CD$93</definedName>
    <definedName name="dbTTest3_OutType" localSheetId="6">'RES_el-GR'!$CD$93</definedName>
    <definedName name="dbTTest3_OutType" localSheetId="2">'RES_en-US'!$CD$93</definedName>
    <definedName name="dbTTest3_OutType" localSheetId="7">'RES_es-ES'!$CD$93</definedName>
    <definedName name="dbTTest3_OutType" localSheetId="8">'RES_fi-FI'!$CD$93</definedName>
    <definedName name="dbTTest3_OutType" localSheetId="1">'RES_fr-FR'!$CD$93</definedName>
    <definedName name="dbTTest3_OutType" localSheetId="9">'RES_hr-HR'!$CD$93</definedName>
    <definedName name="dbTTest3_OutType" localSheetId="10">'RES_hu-HU'!$CD$93</definedName>
    <definedName name="dbTTest3_OutType" localSheetId="11">'RES_it-IT'!$CD$93</definedName>
    <definedName name="dbTTest3_OutType" localSheetId="12">'RES_ja-JP'!$CD$93</definedName>
    <definedName name="dbTTest3_OutType" localSheetId="13">'RES_ko-KR'!$CD$93</definedName>
    <definedName name="dbTTest3_OutType" localSheetId="14">'RES_lv-LV'!$CD$93</definedName>
    <definedName name="dbTTest3_OutType" localSheetId="15">'RES_nb-NO'!$CD$93</definedName>
    <definedName name="dbTTest3_OutType" localSheetId="16">'RES_nl-NL'!$CD$93</definedName>
    <definedName name="dbTTest3_OutType" localSheetId="17">'RES_pl-PL'!$CD$93</definedName>
    <definedName name="dbTTest3_OutType" localSheetId="18">'RES_pt-BR'!$CD$93</definedName>
    <definedName name="dbTTest3_OutType" localSheetId="19">'RES_pt-PT'!$CD$93</definedName>
    <definedName name="dbTTest3_OutType" localSheetId="20">'RES_ro-RO'!$CD$93</definedName>
    <definedName name="dbTTest3_OutType" localSheetId="21">'RES_ru-RU'!$CD$93</definedName>
    <definedName name="dbTTest3_OutType" localSheetId="22">'RES_sl-SI'!$CD$93</definedName>
    <definedName name="dbTTest3_OutType" localSheetId="23">'RES_sv-SE'!$CD$93</definedName>
    <definedName name="dbTTest3_OutType" localSheetId="24">'RES_tr-TR'!$CD$93</definedName>
    <definedName name="dbTTest3_OutType" localSheetId="25">'RES_zh-CN'!$CD$93</definedName>
    <definedName name="dbTTest3_OutType" localSheetId="26">'RES_zh-TW'!$CD$93</definedName>
    <definedName name="dbTTest3_PlyInpFld" localSheetId="3">'RES_cs-CZ'!$CD$94</definedName>
    <definedName name="dbTTest3_PlyInpFld" localSheetId="4">'RES_da-DK'!$CD$94</definedName>
    <definedName name="dbTTest3_PlyInpFld" localSheetId="5">'RES_de-DE'!$CD$94</definedName>
    <definedName name="dbTTest3_PlyInpFld" localSheetId="6">'RES_el-GR'!$CD$94</definedName>
    <definedName name="dbTTest3_PlyInpFld" localSheetId="2">'RES_en-US'!$CD$94</definedName>
    <definedName name="dbTTest3_PlyInpFld" localSheetId="7">'RES_es-ES'!$CD$94</definedName>
    <definedName name="dbTTest3_PlyInpFld" localSheetId="8">'RES_fi-FI'!$CD$94</definedName>
    <definedName name="dbTTest3_PlyInpFld" localSheetId="1">'RES_fr-FR'!$CD$94</definedName>
    <definedName name="dbTTest3_PlyInpFld" localSheetId="9">'RES_hr-HR'!$CD$94</definedName>
    <definedName name="dbTTest3_PlyInpFld" localSheetId="10">'RES_hu-HU'!$CD$94</definedName>
    <definedName name="dbTTest3_PlyInpFld" localSheetId="11">'RES_it-IT'!$CD$94</definedName>
    <definedName name="dbTTest3_PlyInpFld" localSheetId="12">'RES_ja-JP'!$CD$94</definedName>
    <definedName name="dbTTest3_PlyInpFld" localSheetId="13">'RES_ko-KR'!$CD$94</definedName>
    <definedName name="dbTTest3_PlyInpFld" localSheetId="14">'RES_lv-LV'!$CD$94</definedName>
    <definedName name="dbTTest3_PlyInpFld" localSheetId="15">'RES_nb-NO'!$CD$94</definedName>
    <definedName name="dbTTest3_PlyInpFld" localSheetId="16">'RES_nl-NL'!$CD$94</definedName>
    <definedName name="dbTTest3_PlyInpFld" localSheetId="17">'RES_pl-PL'!$CD$94</definedName>
    <definedName name="dbTTest3_PlyInpFld" localSheetId="18">'RES_pt-BR'!$CD$94</definedName>
    <definedName name="dbTTest3_PlyInpFld" localSheetId="19">'RES_pt-PT'!$CD$94</definedName>
    <definedName name="dbTTest3_PlyInpFld" localSheetId="20">'RES_ro-RO'!$CD$94</definedName>
    <definedName name="dbTTest3_PlyInpFld" localSheetId="21">'RES_ru-RU'!$CD$94</definedName>
    <definedName name="dbTTest3_PlyInpFld" localSheetId="22">'RES_sl-SI'!$CD$94</definedName>
    <definedName name="dbTTest3_PlyInpFld" localSheetId="23">'RES_sv-SE'!$CD$94</definedName>
    <definedName name="dbTTest3_PlyInpFld" localSheetId="24">'RES_tr-TR'!$CD$94</definedName>
    <definedName name="dbTTest3_PlyInpFld" localSheetId="25">'RES_zh-CN'!$CD$94</definedName>
    <definedName name="dbTTest3_PlyInpFld" localSheetId="26">'RES_zh-TW'!$CD$94</definedName>
    <definedName name="dbTTest3_PlyName" localSheetId="3">'RES_cs-CZ'!$CJ$94</definedName>
    <definedName name="dbTTest3_PlyName" localSheetId="4">'RES_da-DK'!$CJ$94</definedName>
    <definedName name="dbTTest3_PlyName" localSheetId="5">'RES_de-DE'!$CJ$94</definedName>
    <definedName name="dbTTest3_PlyName" localSheetId="6">'RES_el-GR'!$CJ$94</definedName>
    <definedName name="dbTTest3_PlyName" localSheetId="2">'RES_en-US'!$CJ$94</definedName>
    <definedName name="dbTTest3_PlyName" localSheetId="7">'RES_es-ES'!$CJ$94</definedName>
    <definedName name="dbTTest3_PlyName" localSheetId="8">'RES_fi-FI'!$CJ$94</definedName>
    <definedName name="dbTTest3_PlyName" localSheetId="1">'RES_fr-FR'!$CJ$94</definedName>
    <definedName name="dbTTest3_PlyName" localSheetId="9">'RES_hr-HR'!$CJ$94</definedName>
    <definedName name="dbTTest3_PlyName" localSheetId="10">'RES_hu-HU'!$CJ$94</definedName>
    <definedName name="dbTTest3_PlyName" localSheetId="11">'RES_it-IT'!$CJ$94</definedName>
    <definedName name="dbTTest3_PlyName" localSheetId="12">'RES_ja-JP'!$CJ$94</definedName>
    <definedName name="dbTTest3_PlyName" localSheetId="13">'RES_ko-KR'!$CJ$94</definedName>
    <definedName name="dbTTest3_PlyName" localSheetId="14">'RES_lv-LV'!$CJ$94</definedName>
    <definedName name="dbTTest3_PlyName" localSheetId="15">'RES_nb-NO'!$CJ$94</definedName>
    <definedName name="dbTTest3_PlyName" localSheetId="16">'RES_nl-NL'!$CJ$94</definedName>
    <definedName name="dbTTest3_PlyName" localSheetId="17">'RES_pl-PL'!$CJ$94</definedName>
    <definedName name="dbTTest3_PlyName" localSheetId="18">'RES_pt-BR'!$CJ$94</definedName>
    <definedName name="dbTTest3_PlyName" localSheetId="19">'RES_pt-PT'!$CJ$94</definedName>
    <definedName name="dbTTest3_PlyName" localSheetId="20">'RES_ro-RO'!$CJ$94</definedName>
    <definedName name="dbTTest3_PlyName" localSheetId="21">'RES_ru-RU'!$CJ$94</definedName>
    <definedName name="dbTTest3_PlyName" localSheetId="22">'RES_sl-SI'!$CJ$94</definedName>
    <definedName name="dbTTest3_PlyName" localSheetId="23">'RES_sv-SE'!$CJ$94</definedName>
    <definedName name="dbTTest3_PlyName" localSheetId="24">'RES_tr-TR'!$CJ$94</definedName>
    <definedName name="dbTTest3_PlyName" localSheetId="25">'RES_zh-CN'!$CJ$94</definedName>
    <definedName name="dbTTest3_PlyName" localSheetId="26">'RES_zh-TW'!$CJ$94</definedName>
    <definedName name="dbTTest3_RangeInpFld" localSheetId="3">'RES_cs-CZ'!$CD$93</definedName>
    <definedName name="dbTTest3_RangeInpFld" localSheetId="4">'RES_da-DK'!$CD$93</definedName>
    <definedName name="dbTTest3_RangeInpFld" localSheetId="5">'RES_de-DE'!$CD$93</definedName>
    <definedName name="dbTTest3_RangeInpFld" localSheetId="6">'RES_el-GR'!$CD$93</definedName>
    <definedName name="dbTTest3_RangeInpFld" localSheetId="2">'RES_en-US'!$CD$93</definedName>
    <definedName name="dbTTest3_RangeInpFld" localSheetId="7">'RES_es-ES'!$CD$93</definedName>
    <definedName name="dbTTest3_RangeInpFld" localSheetId="8">'RES_fi-FI'!$CD$93</definedName>
    <definedName name="dbTTest3_RangeInpFld" localSheetId="1">'RES_fr-FR'!$CD$93</definedName>
    <definedName name="dbTTest3_RangeInpFld" localSheetId="9">'RES_hr-HR'!$CD$93</definedName>
    <definedName name="dbTTest3_RangeInpFld" localSheetId="10">'RES_hu-HU'!$CD$93</definedName>
    <definedName name="dbTTest3_RangeInpFld" localSheetId="11">'RES_it-IT'!$CD$93</definedName>
    <definedName name="dbTTest3_RangeInpFld" localSheetId="12">'RES_ja-JP'!$CD$93</definedName>
    <definedName name="dbTTest3_RangeInpFld" localSheetId="13">'RES_ko-KR'!$CD$93</definedName>
    <definedName name="dbTTest3_RangeInpFld" localSheetId="14">'RES_lv-LV'!$CD$93</definedName>
    <definedName name="dbTTest3_RangeInpFld" localSheetId="15">'RES_nb-NO'!$CD$93</definedName>
    <definedName name="dbTTest3_RangeInpFld" localSheetId="16">'RES_nl-NL'!$CD$93</definedName>
    <definedName name="dbTTest3_RangeInpFld" localSheetId="17">'RES_pl-PL'!$CD$93</definedName>
    <definedName name="dbTTest3_RangeInpFld" localSheetId="18">'RES_pt-BR'!$CD$93</definedName>
    <definedName name="dbTTest3_RangeInpFld" localSheetId="19">'RES_pt-PT'!$CD$93</definedName>
    <definedName name="dbTTest3_RangeInpFld" localSheetId="20">'RES_ro-RO'!$CD$93</definedName>
    <definedName name="dbTTest3_RangeInpFld" localSheetId="21">'RES_ru-RU'!$CD$93</definedName>
    <definedName name="dbTTest3_RangeInpFld" localSheetId="22">'RES_sl-SI'!$CD$93</definedName>
    <definedName name="dbTTest3_RangeInpFld" localSheetId="23">'RES_sv-SE'!$CD$93</definedName>
    <definedName name="dbTTest3_RangeInpFld" localSheetId="24">'RES_tr-TR'!$CD$93</definedName>
    <definedName name="dbTTest3_RangeInpFld" localSheetId="25">'RES_zh-CN'!$CD$93</definedName>
    <definedName name="dbTTest3_RangeInpFld" localSheetId="26">'RES_zh-TW'!$CD$93</definedName>
    <definedName name="dbTTest3_RangeRef" localSheetId="3">'RES_cs-CZ'!$CJ$93</definedName>
    <definedName name="dbTTest3_RangeRef" localSheetId="4">'RES_da-DK'!$CJ$93</definedName>
    <definedName name="dbTTest3_RangeRef" localSheetId="5">'RES_de-DE'!$CJ$93</definedName>
    <definedName name="dbTTest3_RangeRef" localSheetId="6">'RES_el-GR'!$CJ$93</definedName>
    <definedName name="dbTTest3_RangeRef" localSheetId="2">'RES_en-US'!$CJ$93</definedName>
    <definedName name="dbTTest3_RangeRef" localSheetId="7">'RES_es-ES'!$CJ$93</definedName>
    <definedName name="dbTTest3_RangeRef" localSheetId="8">'RES_fi-FI'!$CJ$93</definedName>
    <definedName name="dbTTest3_RangeRef" localSheetId="1">'RES_fr-FR'!$CJ$93</definedName>
    <definedName name="dbTTest3_RangeRef" localSheetId="9">'RES_hr-HR'!$CJ$93</definedName>
    <definedName name="dbTTest3_RangeRef" localSheetId="10">'RES_hu-HU'!$CJ$93</definedName>
    <definedName name="dbTTest3_RangeRef" localSheetId="11">'RES_it-IT'!$CJ$93</definedName>
    <definedName name="dbTTest3_RangeRef" localSheetId="12">'RES_ja-JP'!$CJ$93</definedName>
    <definedName name="dbTTest3_RangeRef" localSheetId="13">'RES_ko-KR'!$CJ$93</definedName>
    <definedName name="dbTTest3_RangeRef" localSheetId="14">'RES_lv-LV'!$CJ$93</definedName>
    <definedName name="dbTTest3_RangeRef" localSheetId="15">'RES_nb-NO'!$CJ$93</definedName>
    <definedName name="dbTTest3_RangeRef" localSheetId="16">'RES_nl-NL'!$CJ$93</definedName>
    <definedName name="dbTTest3_RangeRef" localSheetId="17">'RES_pl-PL'!$CJ$93</definedName>
    <definedName name="dbTTest3_RangeRef" localSheetId="18">'RES_pt-BR'!$CJ$93</definedName>
    <definedName name="dbTTest3_RangeRef" localSheetId="19">'RES_pt-PT'!$CJ$93</definedName>
    <definedName name="dbTTest3_RangeRef" localSheetId="20">'RES_ro-RO'!$CJ$93</definedName>
    <definedName name="dbTTest3_RangeRef" localSheetId="21">'RES_ru-RU'!$CJ$93</definedName>
    <definedName name="dbTTest3_RangeRef" localSheetId="22">'RES_sl-SI'!$CJ$93</definedName>
    <definedName name="dbTTest3_RangeRef" localSheetId="23">'RES_sv-SE'!$CJ$93</definedName>
    <definedName name="dbTTest3_RangeRef" localSheetId="24">'RES_tr-TR'!$CJ$93</definedName>
    <definedName name="dbTTest3_RangeRef" localSheetId="25">'RES_zh-CN'!$CJ$93</definedName>
    <definedName name="dbTTest3_RangeRef" localSheetId="26">'RES_zh-TW'!$CJ$93</definedName>
    <definedName name="dbTTest3_VarRng1" localSheetId="3">'RES_cs-CZ'!$CJ$80</definedName>
    <definedName name="dbTTest3_VarRng1" localSheetId="4">'RES_da-DK'!$CJ$80</definedName>
    <definedName name="dbTTest3_VarRng1" localSheetId="5">'RES_de-DE'!$CJ$80</definedName>
    <definedName name="dbTTest3_VarRng1" localSheetId="6">'RES_el-GR'!$CJ$80</definedName>
    <definedName name="dbTTest3_VarRng1" localSheetId="2">'RES_en-US'!$CJ$80</definedName>
    <definedName name="dbTTest3_VarRng1" localSheetId="7">'RES_es-ES'!$CJ$80</definedName>
    <definedName name="dbTTest3_VarRng1" localSheetId="8">'RES_fi-FI'!$CJ$80</definedName>
    <definedName name="dbTTest3_VarRng1" localSheetId="1">'RES_fr-FR'!$CJ$80</definedName>
    <definedName name="dbTTest3_VarRng1" localSheetId="9">'RES_hr-HR'!$CJ$80</definedName>
    <definedName name="dbTTest3_VarRng1" localSheetId="10">'RES_hu-HU'!$CJ$80</definedName>
    <definedName name="dbTTest3_VarRng1" localSheetId="11">'RES_it-IT'!$CJ$80</definedName>
    <definedName name="dbTTest3_VarRng1" localSheetId="12">'RES_ja-JP'!$CJ$80</definedName>
    <definedName name="dbTTest3_VarRng1" localSheetId="13">'RES_ko-KR'!$CJ$80</definedName>
    <definedName name="dbTTest3_VarRng1" localSheetId="14">'RES_lv-LV'!$CJ$80</definedName>
    <definedName name="dbTTest3_VarRng1" localSheetId="15">'RES_nb-NO'!$CJ$80</definedName>
    <definedName name="dbTTest3_VarRng1" localSheetId="16">'RES_nl-NL'!$CJ$80</definedName>
    <definedName name="dbTTest3_VarRng1" localSheetId="17">'RES_pl-PL'!$CJ$80</definedName>
    <definedName name="dbTTest3_VarRng1" localSheetId="18">'RES_pt-BR'!$CJ$80</definedName>
    <definedName name="dbTTest3_VarRng1" localSheetId="19">'RES_pt-PT'!$CJ$80</definedName>
    <definedName name="dbTTest3_VarRng1" localSheetId="20">'RES_ro-RO'!$CJ$80</definedName>
    <definedName name="dbTTest3_VarRng1" localSheetId="21">'RES_ru-RU'!$CJ$80</definedName>
    <definedName name="dbTTest3_VarRng1" localSheetId="22">'RES_sl-SI'!$CJ$80</definedName>
    <definedName name="dbTTest3_VarRng1" localSheetId="23">'RES_sv-SE'!$CJ$80</definedName>
    <definedName name="dbTTest3_VarRng1" localSheetId="24">'RES_tr-TR'!$CJ$80</definedName>
    <definedName name="dbTTest3_VarRng1" localSheetId="25">'RES_zh-CN'!$CJ$80</definedName>
    <definedName name="dbTTest3_VarRng1" localSheetId="26">'RES_zh-TW'!$CJ$80</definedName>
    <definedName name="dbTTest3_VarRng2" localSheetId="3">'RES_cs-CZ'!$CJ$82</definedName>
    <definedName name="dbTTest3_VarRng2" localSheetId="4">'RES_da-DK'!$CJ$82</definedName>
    <definedName name="dbTTest3_VarRng2" localSheetId="5">'RES_de-DE'!$CJ$82</definedName>
    <definedName name="dbTTest3_VarRng2" localSheetId="6">'RES_el-GR'!$CJ$82</definedName>
    <definedName name="dbTTest3_VarRng2" localSheetId="2">'RES_en-US'!$CJ$82</definedName>
    <definedName name="dbTTest3_VarRng2" localSheetId="7">'RES_es-ES'!$CJ$82</definedName>
    <definedName name="dbTTest3_VarRng2" localSheetId="8">'RES_fi-FI'!$CJ$82</definedName>
    <definedName name="dbTTest3_VarRng2" localSheetId="1">'RES_fr-FR'!$CJ$82</definedName>
    <definedName name="dbTTest3_VarRng2" localSheetId="9">'RES_hr-HR'!$CJ$82</definedName>
    <definedName name="dbTTest3_VarRng2" localSheetId="10">'RES_hu-HU'!$CJ$82</definedName>
    <definedName name="dbTTest3_VarRng2" localSheetId="11">'RES_it-IT'!$CJ$82</definedName>
    <definedName name="dbTTest3_VarRng2" localSheetId="12">'RES_ja-JP'!$CJ$82</definedName>
    <definedName name="dbTTest3_VarRng2" localSheetId="13">'RES_ko-KR'!$CJ$82</definedName>
    <definedName name="dbTTest3_VarRng2" localSheetId="14">'RES_lv-LV'!$CJ$82</definedName>
    <definedName name="dbTTest3_VarRng2" localSheetId="15">'RES_nb-NO'!$CJ$82</definedName>
    <definedName name="dbTTest3_VarRng2" localSheetId="16">'RES_nl-NL'!$CJ$82</definedName>
    <definedName name="dbTTest3_VarRng2" localSheetId="17">'RES_pl-PL'!$CJ$82</definedName>
    <definedName name="dbTTest3_VarRng2" localSheetId="18">'RES_pt-BR'!$CJ$82</definedName>
    <definedName name="dbTTest3_VarRng2" localSheetId="19">'RES_pt-PT'!$CJ$82</definedName>
    <definedName name="dbTTest3_VarRng2" localSheetId="20">'RES_ro-RO'!$CJ$82</definedName>
    <definedName name="dbTTest3_VarRng2" localSheetId="21">'RES_ru-RU'!$CJ$82</definedName>
    <definedName name="dbTTest3_VarRng2" localSheetId="22">'RES_sl-SI'!$CJ$82</definedName>
    <definedName name="dbTTest3_VarRng2" localSheetId="23">'RES_sv-SE'!$CJ$82</definedName>
    <definedName name="dbTTest3_VarRng2" localSheetId="24">'RES_tr-TR'!$CJ$82</definedName>
    <definedName name="dbTTest3_VarRng2" localSheetId="25">'RES_zh-CN'!$CJ$82</definedName>
    <definedName name="dbTTest3_VarRng2" localSheetId="26">'RES_zh-TW'!$CJ$82</definedName>
    <definedName name="dbTTest3Title" localSheetId="3">'RES_cs-CZ'!$CI$75</definedName>
    <definedName name="dbTTest3Title" localSheetId="4">'RES_da-DK'!$CI$75</definedName>
    <definedName name="dbTTest3Title" localSheetId="5">'RES_de-DE'!$CI$75</definedName>
    <definedName name="dbTTest3Title" localSheetId="6">'RES_el-GR'!$CI$75</definedName>
    <definedName name="dbTTest3Title" localSheetId="2">'RES_en-US'!$CI$75</definedName>
    <definedName name="dbTTest3Title" localSheetId="7">'RES_es-ES'!$CI$75</definedName>
    <definedName name="dbTTest3Title" localSheetId="8">'RES_fi-FI'!$CI$75</definedName>
    <definedName name="dbTTest3Title" localSheetId="1">'RES_fr-FR'!$CI$75</definedName>
    <definedName name="dbTTest3Title" localSheetId="9">'RES_hr-HR'!$CI$75</definedName>
    <definedName name="dbTTest3Title" localSheetId="10">'RES_hu-HU'!$CI$75</definedName>
    <definedName name="dbTTest3Title" localSheetId="11">'RES_it-IT'!$CI$75</definedName>
    <definedName name="dbTTest3Title" localSheetId="12">'RES_ja-JP'!$CI$75</definedName>
    <definedName name="dbTTest3Title" localSheetId="13">'RES_ko-KR'!$CI$75</definedName>
    <definedName name="dbTTest3Title" localSheetId="14">'RES_lv-LV'!$CI$75</definedName>
    <definedName name="dbTTest3Title" localSheetId="15">'RES_nb-NO'!$CI$75</definedName>
    <definedName name="dbTTest3Title" localSheetId="16">'RES_nl-NL'!$CI$75</definedName>
    <definedName name="dbTTest3Title" localSheetId="17">'RES_pl-PL'!$CI$75</definedName>
    <definedName name="dbTTest3Title" localSheetId="18">'RES_pt-BR'!$CI$75</definedName>
    <definedName name="dbTTest3Title" localSheetId="19">'RES_pt-PT'!$CI$75</definedName>
    <definedName name="dbTTest3Title" localSheetId="20">'RES_ro-RO'!$CI$75</definedName>
    <definedName name="dbTTest3Title" localSheetId="21">'RES_ru-RU'!$CI$75</definedName>
    <definedName name="dbTTest3Title" localSheetId="22">'RES_sl-SI'!$CI$75</definedName>
    <definedName name="dbTTest3Title" localSheetId="23">'RES_sv-SE'!$CI$75</definedName>
    <definedName name="dbTTest3Title" localSheetId="24">'RES_tr-TR'!$CI$75</definedName>
    <definedName name="dbTTest3Title" localSheetId="25">'RES_zh-CN'!$CI$75</definedName>
    <definedName name="dbTTest3Title" localSheetId="26">'RES_zh-TW'!$CI$75</definedName>
    <definedName name="dbUniform" localSheetId="3">'RES_cs-CZ'!$CT$36:$CZ$47</definedName>
    <definedName name="dbUniform" localSheetId="4">'RES_da-DK'!$CT$36:$CZ$47</definedName>
    <definedName name="dbUniform" localSheetId="5">'RES_de-DE'!$CT$36:$CZ$47</definedName>
    <definedName name="dbUniform" localSheetId="6">'RES_el-GR'!$CT$36:$CZ$47</definedName>
    <definedName name="dbUniform" localSheetId="2">'RES_en-US'!$CT$36:$CZ$47</definedName>
    <definedName name="dbUniform" localSheetId="7">'RES_es-ES'!$CT$36:$CZ$47</definedName>
    <definedName name="dbUniform" localSheetId="8">'RES_fi-FI'!$CT$36:$CZ$47</definedName>
    <definedName name="dbUniform" localSheetId="1">'RES_fr-FR'!$CT$36:$CZ$47</definedName>
    <definedName name="dbUniform" localSheetId="9">'RES_hr-HR'!$CT$36:$CZ$47</definedName>
    <definedName name="dbUniform" localSheetId="10">'RES_hu-HU'!$CT$36:$CZ$47</definedName>
    <definedName name="dbUniform" localSheetId="11">'RES_it-IT'!$CT$36:$CZ$47</definedName>
    <definedName name="dbUniform" localSheetId="12">'RES_ja-JP'!$CT$36:$CZ$47</definedName>
    <definedName name="dbUniform" localSheetId="13">'RES_ko-KR'!$CT$36:$CZ$47</definedName>
    <definedName name="dbUniform" localSheetId="14">'RES_lv-LV'!$CT$36:$CZ$47</definedName>
    <definedName name="dbUniform" localSheetId="15">'RES_nb-NO'!$CT$36:$CZ$47</definedName>
    <definedName name="dbUniform" localSheetId="16">'RES_nl-NL'!$CT$36:$CZ$47</definedName>
    <definedName name="dbUniform" localSheetId="17">'RES_pl-PL'!$CT$36:$CZ$47</definedName>
    <definedName name="dbUniform" localSheetId="18">'RES_pt-BR'!$CT$36:$CZ$47</definedName>
    <definedName name="dbUniform" localSheetId="19">'RES_pt-PT'!$CT$36:$CZ$47</definedName>
    <definedName name="dbUniform" localSheetId="20">'RES_ro-RO'!$CT$36:$CZ$47</definedName>
    <definedName name="dbUniform" localSheetId="21">'RES_ru-RU'!$CT$36:$CZ$47</definedName>
    <definedName name="dbUniform" localSheetId="22">'RES_sl-SI'!$CT$36:$CZ$47</definedName>
    <definedName name="dbUniform" localSheetId="23">'RES_sv-SE'!$CT$36:$CZ$47</definedName>
    <definedName name="dbUniform" localSheetId="24">'RES_tr-TR'!$CT$36:$CZ$47</definedName>
    <definedName name="dbUniform" localSheetId="25">'RES_zh-CN'!$CT$36:$CZ$47</definedName>
    <definedName name="dbUniform" localSheetId="26">'RES_zh-TW'!$CT$36:$CZ$47</definedName>
    <definedName name="dbZTest" localSheetId="3">'RES_cs-CZ'!$CD$100:$CJ$124</definedName>
    <definedName name="dbZTest" localSheetId="4">'RES_da-DK'!$CD$100:$CJ$124</definedName>
    <definedName name="dbZTest" localSheetId="5">'RES_de-DE'!$CD$100:$CJ$124</definedName>
    <definedName name="dbZTest" localSheetId="6">'RES_el-GR'!$CD$100:$CJ$124</definedName>
    <definedName name="dbZTest" localSheetId="2">'RES_en-US'!$CD$100:$CJ$124</definedName>
    <definedName name="dbZTest" localSheetId="7">'RES_es-ES'!$CD$100:$CJ$124</definedName>
    <definedName name="dbZTest" localSheetId="8">'RES_fi-FI'!$CD$100:$CJ$124</definedName>
    <definedName name="dbZTest" localSheetId="1">'RES_fr-FR'!$CD$100:$CJ$124</definedName>
    <definedName name="dbZTest" localSheetId="9">'RES_hr-HR'!$CD$100:$CJ$124</definedName>
    <definedName name="dbZTest" localSheetId="10">'RES_hu-HU'!$CD$100:$CJ$124</definedName>
    <definedName name="dbZTest" localSheetId="11">'RES_it-IT'!$CD$100:$CJ$124</definedName>
    <definedName name="dbZTest" localSheetId="12">'RES_ja-JP'!$CD$100:$CJ$124</definedName>
    <definedName name="dbZTest" localSheetId="13">'RES_ko-KR'!$CD$100:$CJ$124</definedName>
    <definedName name="dbZTest" localSheetId="14">'RES_lv-LV'!$CD$100:$CJ$124</definedName>
    <definedName name="dbZTest" localSheetId="15">'RES_nb-NO'!$CD$100:$CJ$124</definedName>
    <definedName name="dbZTest" localSheetId="16">'RES_nl-NL'!$CD$100:$CJ$124</definedName>
    <definedName name="dbZTest" localSheetId="17">'RES_pl-PL'!$CD$100:$CJ$124</definedName>
    <definedName name="dbZTest" localSheetId="18">'RES_pt-BR'!$CD$100:$CJ$124</definedName>
    <definedName name="dbZTest" localSheetId="19">'RES_pt-PT'!$CD$100:$CJ$124</definedName>
    <definedName name="dbZTest" localSheetId="20">'RES_ro-RO'!$CD$100:$CJ$124</definedName>
    <definedName name="dbZTest" localSheetId="21">'RES_ru-RU'!$CD$100:$CJ$124</definedName>
    <definedName name="dbZTest" localSheetId="22">'RES_sl-SI'!$CD$100:$CJ$124</definedName>
    <definedName name="dbZTest" localSheetId="23">'RES_sv-SE'!$CD$100:$CJ$124</definedName>
    <definedName name="dbZTest" localSheetId="24">'RES_tr-TR'!$CD$100:$CJ$124</definedName>
    <definedName name="dbZTest" localSheetId="25">'RES_zh-CN'!$CD$100:$CJ$124</definedName>
    <definedName name="dbZTest" localSheetId="26">'RES_zh-TW'!$CD$100:$CJ$124</definedName>
    <definedName name="dbZTest_AlphaValue" localSheetId="3">'RES_cs-CZ'!$CJ$116</definedName>
    <definedName name="dbZTest_AlphaValue" localSheetId="4">'RES_da-DK'!$CJ$116</definedName>
    <definedName name="dbZTest_AlphaValue" localSheetId="5">'RES_de-DE'!$CJ$116</definedName>
    <definedName name="dbZTest_AlphaValue" localSheetId="6">'RES_el-GR'!$CJ$116</definedName>
    <definedName name="dbZTest_AlphaValue" localSheetId="2">'RES_en-US'!$CJ$116</definedName>
    <definedName name="dbZTest_AlphaValue" localSheetId="7">'RES_es-ES'!$CJ$116</definedName>
    <definedName name="dbZTest_AlphaValue" localSheetId="8">'RES_fi-FI'!$CJ$116</definedName>
    <definedName name="dbZTest_AlphaValue" localSheetId="1">'RES_fr-FR'!$CJ$116</definedName>
    <definedName name="dbZTest_AlphaValue" localSheetId="9">'RES_hr-HR'!$CJ$116</definedName>
    <definedName name="dbZTest_AlphaValue" localSheetId="10">'RES_hu-HU'!$CJ$116</definedName>
    <definedName name="dbZTest_AlphaValue" localSheetId="11">'RES_it-IT'!$CJ$116</definedName>
    <definedName name="dbZTest_AlphaValue" localSheetId="12">'RES_ja-JP'!$CJ$116</definedName>
    <definedName name="dbZTest_AlphaValue" localSheetId="13">'RES_ko-KR'!$CJ$116</definedName>
    <definedName name="dbZTest_AlphaValue" localSheetId="14">'RES_lv-LV'!$CJ$116</definedName>
    <definedName name="dbZTest_AlphaValue" localSheetId="15">'RES_nb-NO'!$CJ$116</definedName>
    <definedName name="dbZTest_AlphaValue" localSheetId="16">'RES_nl-NL'!$CJ$116</definedName>
    <definedName name="dbZTest_AlphaValue" localSheetId="17">'RES_pl-PL'!$CJ$116</definedName>
    <definedName name="dbZTest_AlphaValue" localSheetId="18">'RES_pt-BR'!$CJ$116</definedName>
    <definedName name="dbZTest_AlphaValue" localSheetId="19">'RES_pt-PT'!$CJ$116</definedName>
    <definedName name="dbZTest_AlphaValue" localSheetId="20">'RES_ro-RO'!$CJ$116</definedName>
    <definedName name="dbZTest_AlphaValue" localSheetId="21">'RES_ru-RU'!$CJ$116</definedName>
    <definedName name="dbZTest_AlphaValue" localSheetId="22">'RES_sl-SI'!$CJ$116</definedName>
    <definedName name="dbZTest_AlphaValue" localSheetId="23">'RES_sv-SE'!$CJ$116</definedName>
    <definedName name="dbZTest_AlphaValue" localSheetId="24">'RES_tr-TR'!$CJ$116</definedName>
    <definedName name="dbZTest_AlphaValue" localSheetId="25">'RES_zh-CN'!$CJ$116</definedName>
    <definedName name="dbZTest_AlphaValue" localSheetId="26">'RES_zh-TW'!$CJ$116</definedName>
    <definedName name="dbZTest_LblChkBox" localSheetId="3">'RES_cs-CZ'!$CJ$114</definedName>
    <definedName name="dbZTest_LblChkBox" localSheetId="4">'RES_da-DK'!$CJ$114</definedName>
    <definedName name="dbZTest_LblChkBox" localSheetId="5">'RES_de-DE'!$CJ$114</definedName>
    <definedName name="dbZTest_LblChkBox" localSheetId="6">'RES_el-GR'!$CJ$114</definedName>
    <definedName name="dbZTest_LblChkBox" localSheetId="2">'RES_en-US'!$CJ$114</definedName>
    <definedName name="dbZTest_LblChkBox" localSheetId="7">'RES_es-ES'!$CJ$114</definedName>
    <definedName name="dbZTest_LblChkBox" localSheetId="8">'RES_fi-FI'!$CJ$114</definedName>
    <definedName name="dbZTest_LblChkBox" localSheetId="1">'RES_fr-FR'!$CJ$114</definedName>
    <definedName name="dbZTest_LblChkBox" localSheetId="9">'RES_hr-HR'!$CJ$114</definedName>
    <definedName name="dbZTest_LblChkBox" localSheetId="10">'RES_hu-HU'!$CJ$114</definedName>
    <definedName name="dbZTest_LblChkBox" localSheetId="11">'RES_it-IT'!$CJ$114</definedName>
    <definedName name="dbZTest_LblChkBox" localSheetId="12">'RES_ja-JP'!$CJ$114</definedName>
    <definedName name="dbZTest_LblChkBox" localSheetId="13">'RES_ko-KR'!$CJ$114</definedName>
    <definedName name="dbZTest_LblChkBox" localSheetId="14">'RES_lv-LV'!$CJ$114</definedName>
    <definedName name="dbZTest_LblChkBox" localSheetId="15">'RES_nb-NO'!$CJ$114</definedName>
    <definedName name="dbZTest_LblChkBox" localSheetId="16">'RES_nl-NL'!$CJ$114</definedName>
    <definedName name="dbZTest_LblChkBox" localSheetId="17">'RES_pl-PL'!$CJ$114</definedName>
    <definedName name="dbZTest_LblChkBox" localSheetId="18">'RES_pt-BR'!$CJ$114</definedName>
    <definedName name="dbZTest_LblChkBox" localSheetId="19">'RES_pt-PT'!$CJ$114</definedName>
    <definedName name="dbZTest_LblChkBox" localSheetId="20">'RES_ro-RO'!$CJ$114</definedName>
    <definedName name="dbZTest_LblChkBox" localSheetId="21">'RES_ru-RU'!$CJ$114</definedName>
    <definedName name="dbZTest_LblChkBox" localSheetId="22">'RES_sl-SI'!$CJ$114</definedName>
    <definedName name="dbZTest_LblChkBox" localSheetId="23">'RES_sv-SE'!$CJ$114</definedName>
    <definedName name="dbZTest_LblChkBox" localSheetId="24">'RES_tr-TR'!$CJ$114</definedName>
    <definedName name="dbZTest_LblChkBox" localSheetId="25">'RES_zh-CN'!$CJ$114</definedName>
    <definedName name="dbZTest_LblChkBox" localSheetId="26">'RES_zh-TW'!$CJ$114</definedName>
    <definedName name="dbZTest_MeanDiff" localSheetId="3">'RES_cs-CZ'!$CJ$109</definedName>
    <definedName name="dbZTest_MeanDiff" localSheetId="4">'RES_da-DK'!$CJ$109</definedName>
    <definedName name="dbZTest_MeanDiff" localSheetId="5">'RES_de-DE'!$CJ$109</definedName>
    <definedName name="dbZTest_MeanDiff" localSheetId="6">'RES_el-GR'!$CJ$109</definedName>
    <definedName name="dbZTest_MeanDiff" localSheetId="2">'RES_en-US'!$CJ$109</definedName>
    <definedName name="dbZTest_MeanDiff" localSheetId="7">'RES_es-ES'!$CJ$109</definedName>
    <definedName name="dbZTest_MeanDiff" localSheetId="8">'RES_fi-FI'!$CJ$109</definedName>
    <definedName name="dbZTest_MeanDiff" localSheetId="1">'RES_fr-FR'!$CJ$109</definedName>
    <definedName name="dbZTest_MeanDiff" localSheetId="9">'RES_hr-HR'!$CJ$109</definedName>
    <definedName name="dbZTest_MeanDiff" localSheetId="10">'RES_hu-HU'!$CJ$109</definedName>
    <definedName name="dbZTest_MeanDiff" localSheetId="11">'RES_it-IT'!$CJ$109</definedName>
    <definedName name="dbZTest_MeanDiff" localSheetId="12">'RES_ja-JP'!$CJ$109</definedName>
    <definedName name="dbZTest_MeanDiff" localSheetId="13">'RES_ko-KR'!$CJ$109</definedName>
    <definedName name="dbZTest_MeanDiff" localSheetId="14">'RES_lv-LV'!$CJ$109</definedName>
    <definedName name="dbZTest_MeanDiff" localSheetId="15">'RES_nb-NO'!$CJ$109</definedName>
    <definedName name="dbZTest_MeanDiff" localSheetId="16">'RES_nl-NL'!$CJ$109</definedName>
    <definedName name="dbZTest_MeanDiff" localSheetId="17">'RES_pl-PL'!$CJ$109</definedName>
    <definedName name="dbZTest_MeanDiff" localSheetId="18">'RES_pt-BR'!$CJ$109</definedName>
    <definedName name="dbZTest_MeanDiff" localSheetId="19">'RES_pt-PT'!$CJ$109</definedName>
    <definedName name="dbZTest_MeanDiff" localSheetId="20">'RES_ro-RO'!$CJ$109</definedName>
    <definedName name="dbZTest_MeanDiff" localSheetId="21">'RES_ru-RU'!$CJ$109</definedName>
    <definedName name="dbZTest_MeanDiff" localSheetId="22">'RES_sl-SI'!$CJ$109</definedName>
    <definedName name="dbZTest_MeanDiff" localSheetId="23">'RES_sv-SE'!$CJ$109</definedName>
    <definedName name="dbZTest_MeanDiff" localSheetId="24">'RES_tr-TR'!$CJ$109</definedName>
    <definedName name="dbZTest_MeanDiff" localSheetId="25">'RES_zh-CN'!$CJ$109</definedName>
    <definedName name="dbZTest_MeanDiff" localSheetId="26">'RES_zh-TW'!$CJ$109</definedName>
    <definedName name="dbZTest_NewRef" localSheetId="3">'RES_cs-CZ'!$CJ$123</definedName>
    <definedName name="dbZTest_NewRef" localSheetId="4">'RES_da-DK'!$CJ$123</definedName>
    <definedName name="dbZTest_NewRef" localSheetId="5">'RES_de-DE'!$CJ$123</definedName>
    <definedName name="dbZTest_NewRef" localSheetId="6">'RES_el-GR'!$CJ$123</definedName>
    <definedName name="dbZTest_NewRef" localSheetId="2">'RES_en-US'!$CJ$123</definedName>
    <definedName name="dbZTest_NewRef" localSheetId="7">'RES_es-ES'!$CJ$123</definedName>
    <definedName name="dbZTest_NewRef" localSheetId="8">'RES_fi-FI'!$CJ$123</definedName>
    <definedName name="dbZTest_NewRef" localSheetId="1">'RES_fr-FR'!$CJ$123</definedName>
    <definedName name="dbZTest_NewRef" localSheetId="9">'RES_hr-HR'!$CJ$123</definedName>
    <definedName name="dbZTest_NewRef" localSheetId="10">'RES_hu-HU'!$CJ$123</definedName>
    <definedName name="dbZTest_NewRef" localSheetId="11">'RES_it-IT'!$CJ$123</definedName>
    <definedName name="dbZTest_NewRef" localSheetId="12">'RES_ja-JP'!$CJ$123</definedName>
    <definedName name="dbZTest_NewRef" localSheetId="13">'RES_ko-KR'!$CJ$123</definedName>
    <definedName name="dbZTest_NewRef" localSheetId="14">'RES_lv-LV'!$CJ$123</definedName>
    <definedName name="dbZTest_NewRef" localSheetId="15">'RES_nb-NO'!$CJ$123</definedName>
    <definedName name="dbZTest_NewRef" localSheetId="16">'RES_nl-NL'!$CJ$123</definedName>
    <definedName name="dbZTest_NewRef" localSheetId="17">'RES_pl-PL'!$CJ$123</definedName>
    <definedName name="dbZTest_NewRef" localSheetId="18">'RES_pt-BR'!$CJ$123</definedName>
    <definedName name="dbZTest_NewRef" localSheetId="19">'RES_pt-PT'!$CJ$123</definedName>
    <definedName name="dbZTest_NewRef" localSheetId="20">'RES_ro-RO'!$CJ$123</definedName>
    <definedName name="dbZTest_NewRef" localSheetId="21">'RES_ru-RU'!$CJ$123</definedName>
    <definedName name="dbZTest_NewRef" localSheetId="22">'RES_sl-SI'!$CJ$123</definedName>
    <definedName name="dbZTest_NewRef" localSheetId="23">'RES_sv-SE'!$CJ$123</definedName>
    <definedName name="dbZTest_NewRef" localSheetId="24">'RES_tr-TR'!$CJ$123</definedName>
    <definedName name="dbZTest_NewRef" localSheetId="25">'RES_zh-CN'!$CJ$123</definedName>
    <definedName name="dbZTest_NewRef" localSheetId="26">'RES_zh-TW'!$CJ$123</definedName>
    <definedName name="dbZTest_NewType" localSheetId="3">'RES_cs-CZ'!$CD$123</definedName>
    <definedName name="dbZTest_NewType" localSheetId="4">'RES_da-DK'!$CD$123</definedName>
    <definedName name="dbZTest_NewType" localSheetId="5">'RES_de-DE'!$CD$123</definedName>
    <definedName name="dbZTest_NewType" localSheetId="6">'RES_el-GR'!$CD$123</definedName>
    <definedName name="dbZTest_NewType" localSheetId="2">'RES_en-US'!$CD$123</definedName>
    <definedName name="dbZTest_NewType" localSheetId="7">'RES_es-ES'!$CD$123</definedName>
    <definedName name="dbZTest_NewType" localSheetId="8">'RES_fi-FI'!$CD$123</definedName>
    <definedName name="dbZTest_NewType" localSheetId="1">'RES_fr-FR'!$CD$123</definedName>
    <definedName name="dbZTest_NewType" localSheetId="9">'RES_hr-HR'!$CD$123</definedName>
    <definedName name="dbZTest_NewType" localSheetId="10">'RES_hu-HU'!$CD$123</definedName>
    <definedName name="dbZTest_NewType" localSheetId="11">'RES_it-IT'!$CD$123</definedName>
    <definedName name="dbZTest_NewType" localSheetId="12">'RES_ja-JP'!$CD$123</definedName>
    <definedName name="dbZTest_NewType" localSheetId="13">'RES_ko-KR'!$CD$123</definedName>
    <definedName name="dbZTest_NewType" localSheetId="14">'RES_lv-LV'!$CD$123</definedName>
    <definedName name="dbZTest_NewType" localSheetId="15">'RES_nb-NO'!$CD$123</definedName>
    <definedName name="dbZTest_NewType" localSheetId="16">'RES_nl-NL'!$CD$123</definedName>
    <definedName name="dbZTest_NewType" localSheetId="17">'RES_pl-PL'!$CD$123</definedName>
    <definedName name="dbZTest_NewType" localSheetId="18">'RES_pt-BR'!$CD$123</definedName>
    <definedName name="dbZTest_NewType" localSheetId="19">'RES_pt-PT'!$CD$123</definedName>
    <definedName name="dbZTest_NewType" localSheetId="20">'RES_ro-RO'!$CD$123</definedName>
    <definedName name="dbZTest_NewType" localSheetId="21">'RES_ru-RU'!$CD$123</definedName>
    <definedName name="dbZTest_NewType" localSheetId="22">'RES_sl-SI'!$CD$123</definedName>
    <definedName name="dbZTest_NewType" localSheetId="23">'RES_sv-SE'!$CD$123</definedName>
    <definedName name="dbZTest_NewType" localSheetId="24">'RES_tr-TR'!$CD$123</definedName>
    <definedName name="dbZTest_NewType" localSheetId="25">'RES_zh-CN'!$CD$123</definedName>
    <definedName name="dbZTest_NewType" localSheetId="26">'RES_zh-TW'!$CD$123</definedName>
    <definedName name="dbZTest_OutOption" localSheetId="3">'RES_cs-CZ'!$CJ$118</definedName>
    <definedName name="dbZTest_OutOption" localSheetId="4">'RES_da-DK'!$CJ$118</definedName>
    <definedName name="dbZTest_OutOption" localSheetId="5">'RES_de-DE'!$CJ$118</definedName>
    <definedName name="dbZTest_OutOption" localSheetId="6">'RES_el-GR'!$CJ$118</definedName>
    <definedName name="dbZTest_OutOption" localSheetId="2">'RES_en-US'!$CJ$118</definedName>
    <definedName name="dbZTest_OutOption" localSheetId="7">'RES_es-ES'!$CJ$118</definedName>
    <definedName name="dbZTest_OutOption" localSheetId="8">'RES_fi-FI'!$CJ$118</definedName>
    <definedName name="dbZTest_OutOption" localSheetId="1">'RES_fr-FR'!$CJ$118</definedName>
    <definedName name="dbZTest_OutOption" localSheetId="9">'RES_hr-HR'!$CJ$118</definedName>
    <definedName name="dbZTest_OutOption" localSheetId="10">'RES_hu-HU'!$CJ$118</definedName>
    <definedName name="dbZTest_OutOption" localSheetId="11">'RES_it-IT'!$CJ$118</definedName>
    <definedName name="dbZTest_OutOption" localSheetId="12">'RES_ja-JP'!$CJ$118</definedName>
    <definedName name="dbZTest_OutOption" localSheetId="13">'RES_ko-KR'!$CJ$118</definedName>
    <definedName name="dbZTest_OutOption" localSheetId="14">'RES_lv-LV'!$CJ$118</definedName>
    <definedName name="dbZTest_OutOption" localSheetId="15">'RES_nb-NO'!$CJ$118</definedName>
    <definedName name="dbZTest_OutOption" localSheetId="16">'RES_nl-NL'!$CJ$118</definedName>
    <definedName name="dbZTest_OutOption" localSheetId="17">'RES_pl-PL'!$CJ$118</definedName>
    <definedName name="dbZTest_OutOption" localSheetId="18">'RES_pt-BR'!$CJ$118</definedName>
    <definedName name="dbZTest_OutOption" localSheetId="19">'RES_pt-PT'!$CJ$118</definedName>
    <definedName name="dbZTest_OutOption" localSheetId="20">'RES_ro-RO'!$CJ$118</definedName>
    <definedName name="dbZTest_OutOption" localSheetId="21">'RES_ru-RU'!$CJ$118</definedName>
    <definedName name="dbZTest_OutOption" localSheetId="22">'RES_sl-SI'!$CJ$118</definedName>
    <definedName name="dbZTest_OutOption" localSheetId="23">'RES_sv-SE'!$CJ$118</definedName>
    <definedName name="dbZTest_OutOption" localSheetId="24">'RES_tr-TR'!$CJ$118</definedName>
    <definedName name="dbZTest_OutOption" localSheetId="25">'RES_zh-CN'!$CJ$118</definedName>
    <definedName name="dbZTest_OutOption" localSheetId="26">'RES_zh-TW'!$CJ$118</definedName>
    <definedName name="dbZTest_OutRef" localSheetId="3">'RES_cs-CZ'!$CJ$122</definedName>
    <definedName name="dbZTest_OutRef" localSheetId="4">'RES_da-DK'!$CJ$122</definedName>
    <definedName name="dbZTest_OutRef" localSheetId="5">'RES_de-DE'!$CJ$122</definedName>
    <definedName name="dbZTest_OutRef" localSheetId="6">'RES_el-GR'!$CJ$122</definedName>
    <definedName name="dbZTest_OutRef" localSheetId="2">'RES_en-US'!$CJ$122</definedName>
    <definedName name="dbZTest_OutRef" localSheetId="7">'RES_es-ES'!$CJ$122</definedName>
    <definedName name="dbZTest_OutRef" localSheetId="8">'RES_fi-FI'!$CJ$122</definedName>
    <definedName name="dbZTest_OutRef" localSheetId="1">'RES_fr-FR'!$CJ$122</definedName>
    <definedName name="dbZTest_OutRef" localSheetId="9">'RES_hr-HR'!$CJ$122</definedName>
    <definedName name="dbZTest_OutRef" localSheetId="10">'RES_hu-HU'!$CJ$122</definedName>
    <definedName name="dbZTest_OutRef" localSheetId="11">'RES_it-IT'!$CJ$122</definedName>
    <definedName name="dbZTest_OutRef" localSheetId="12">'RES_ja-JP'!$CJ$122</definedName>
    <definedName name="dbZTest_OutRef" localSheetId="13">'RES_ko-KR'!$CJ$122</definedName>
    <definedName name="dbZTest_OutRef" localSheetId="14">'RES_lv-LV'!$CJ$122</definedName>
    <definedName name="dbZTest_OutRef" localSheetId="15">'RES_nb-NO'!$CJ$122</definedName>
    <definedName name="dbZTest_OutRef" localSheetId="16">'RES_nl-NL'!$CJ$122</definedName>
    <definedName name="dbZTest_OutRef" localSheetId="17">'RES_pl-PL'!$CJ$122</definedName>
    <definedName name="dbZTest_OutRef" localSheetId="18">'RES_pt-BR'!$CJ$122</definedName>
    <definedName name="dbZTest_OutRef" localSheetId="19">'RES_pt-PT'!$CJ$122</definedName>
    <definedName name="dbZTest_OutRef" localSheetId="20">'RES_ro-RO'!$CJ$122</definedName>
    <definedName name="dbZTest_OutRef" localSheetId="21">'RES_ru-RU'!$CJ$122</definedName>
    <definedName name="dbZTest_OutRef" localSheetId="22">'RES_sl-SI'!$CJ$122</definedName>
    <definedName name="dbZTest_OutRef" localSheetId="23">'RES_sv-SE'!$CJ$122</definedName>
    <definedName name="dbZTest_OutRef" localSheetId="24">'RES_tr-TR'!$CJ$122</definedName>
    <definedName name="dbZTest_OutRef" localSheetId="25">'RES_zh-CN'!$CJ$122</definedName>
    <definedName name="dbZTest_OutRef" localSheetId="26">'RES_zh-TW'!$CJ$122</definedName>
    <definedName name="dbZTest_OutType" localSheetId="3">'RES_cs-CZ'!$CD$122</definedName>
    <definedName name="dbZTest_OutType" localSheetId="4">'RES_da-DK'!$CD$122</definedName>
    <definedName name="dbZTest_OutType" localSheetId="5">'RES_de-DE'!$CD$122</definedName>
    <definedName name="dbZTest_OutType" localSheetId="6">'RES_el-GR'!$CD$122</definedName>
    <definedName name="dbZTest_OutType" localSheetId="2">'RES_en-US'!$CD$122</definedName>
    <definedName name="dbZTest_OutType" localSheetId="7">'RES_es-ES'!$CD$122</definedName>
    <definedName name="dbZTest_OutType" localSheetId="8">'RES_fi-FI'!$CD$122</definedName>
    <definedName name="dbZTest_OutType" localSheetId="1">'RES_fr-FR'!$CD$122</definedName>
    <definedName name="dbZTest_OutType" localSheetId="9">'RES_hr-HR'!$CD$122</definedName>
    <definedName name="dbZTest_OutType" localSheetId="10">'RES_hu-HU'!$CD$122</definedName>
    <definedName name="dbZTest_OutType" localSheetId="11">'RES_it-IT'!$CD$122</definedName>
    <definedName name="dbZTest_OutType" localSheetId="12">'RES_ja-JP'!$CD$122</definedName>
    <definedName name="dbZTest_OutType" localSheetId="13">'RES_ko-KR'!$CD$122</definedName>
    <definedName name="dbZTest_OutType" localSheetId="14">'RES_lv-LV'!$CD$122</definedName>
    <definedName name="dbZTest_OutType" localSheetId="15">'RES_nb-NO'!$CD$122</definedName>
    <definedName name="dbZTest_OutType" localSheetId="16">'RES_nl-NL'!$CD$122</definedName>
    <definedName name="dbZTest_OutType" localSheetId="17">'RES_pl-PL'!$CD$122</definedName>
    <definedName name="dbZTest_OutType" localSheetId="18">'RES_pt-BR'!$CD$122</definedName>
    <definedName name="dbZTest_OutType" localSheetId="19">'RES_pt-PT'!$CD$122</definedName>
    <definedName name="dbZTest_OutType" localSheetId="20">'RES_ro-RO'!$CD$122</definedName>
    <definedName name="dbZTest_OutType" localSheetId="21">'RES_ru-RU'!$CD$122</definedName>
    <definedName name="dbZTest_OutType" localSheetId="22">'RES_sl-SI'!$CD$122</definedName>
    <definedName name="dbZTest_OutType" localSheetId="23">'RES_sv-SE'!$CD$122</definedName>
    <definedName name="dbZTest_OutType" localSheetId="24">'RES_tr-TR'!$CD$122</definedName>
    <definedName name="dbZTest_OutType" localSheetId="25">'RES_zh-CN'!$CD$122</definedName>
    <definedName name="dbZTest_OutType" localSheetId="26">'RES_zh-TW'!$CD$122</definedName>
    <definedName name="dbZTest_PlyInpFld" localSheetId="3">'RES_cs-CZ'!$CD$123</definedName>
    <definedName name="dbZTest_PlyInpFld" localSheetId="4">'RES_da-DK'!$CD$123</definedName>
    <definedName name="dbZTest_PlyInpFld" localSheetId="5">'RES_de-DE'!$CD$123</definedName>
    <definedName name="dbZTest_PlyInpFld" localSheetId="6">'RES_el-GR'!$CD$123</definedName>
    <definedName name="dbZTest_PlyInpFld" localSheetId="2">'RES_en-US'!$CD$123</definedName>
    <definedName name="dbZTest_PlyInpFld" localSheetId="7">'RES_es-ES'!$CD$123</definedName>
    <definedName name="dbZTest_PlyInpFld" localSheetId="8">'RES_fi-FI'!$CD$123</definedName>
    <definedName name="dbZTest_PlyInpFld" localSheetId="1">'RES_fr-FR'!$CD$123</definedName>
    <definedName name="dbZTest_PlyInpFld" localSheetId="9">'RES_hr-HR'!$CD$123</definedName>
    <definedName name="dbZTest_PlyInpFld" localSheetId="10">'RES_hu-HU'!$CD$123</definedName>
    <definedName name="dbZTest_PlyInpFld" localSheetId="11">'RES_it-IT'!$CD$123</definedName>
    <definedName name="dbZTest_PlyInpFld" localSheetId="12">'RES_ja-JP'!$CD$123</definedName>
    <definedName name="dbZTest_PlyInpFld" localSheetId="13">'RES_ko-KR'!$CD$123</definedName>
    <definedName name="dbZTest_PlyInpFld" localSheetId="14">'RES_lv-LV'!$CD$123</definedName>
    <definedName name="dbZTest_PlyInpFld" localSheetId="15">'RES_nb-NO'!$CD$123</definedName>
    <definedName name="dbZTest_PlyInpFld" localSheetId="16">'RES_nl-NL'!$CD$123</definedName>
    <definedName name="dbZTest_PlyInpFld" localSheetId="17">'RES_pl-PL'!$CD$123</definedName>
    <definedName name="dbZTest_PlyInpFld" localSheetId="18">'RES_pt-BR'!$CD$123</definedName>
    <definedName name="dbZTest_PlyInpFld" localSheetId="19">'RES_pt-PT'!$CD$123</definedName>
    <definedName name="dbZTest_PlyInpFld" localSheetId="20">'RES_ro-RO'!$CD$123</definedName>
    <definedName name="dbZTest_PlyInpFld" localSheetId="21">'RES_ru-RU'!$CD$123</definedName>
    <definedName name="dbZTest_PlyInpFld" localSheetId="22">'RES_sl-SI'!$CD$123</definedName>
    <definedName name="dbZTest_PlyInpFld" localSheetId="23">'RES_sv-SE'!$CD$123</definedName>
    <definedName name="dbZTest_PlyInpFld" localSheetId="24">'RES_tr-TR'!$CD$123</definedName>
    <definedName name="dbZTest_PlyInpFld" localSheetId="25">'RES_zh-CN'!$CD$123</definedName>
    <definedName name="dbZTest_PlyInpFld" localSheetId="26">'RES_zh-TW'!$CD$123</definedName>
    <definedName name="dbZTest_PlyName" localSheetId="3">'RES_cs-CZ'!$CJ$123</definedName>
    <definedName name="dbZTest_PlyName" localSheetId="4">'RES_da-DK'!$CJ$123</definedName>
    <definedName name="dbZTest_PlyName" localSheetId="5">'RES_de-DE'!$CJ$123</definedName>
    <definedName name="dbZTest_PlyName" localSheetId="6">'RES_el-GR'!$CJ$123</definedName>
    <definedName name="dbZTest_PlyName" localSheetId="2">'RES_en-US'!$CJ$123</definedName>
    <definedName name="dbZTest_PlyName" localSheetId="7">'RES_es-ES'!$CJ$123</definedName>
    <definedName name="dbZTest_PlyName" localSheetId="8">'RES_fi-FI'!$CJ$123</definedName>
    <definedName name="dbZTest_PlyName" localSheetId="1">'RES_fr-FR'!$CJ$123</definedName>
    <definedName name="dbZTest_PlyName" localSheetId="9">'RES_hr-HR'!$CJ$123</definedName>
    <definedName name="dbZTest_PlyName" localSheetId="10">'RES_hu-HU'!$CJ$123</definedName>
    <definedName name="dbZTest_PlyName" localSheetId="11">'RES_it-IT'!$CJ$123</definedName>
    <definedName name="dbZTest_PlyName" localSheetId="12">'RES_ja-JP'!$CJ$123</definedName>
    <definedName name="dbZTest_PlyName" localSheetId="13">'RES_ko-KR'!$CJ$123</definedName>
    <definedName name="dbZTest_PlyName" localSheetId="14">'RES_lv-LV'!$CJ$123</definedName>
    <definedName name="dbZTest_PlyName" localSheetId="15">'RES_nb-NO'!$CJ$123</definedName>
    <definedName name="dbZTest_PlyName" localSheetId="16">'RES_nl-NL'!$CJ$123</definedName>
    <definedName name="dbZTest_PlyName" localSheetId="17">'RES_pl-PL'!$CJ$123</definedName>
    <definedName name="dbZTest_PlyName" localSheetId="18">'RES_pt-BR'!$CJ$123</definedName>
    <definedName name="dbZTest_PlyName" localSheetId="19">'RES_pt-PT'!$CJ$123</definedName>
    <definedName name="dbZTest_PlyName" localSheetId="20">'RES_ro-RO'!$CJ$123</definedName>
    <definedName name="dbZTest_PlyName" localSheetId="21">'RES_ru-RU'!$CJ$123</definedName>
    <definedName name="dbZTest_PlyName" localSheetId="22">'RES_sl-SI'!$CJ$123</definedName>
    <definedName name="dbZTest_PlyName" localSheetId="23">'RES_sv-SE'!$CJ$123</definedName>
    <definedName name="dbZTest_PlyName" localSheetId="24">'RES_tr-TR'!$CJ$123</definedName>
    <definedName name="dbZTest_PlyName" localSheetId="25">'RES_zh-CN'!$CJ$123</definedName>
    <definedName name="dbZTest_PlyName" localSheetId="26">'RES_zh-TW'!$CJ$123</definedName>
    <definedName name="dbZTest_RangeInpFld" localSheetId="3">'RES_cs-CZ'!$CD$122</definedName>
    <definedName name="dbZTest_RangeInpFld" localSheetId="4">'RES_da-DK'!$CD$122</definedName>
    <definedName name="dbZTest_RangeInpFld" localSheetId="5">'RES_de-DE'!$CD$122</definedName>
    <definedName name="dbZTest_RangeInpFld" localSheetId="6">'RES_el-GR'!$CD$122</definedName>
    <definedName name="dbZTest_RangeInpFld" localSheetId="2">'RES_en-US'!$CD$122</definedName>
    <definedName name="dbZTest_RangeInpFld" localSheetId="7">'RES_es-ES'!$CD$122</definedName>
    <definedName name="dbZTest_RangeInpFld" localSheetId="8">'RES_fi-FI'!$CD$122</definedName>
    <definedName name="dbZTest_RangeInpFld" localSheetId="1">'RES_fr-FR'!$CD$122</definedName>
    <definedName name="dbZTest_RangeInpFld" localSheetId="9">'RES_hr-HR'!$CD$122</definedName>
    <definedName name="dbZTest_RangeInpFld" localSheetId="10">'RES_hu-HU'!$CD$122</definedName>
    <definedName name="dbZTest_RangeInpFld" localSheetId="11">'RES_it-IT'!$CD$122</definedName>
    <definedName name="dbZTest_RangeInpFld" localSheetId="12">'RES_ja-JP'!$CD$122</definedName>
    <definedName name="dbZTest_RangeInpFld" localSheetId="13">'RES_ko-KR'!$CD$122</definedName>
    <definedName name="dbZTest_RangeInpFld" localSheetId="14">'RES_lv-LV'!$CD$122</definedName>
    <definedName name="dbZTest_RangeInpFld" localSheetId="15">'RES_nb-NO'!$CD$122</definedName>
    <definedName name="dbZTest_RangeInpFld" localSheetId="16">'RES_nl-NL'!$CD$122</definedName>
    <definedName name="dbZTest_RangeInpFld" localSheetId="17">'RES_pl-PL'!$CD$122</definedName>
    <definedName name="dbZTest_RangeInpFld" localSheetId="18">'RES_pt-BR'!$CD$122</definedName>
    <definedName name="dbZTest_RangeInpFld" localSheetId="19">'RES_pt-PT'!$CD$122</definedName>
    <definedName name="dbZTest_RangeInpFld" localSheetId="20">'RES_ro-RO'!$CD$122</definedName>
    <definedName name="dbZTest_RangeInpFld" localSheetId="21">'RES_ru-RU'!$CD$122</definedName>
    <definedName name="dbZTest_RangeInpFld" localSheetId="22">'RES_sl-SI'!$CD$122</definedName>
    <definedName name="dbZTest_RangeInpFld" localSheetId="23">'RES_sv-SE'!$CD$122</definedName>
    <definedName name="dbZTest_RangeInpFld" localSheetId="24">'RES_tr-TR'!$CD$122</definedName>
    <definedName name="dbZTest_RangeInpFld" localSheetId="25">'RES_zh-CN'!$CD$122</definedName>
    <definedName name="dbZTest_RangeInpFld" localSheetId="26">'RES_zh-TW'!$CD$122</definedName>
    <definedName name="dbZTest_RangeRef" localSheetId="3">'RES_cs-CZ'!$CJ$122</definedName>
    <definedName name="dbZTest_RangeRef" localSheetId="4">'RES_da-DK'!$CJ$122</definedName>
    <definedName name="dbZTest_RangeRef" localSheetId="5">'RES_de-DE'!$CJ$122</definedName>
    <definedName name="dbZTest_RangeRef" localSheetId="6">'RES_el-GR'!$CJ$122</definedName>
    <definedName name="dbZTest_RangeRef" localSheetId="2">'RES_en-US'!$CJ$122</definedName>
    <definedName name="dbZTest_RangeRef" localSheetId="7">'RES_es-ES'!$CJ$122</definedName>
    <definedName name="dbZTest_RangeRef" localSheetId="8">'RES_fi-FI'!$CJ$122</definedName>
    <definedName name="dbZTest_RangeRef" localSheetId="1">'RES_fr-FR'!$CJ$122</definedName>
    <definedName name="dbZTest_RangeRef" localSheetId="9">'RES_hr-HR'!$CJ$122</definedName>
    <definedName name="dbZTest_RangeRef" localSheetId="10">'RES_hu-HU'!$CJ$122</definedName>
    <definedName name="dbZTest_RangeRef" localSheetId="11">'RES_it-IT'!$CJ$122</definedName>
    <definedName name="dbZTest_RangeRef" localSheetId="12">'RES_ja-JP'!$CJ$122</definedName>
    <definedName name="dbZTest_RangeRef" localSheetId="13">'RES_ko-KR'!$CJ$122</definedName>
    <definedName name="dbZTest_RangeRef" localSheetId="14">'RES_lv-LV'!$CJ$122</definedName>
    <definedName name="dbZTest_RangeRef" localSheetId="15">'RES_nb-NO'!$CJ$122</definedName>
    <definedName name="dbZTest_RangeRef" localSheetId="16">'RES_nl-NL'!$CJ$122</definedName>
    <definedName name="dbZTest_RangeRef" localSheetId="17">'RES_pl-PL'!$CJ$122</definedName>
    <definedName name="dbZTest_RangeRef" localSheetId="18">'RES_pt-BR'!$CJ$122</definedName>
    <definedName name="dbZTest_RangeRef" localSheetId="19">'RES_pt-PT'!$CJ$122</definedName>
    <definedName name="dbZTest_RangeRef" localSheetId="20">'RES_ro-RO'!$CJ$122</definedName>
    <definedName name="dbZTest_RangeRef" localSheetId="21">'RES_ru-RU'!$CJ$122</definedName>
    <definedName name="dbZTest_RangeRef" localSheetId="22">'RES_sl-SI'!$CJ$122</definedName>
    <definedName name="dbZTest_RangeRef" localSheetId="23">'RES_sv-SE'!$CJ$122</definedName>
    <definedName name="dbZTest_RangeRef" localSheetId="24">'RES_tr-TR'!$CJ$122</definedName>
    <definedName name="dbZTest_RangeRef" localSheetId="25">'RES_zh-CN'!$CJ$122</definedName>
    <definedName name="dbZTest_RangeRef" localSheetId="26">'RES_zh-TW'!$CJ$122</definedName>
    <definedName name="dbZTest_VarianceVal1" localSheetId="3">'RES_cs-CZ'!$CJ$111</definedName>
    <definedName name="dbZTest_VarianceVal1" localSheetId="4">'RES_da-DK'!$CJ$111</definedName>
    <definedName name="dbZTest_VarianceVal1" localSheetId="5">'RES_de-DE'!$CJ$111</definedName>
    <definedName name="dbZTest_VarianceVal1" localSheetId="6">'RES_el-GR'!$CJ$111</definedName>
    <definedName name="dbZTest_VarianceVal1" localSheetId="2">'RES_en-US'!$CJ$111</definedName>
    <definedName name="dbZTest_VarianceVal1" localSheetId="7">'RES_es-ES'!$CJ$111</definedName>
    <definedName name="dbZTest_VarianceVal1" localSheetId="8">'RES_fi-FI'!$CJ$111</definedName>
    <definedName name="dbZTest_VarianceVal1" localSheetId="1">'RES_fr-FR'!$CJ$111</definedName>
    <definedName name="dbZTest_VarianceVal1" localSheetId="9">'RES_hr-HR'!$CJ$111</definedName>
    <definedName name="dbZTest_VarianceVal1" localSheetId="10">'RES_hu-HU'!$CJ$111</definedName>
    <definedName name="dbZTest_VarianceVal1" localSheetId="11">'RES_it-IT'!$CJ$111</definedName>
    <definedName name="dbZTest_VarianceVal1" localSheetId="12">'RES_ja-JP'!$CJ$111</definedName>
    <definedName name="dbZTest_VarianceVal1" localSheetId="13">'RES_ko-KR'!$CJ$111</definedName>
    <definedName name="dbZTest_VarianceVal1" localSheetId="14">'RES_lv-LV'!$CJ$111</definedName>
    <definedName name="dbZTest_VarianceVal1" localSheetId="15">'RES_nb-NO'!$CJ$111</definedName>
    <definedName name="dbZTest_VarianceVal1" localSheetId="16">'RES_nl-NL'!$CJ$111</definedName>
    <definedName name="dbZTest_VarianceVal1" localSheetId="17">'RES_pl-PL'!$CJ$111</definedName>
    <definedName name="dbZTest_VarianceVal1" localSheetId="18">'RES_pt-BR'!$CJ$111</definedName>
    <definedName name="dbZTest_VarianceVal1" localSheetId="19">'RES_pt-PT'!$CJ$111</definedName>
    <definedName name="dbZTest_VarianceVal1" localSheetId="20">'RES_ro-RO'!$CJ$111</definedName>
    <definedName name="dbZTest_VarianceVal1" localSheetId="21">'RES_ru-RU'!$CJ$111</definedName>
    <definedName name="dbZTest_VarianceVal1" localSheetId="22">'RES_sl-SI'!$CJ$111</definedName>
    <definedName name="dbZTest_VarianceVal1" localSheetId="23">'RES_sv-SE'!$CJ$111</definedName>
    <definedName name="dbZTest_VarianceVal1" localSheetId="24">'RES_tr-TR'!$CJ$111</definedName>
    <definedName name="dbZTest_VarianceVal1" localSheetId="25">'RES_zh-CN'!$CJ$111</definedName>
    <definedName name="dbZTest_VarianceVal1" localSheetId="26">'RES_zh-TW'!$CJ$111</definedName>
    <definedName name="dbZTest_VarianceVal2" localSheetId="3">'RES_cs-CZ'!$CJ$113</definedName>
    <definedName name="dbZTest_VarianceVal2" localSheetId="4">'RES_da-DK'!$CJ$113</definedName>
    <definedName name="dbZTest_VarianceVal2" localSheetId="5">'RES_de-DE'!$CJ$113</definedName>
    <definedName name="dbZTest_VarianceVal2" localSheetId="6">'RES_el-GR'!$CJ$113</definedName>
    <definedName name="dbZTest_VarianceVal2" localSheetId="2">'RES_en-US'!$CJ$113</definedName>
    <definedName name="dbZTest_VarianceVal2" localSheetId="7">'RES_es-ES'!$CJ$113</definedName>
    <definedName name="dbZTest_VarianceVal2" localSheetId="8">'RES_fi-FI'!$CJ$113</definedName>
    <definedName name="dbZTest_VarianceVal2" localSheetId="1">'RES_fr-FR'!$CJ$113</definedName>
    <definedName name="dbZTest_VarianceVal2" localSheetId="9">'RES_hr-HR'!$CJ$113</definedName>
    <definedName name="dbZTest_VarianceVal2" localSheetId="10">'RES_hu-HU'!$CJ$113</definedName>
    <definedName name="dbZTest_VarianceVal2" localSheetId="11">'RES_it-IT'!$CJ$113</definedName>
    <definedName name="dbZTest_VarianceVal2" localSheetId="12">'RES_ja-JP'!$CJ$113</definedName>
    <definedName name="dbZTest_VarianceVal2" localSheetId="13">'RES_ko-KR'!$CJ$113</definedName>
    <definedName name="dbZTest_VarianceVal2" localSheetId="14">'RES_lv-LV'!$CJ$113</definedName>
    <definedName name="dbZTest_VarianceVal2" localSheetId="15">'RES_nb-NO'!$CJ$113</definedName>
    <definedName name="dbZTest_VarianceVal2" localSheetId="16">'RES_nl-NL'!$CJ$113</definedName>
    <definedName name="dbZTest_VarianceVal2" localSheetId="17">'RES_pl-PL'!$CJ$113</definedName>
    <definedName name="dbZTest_VarianceVal2" localSheetId="18">'RES_pt-BR'!$CJ$113</definedName>
    <definedName name="dbZTest_VarianceVal2" localSheetId="19">'RES_pt-PT'!$CJ$113</definedName>
    <definedName name="dbZTest_VarianceVal2" localSheetId="20">'RES_ro-RO'!$CJ$113</definedName>
    <definedName name="dbZTest_VarianceVal2" localSheetId="21">'RES_ru-RU'!$CJ$113</definedName>
    <definedName name="dbZTest_VarianceVal2" localSheetId="22">'RES_sl-SI'!$CJ$113</definedName>
    <definedName name="dbZTest_VarianceVal2" localSheetId="23">'RES_sv-SE'!$CJ$113</definedName>
    <definedName name="dbZTest_VarianceVal2" localSheetId="24">'RES_tr-TR'!$CJ$113</definedName>
    <definedName name="dbZTest_VarianceVal2" localSheetId="25">'RES_zh-CN'!$CJ$113</definedName>
    <definedName name="dbZTest_VarianceVal2" localSheetId="26">'RES_zh-TW'!$CJ$113</definedName>
    <definedName name="dbZTest_VarRng1" localSheetId="3">'RES_cs-CZ'!$CJ$105</definedName>
    <definedName name="dbZTest_VarRng1" localSheetId="4">'RES_da-DK'!$CJ$105</definedName>
    <definedName name="dbZTest_VarRng1" localSheetId="5">'RES_de-DE'!$CJ$105</definedName>
    <definedName name="dbZTest_VarRng1" localSheetId="6">'RES_el-GR'!$CJ$105</definedName>
    <definedName name="dbZTest_VarRng1" localSheetId="2">'RES_en-US'!$CJ$105</definedName>
    <definedName name="dbZTest_VarRng1" localSheetId="7">'RES_es-ES'!$CJ$105</definedName>
    <definedName name="dbZTest_VarRng1" localSheetId="8">'RES_fi-FI'!$CJ$105</definedName>
    <definedName name="dbZTest_VarRng1" localSheetId="1">'RES_fr-FR'!$CJ$105</definedName>
    <definedName name="dbZTest_VarRng1" localSheetId="9">'RES_hr-HR'!$CJ$105</definedName>
    <definedName name="dbZTest_VarRng1" localSheetId="10">'RES_hu-HU'!$CJ$105</definedName>
    <definedName name="dbZTest_VarRng1" localSheetId="11">'RES_it-IT'!$CJ$105</definedName>
    <definedName name="dbZTest_VarRng1" localSheetId="12">'RES_ja-JP'!$CJ$105</definedName>
    <definedName name="dbZTest_VarRng1" localSheetId="13">'RES_ko-KR'!$CJ$105</definedName>
    <definedName name="dbZTest_VarRng1" localSheetId="14">'RES_lv-LV'!$CJ$105</definedName>
    <definedName name="dbZTest_VarRng1" localSheetId="15">'RES_nb-NO'!$CJ$105</definedName>
    <definedName name="dbZTest_VarRng1" localSheetId="16">'RES_nl-NL'!$CJ$105</definedName>
    <definedName name="dbZTest_VarRng1" localSheetId="17">'RES_pl-PL'!$CJ$105</definedName>
    <definedName name="dbZTest_VarRng1" localSheetId="18">'RES_pt-BR'!$CJ$105</definedName>
    <definedName name="dbZTest_VarRng1" localSheetId="19">'RES_pt-PT'!$CJ$105</definedName>
    <definedName name="dbZTest_VarRng1" localSheetId="20">'RES_ro-RO'!$CJ$105</definedName>
    <definedName name="dbZTest_VarRng1" localSheetId="21">'RES_ru-RU'!$CJ$105</definedName>
    <definedName name="dbZTest_VarRng1" localSheetId="22">'RES_sl-SI'!$CJ$105</definedName>
    <definedName name="dbZTest_VarRng1" localSheetId="23">'RES_sv-SE'!$CJ$105</definedName>
    <definedName name="dbZTest_VarRng1" localSheetId="24">'RES_tr-TR'!$CJ$105</definedName>
    <definedName name="dbZTest_VarRng1" localSheetId="25">'RES_zh-CN'!$CJ$105</definedName>
    <definedName name="dbZTest_VarRng1" localSheetId="26">'RES_zh-TW'!$CJ$105</definedName>
    <definedName name="dbZTest_VarRng2" localSheetId="3">'RES_cs-CZ'!$CJ$107</definedName>
    <definedName name="dbZTest_VarRng2" localSheetId="4">'RES_da-DK'!$CJ$107</definedName>
    <definedName name="dbZTest_VarRng2" localSheetId="5">'RES_de-DE'!$CJ$107</definedName>
    <definedName name="dbZTest_VarRng2" localSheetId="6">'RES_el-GR'!$CJ$107</definedName>
    <definedName name="dbZTest_VarRng2" localSheetId="2">'RES_en-US'!$CJ$107</definedName>
    <definedName name="dbZTest_VarRng2" localSheetId="7">'RES_es-ES'!$CJ$107</definedName>
    <definedName name="dbZTest_VarRng2" localSheetId="8">'RES_fi-FI'!$CJ$107</definedName>
    <definedName name="dbZTest_VarRng2" localSheetId="1">'RES_fr-FR'!$CJ$107</definedName>
    <definedName name="dbZTest_VarRng2" localSheetId="9">'RES_hr-HR'!$CJ$107</definedName>
    <definedName name="dbZTest_VarRng2" localSheetId="10">'RES_hu-HU'!$CJ$107</definedName>
    <definedName name="dbZTest_VarRng2" localSheetId="11">'RES_it-IT'!$CJ$107</definedName>
    <definedName name="dbZTest_VarRng2" localSheetId="12">'RES_ja-JP'!$CJ$107</definedName>
    <definedName name="dbZTest_VarRng2" localSheetId="13">'RES_ko-KR'!$CJ$107</definedName>
    <definedName name="dbZTest_VarRng2" localSheetId="14">'RES_lv-LV'!$CJ$107</definedName>
    <definedName name="dbZTest_VarRng2" localSheetId="15">'RES_nb-NO'!$CJ$107</definedName>
    <definedName name="dbZTest_VarRng2" localSheetId="16">'RES_nl-NL'!$CJ$107</definedName>
    <definedName name="dbZTest_VarRng2" localSheetId="17">'RES_pl-PL'!$CJ$107</definedName>
    <definedName name="dbZTest_VarRng2" localSheetId="18">'RES_pt-BR'!$CJ$107</definedName>
    <definedName name="dbZTest_VarRng2" localSheetId="19">'RES_pt-PT'!$CJ$107</definedName>
    <definedName name="dbZTest_VarRng2" localSheetId="20">'RES_ro-RO'!$CJ$107</definedName>
    <definedName name="dbZTest_VarRng2" localSheetId="21">'RES_ru-RU'!$CJ$107</definedName>
    <definedName name="dbZTest_VarRng2" localSheetId="22">'RES_sl-SI'!$CJ$107</definedName>
    <definedName name="dbZTest_VarRng2" localSheetId="23">'RES_sv-SE'!$CJ$107</definedName>
    <definedName name="dbZTest_VarRng2" localSheetId="24">'RES_tr-TR'!$CJ$107</definedName>
    <definedName name="dbZTest_VarRng2" localSheetId="25">'RES_zh-CN'!$CJ$107</definedName>
    <definedName name="dbZTest_VarRng2" localSheetId="26">'RES_zh-TW'!$CJ$107</definedName>
    <definedName name="dbZTestTitle" localSheetId="3">'RES_cs-CZ'!$CI$100</definedName>
    <definedName name="dbZTestTitle" localSheetId="4">'RES_da-DK'!$CI$100</definedName>
    <definedName name="dbZTestTitle" localSheetId="5">'RES_de-DE'!$CI$100</definedName>
    <definedName name="dbZTestTitle" localSheetId="6">'RES_el-GR'!$CI$100</definedName>
    <definedName name="dbZTestTitle" localSheetId="2">'RES_en-US'!$CI$100</definedName>
    <definedName name="dbZTestTitle" localSheetId="7">'RES_es-ES'!$CI$100</definedName>
    <definedName name="dbZTestTitle" localSheetId="8">'RES_fi-FI'!$CI$100</definedName>
    <definedName name="dbZTestTitle" localSheetId="1">'RES_fr-FR'!$CI$100</definedName>
    <definedName name="dbZTestTitle" localSheetId="9">'RES_hr-HR'!$CI$100</definedName>
    <definedName name="dbZTestTitle" localSheetId="10">'RES_hu-HU'!$CI$100</definedName>
    <definedName name="dbZTestTitle" localSheetId="11">'RES_it-IT'!$CI$100</definedName>
    <definedName name="dbZTestTitle" localSheetId="12">'RES_ja-JP'!$CI$100</definedName>
    <definedName name="dbZTestTitle" localSheetId="13">'RES_ko-KR'!$CI$100</definedName>
    <definedName name="dbZTestTitle" localSheetId="14">'RES_lv-LV'!$CI$100</definedName>
    <definedName name="dbZTestTitle" localSheetId="15">'RES_nb-NO'!$CI$100</definedName>
    <definedName name="dbZTestTitle" localSheetId="16">'RES_nl-NL'!$CI$100</definedName>
    <definedName name="dbZTestTitle" localSheetId="17">'RES_pl-PL'!$CI$100</definedName>
    <definedName name="dbZTestTitle" localSheetId="18">'RES_pt-BR'!$CI$100</definedName>
    <definedName name="dbZTestTitle" localSheetId="19">'RES_pt-PT'!$CI$100</definedName>
    <definedName name="dbZTestTitle" localSheetId="20">'RES_ro-RO'!$CI$100</definedName>
    <definedName name="dbZTestTitle" localSheetId="21">'RES_ru-RU'!$CI$100</definedName>
    <definedName name="dbZTestTitle" localSheetId="22">'RES_sl-SI'!$CI$100</definedName>
    <definedName name="dbZTestTitle" localSheetId="23">'RES_sv-SE'!$CI$100</definedName>
    <definedName name="dbZTestTitle" localSheetId="24">'RES_tr-TR'!$CI$100</definedName>
    <definedName name="dbZTestTitle" localSheetId="25">'RES_zh-CN'!$CI$100</definedName>
    <definedName name="dbZTestTitle" localSheetId="26">'RES_zh-TW'!$CI$100</definedName>
    <definedName name="Dialog_table" localSheetId="3">'RES_cs-CZ'!$X$5:$X$31</definedName>
    <definedName name="Dialog_table" localSheetId="4">'RES_da-DK'!$X$5:$X$31</definedName>
    <definedName name="Dialog_table" localSheetId="5">'RES_de-DE'!$X$5:$X$31</definedName>
    <definedName name="Dialog_table" localSheetId="6">'RES_el-GR'!$X$5:$X$31</definedName>
    <definedName name="Dialog_table" localSheetId="2">'RES_en-US'!$X$5:$X$31</definedName>
    <definedName name="Dialog_table" localSheetId="7">'RES_es-ES'!$X$5:$X$31</definedName>
    <definedName name="Dialog_table" localSheetId="8">'RES_fi-FI'!$X$5:$X$31</definedName>
    <definedName name="Dialog_table" localSheetId="1">'RES_fr-FR'!$X$5:$X$31</definedName>
    <definedName name="Dialog_table" localSheetId="9">'RES_hr-HR'!$X$5:$X$31</definedName>
    <definedName name="Dialog_table" localSheetId="10">'RES_hu-HU'!$X$5:$X$31</definedName>
    <definedName name="Dialog_table" localSheetId="11">'RES_it-IT'!$X$5:$X$31</definedName>
    <definedName name="Dialog_table" localSheetId="12">'RES_ja-JP'!$X$5:$X$31</definedName>
    <definedName name="Dialog_table" localSheetId="13">'RES_ko-KR'!$X$5:$X$31</definedName>
    <definedName name="Dialog_table" localSheetId="14">'RES_lv-LV'!$X$5:$X$31</definedName>
    <definedName name="Dialog_table" localSheetId="15">'RES_nb-NO'!$X$5:$X$31</definedName>
    <definedName name="Dialog_table" localSheetId="16">'RES_nl-NL'!$X$5:$X$31</definedName>
    <definedName name="Dialog_table" localSheetId="17">'RES_pl-PL'!$X$5:$X$31</definedName>
    <definedName name="Dialog_table" localSheetId="18">'RES_pt-BR'!$X$5:$X$31</definedName>
    <definedName name="Dialog_table" localSheetId="19">'RES_pt-PT'!$X$5:$X$31</definedName>
    <definedName name="Dialog_table" localSheetId="20">'RES_ro-RO'!$X$5:$X$31</definedName>
    <definedName name="Dialog_table" localSheetId="21">'RES_ru-RU'!$X$5:$X$31</definedName>
    <definedName name="Dialog_table" localSheetId="22">'RES_sl-SI'!$X$5:$X$31</definedName>
    <definedName name="Dialog_table" localSheetId="23">'RES_sv-SE'!$X$5:$X$31</definedName>
    <definedName name="Dialog_table" localSheetId="24">'RES_tr-TR'!$X$5:$X$31</definedName>
    <definedName name="Dialog_table" localSheetId="25">'RES_zh-CN'!$X$5:$X$31</definedName>
    <definedName name="Dialog_table" localSheetId="26">'RES_zh-TW'!$X$5:$X$31</definedName>
    <definedName name="errmsg.ActiveXError" localSheetId="3">'RES_cs-CZ'!$B$273</definedName>
    <definedName name="errmsg.ActiveXError" localSheetId="4">'RES_da-DK'!$B$273</definedName>
    <definedName name="errmsg.ActiveXError" localSheetId="5">'RES_de-DE'!$B$273</definedName>
    <definedName name="errmsg.ActiveXError" localSheetId="6">'RES_el-GR'!$B$273</definedName>
    <definedName name="errmsg.ActiveXError" localSheetId="2">'RES_en-US'!$B$273</definedName>
    <definedName name="errmsg.ActiveXError" localSheetId="7">'RES_es-ES'!$B$273</definedName>
    <definedName name="errmsg.ActiveXError" localSheetId="8">'RES_fi-FI'!$B$273</definedName>
    <definedName name="errmsg.ActiveXError" localSheetId="1">'RES_fr-FR'!$B$273</definedName>
    <definedName name="errmsg.ActiveXError" localSheetId="9">'RES_hr-HR'!$B$273</definedName>
    <definedName name="errmsg.ActiveXError" localSheetId="10">'RES_hu-HU'!$B$273</definedName>
    <definedName name="errmsg.ActiveXError" localSheetId="11">'RES_it-IT'!$B$273</definedName>
    <definedName name="errmsg.ActiveXError" localSheetId="12">'RES_ja-JP'!$B$273</definedName>
    <definedName name="errmsg.ActiveXError" localSheetId="13">'RES_ko-KR'!$B$273</definedName>
    <definedName name="errmsg.ActiveXError" localSheetId="14">'RES_lv-LV'!$B$273</definedName>
    <definedName name="errmsg.ActiveXError" localSheetId="15">'RES_nb-NO'!$B$273</definedName>
    <definedName name="errmsg.ActiveXError" localSheetId="16">'RES_nl-NL'!$B$273</definedName>
    <definedName name="errmsg.ActiveXError" localSheetId="17">'RES_pl-PL'!$B$273</definedName>
    <definedName name="errmsg.ActiveXError" localSheetId="18">'RES_pt-BR'!$B$273</definedName>
    <definedName name="errmsg.ActiveXError" localSheetId="19">'RES_pt-PT'!$B$273</definedName>
    <definedName name="errmsg.ActiveXError" localSheetId="20">'RES_ro-RO'!$B$273</definedName>
    <definedName name="errmsg.ActiveXError" localSheetId="21">'RES_ru-RU'!$B$273</definedName>
    <definedName name="errmsg.ActiveXError" localSheetId="22">'RES_sl-SI'!$B$273</definedName>
    <definedName name="errmsg.ActiveXError" localSheetId="23">'RES_sv-SE'!$B$273</definedName>
    <definedName name="errmsg.ActiveXError" localSheetId="24">'RES_tr-TR'!$B$273</definedName>
    <definedName name="errmsg.ActiveXError" localSheetId="25">'RES_zh-CN'!$B$273</definedName>
    <definedName name="errmsg.ActiveXError" localSheetId="26">'RES_zh-TW'!$B$273</definedName>
    <definedName name="errmsg.AllocMemErrCalc" localSheetId="3">'RES_cs-CZ'!$B$146</definedName>
    <definedName name="errmsg.AllocMemErrCalc" localSheetId="4">'RES_da-DK'!$B$146</definedName>
    <definedName name="errmsg.AllocMemErrCalc" localSheetId="5">'RES_de-DE'!$B$146</definedName>
    <definedName name="errmsg.AllocMemErrCalc" localSheetId="6">'RES_el-GR'!$B$146</definedName>
    <definedName name="errmsg.AllocMemErrCalc" localSheetId="2">'RES_en-US'!$B$146</definedName>
    <definedName name="errmsg.AllocMemErrCalc" localSheetId="7">'RES_es-ES'!$B$146</definedName>
    <definedName name="errmsg.AllocMemErrCalc" localSheetId="8">'RES_fi-FI'!$B$146</definedName>
    <definedName name="errmsg.AllocMemErrCalc" localSheetId="1">'RES_fr-FR'!$B$146</definedName>
    <definedName name="errmsg.AllocMemErrCalc" localSheetId="9">'RES_hr-HR'!$B$146</definedName>
    <definedName name="errmsg.AllocMemErrCalc" localSheetId="10">'RES_hu-HU'!$B$146</definedName>
    <definedName name="errmsg.AllocMemErrCalc" localSheetId="11">'RES_it-IT'!$B$146</definedName>
    <definedName name="errmsg.AllocMemErrCalc" localSheetId="12">'RES_ja-JP'!$B$146</definedName>
    <definedName name="errmsg.AllocMemErrCalc" localSheetId="13">'RES_ko-KR'!$B$146</definedName>
    <definedName name="errmsg.AllocMemErrCalc" localSheetId="14">'RES_lv-LV'!$B$146</definedName>
    <definedName name="errmsg.AllocMemErrCalc" localSheetId="15">'RES_nb-NO'!$B$146</definedName>
    <definedName name="errmsg.AllocMemErrCalc" localSheetId="16">'RES_nl-NL'!$B$146</definedName>
    <definedName name="errmsg.AllocMemErrCalc" localSheetId="17">'RES_pl-PL'!$B$146</definedName>
    <definedName name="errmsg.AllocMemErrCalc" localSheetId="18">'RES_pt-BR'!$B$146</definedName>
    <definedName name="errmsg.AllocMemErrCalc" localSheetId="19">'RES_pt-PT'!$B$146</definedName>
    <definedName name="errmsg.AllocMemErrCalc" localSheetId="20">'RES_ro-RO'!$B$146</definedName>
    <definedName name="errmsg.AllocMemErrCalc" localSheetId="21">'RES_ru-RU'!$B$146</definedName>
    <definedName name="errmsg.AllocMemErrCalc" localSheetId="22">'RES_sl-SI'!$B$146</definedName>
    <definedName name="errmsg.AllocMemErrCalc" localSheetId="23">'RES_sv-SE'!$B$146</definedName>
    <definedName name="errmsg.AllocMemErrCalc" localSheetId="24">'RES_tr-TR'!$B$146</definedName>
    <definedName name="errmsg.AllocMemErrCalc" localSheetId="25">'RES_zh-CN'!$B$146</definedName>
    <definedName name="errmsg.AllocMemErrCalc" localSheetId="26">'RES_zh-TW'!$B$146</definedName>
    <definedName name="errmsg.AlphaNumeric" localSheetId="3">'RES_cs-CZ'!$B$147</definedName>
    <definedName name="errmsg.AlphaNumeric" localSheetId="4">'RES_da-DK'!$B$147</definedName>
    <definedName name="errmsg.AlphaNumeric" localSheetId="5">'RES_de-DE'!$B$147</definedName>
    <definedName name="errmsg.AlphaNumeric" localSheetId="6">'RES_el-GR'!$B$147</definedName>
    <definedName name="errmsg.AlphaNumeric" localSheetId="2">'RES_en-US'!$B$147</definedName>
    <definedName name="errmsg.AlphaNumeric" localSheetId="7">'RES_es-ES'!$B$147</definedName>
    <definedName name="errmsg.AlphaNumeric" localSheetId="8">'RES_fi-FI'!$B$147</definedName>
    <definedName name="errmsg.AlphaNumeric" localSheetId="1">'RES_fr-FR'!$B$147</definedName>
    <definedName name="errmsg.AlphaNumeric" localSheetId="9">'RES_hr-HR'!$B$147</definedName>
    <definedName name="errmsg.AlphaNumeric" localSheetId="10">'RES_hu-HU'!$B$147</definedName>
    <definedName name="errmsg.AlphaNumeric" localSheetId="11">'RES_it-IT'!$B$147</definedName>
    <definedName name="errmsg.AlphaNumeric" localSheetId="12">'RES_ja-JP'!$B$147</definedName>
    <definedName name="errmsg.AlphaNumeric" localSheetId="13">'RES_ko-KR'!$B$147</definedName>
    <definedName name="errmsg.AlphaNumeric" localSheetId="14">'RES_lv-LV'!$B$147</definedName>
    <definedName name="errmsg.AlphaNumeric" localSheetId="15">'RES_nb-NO'!$B$147</definedName>
    <definedName name="errmsg.AlphaNumeric" localSheetId="16">'RES_nl-NL'!$B$147</definedName>
    <definedName name="errmsg.AlphaNumeric" localSheetId="17">'RES_pl-PL'!$B$147</definedName>
    <definedName name="errmsg.AlphaNumeric" localSheetId="18">'RES_pt-BR'!$B$147</definedName>
    <definedName name="errmsg.AlphaNumeric" localSheetId="19">'RES_pt-PT'!$B$147</definedName>
    <definedName name="errmsg.AlphaNumeric" localSheetId="20">'RES_ro-RO'!$B$147</definedName>
    <definedName name="errmsg.AlphaNumeric" localSheetId="21">'RES_ru-RU'!$B$147</definedName>
    <definedName name="errmsg.AlphaNumeric" localSheetId="22">'RES_sl-SI'!$B$147</definedName>
    <definedName name="errmsg.AlphaNumeric" localSheetId="23">'RES_sv-SE'!$B$147</definedName>
    <definedName name="errmsg.AlphaNumeric" localSheetId="24">'RES_tr-TR'!$B$147</definedName>
    <definedName name="errmsg.AlphaNumeric" localSheetId="25">'RES_zh-CN'!$B$147</definedName>
    <definedName name="errmsg.AlphaNumeric" localSheetId="26">'RES_zh-TW'!$B$147</definedName>
    <definedName name="errmsg.BernoulliProbErr" localSheetId="3">'RES_cs-CZ'!$B$148</definedName>
    <definedName name="errmsg.BernoulliProbErr" localSheetId="4">'RES_da-DK'!$B$148</definedName>
    <definedName name="errmsg.BernoulliProbErr" localSheetId="5">'RES_de-DE'!$B$148</definedName>
    <definedName name="errmsg.BernoulliProbErr" localSheetId="6">'RES_el-GR'!$B$148</definedName>
    <definedName name="errmsg.BernoulliProbErr" localSheetId="2">'RES_en-US'!$B$148</definedName>
    <definedName name="errmsg.BernoulliProbErr" localSheetId="7">'RES_es-ES'!$B$148</definedName>
    <definedName name="errmsg.BernoulliProbErr" localSheetId="8">'RES_fi-FI'!$B$148</definedName>
    <definedName name="errmsg.BernoulliProbErr" localSheetId="1">'RES_fr-FR'!$B$148</definedName>
    <definedName name="errmsg.BernoulliProbErr" localSheetId="9">'RES_hr-HR'!$B$148</definedName>
    <definedName name="errmsg.BernoulliProbErr" localSheetId="10">'RES_hu-HU'!$B$148</definedName>
    <definedName name="errmsg.BernoulliProbErr" localSheetId="11">'RES_it-IT'!$B$148</definedName>
    <definedName name="errmsg.BernoulliProbErr" localSheetId="12">'RES_ja-JP'!$B$148</definedName>
    <definedName name="errmsg.BernoulliProbErr" localSheetId="13">'RES_ko-KR'!$B$148</definedName>
    <definedName name="errmsg.BernoulliProbErr" localSheetId="14">'RES_lv-LV'!$B$148</definedName>
    <definedName name="errmsg.BernoulliProbErr" localSheetId="15">'RES_nb-NO'!$B$148</definedName>
    <definedName name="errmsg.BernoulliProbErr" localSheetId="16">'RES_nl-NL'!$B$148</definedName>
    <definedName name="errmsg.BernoulliProbErr" localSheetId="17">'RES_pl-PL'!$B$148</definedName>
    <definedName name="errmsg.BernoulliProbErr" localSheetId="18">'RES_pt-BR'!$B$148</definedName>
    <definedName name="errmsg.BernoulliProbErr" localSheetId="19">'RES_pt-PT'!$B$148</definedName>
    <definedName name="errmsg.BernoulliProbErr" localSheetId="20">'RES_ro-RO'!$B$148</definedName>
    <definedName name="errmsg.BernoulliProbErr" localSheetId="21">'RES_ru-RU'!$B$148</definedName>
    <definedName name="errmsg.BernoulliProbErr" localSheetId="22">'RES_sl-SI'!$B$148</definedName>
    <definedName name="errmsg.BernoulliProbErr" localSheetId="23">'RES_sv-SE'!$B$148</definedName>
    <definedName name="errmsg.BernoulliProbErr" localSheetId="24">'RES_tr-TR'!$B$148</definedName>
    <definedName name="errmsg.BernoulliProbErr" localSheetId="25">'RES_zh-CN'!$B$148</definedName>
    <definedName name="errmsg.BernoulliProbErr" localSheetId="26">'RES_zh-TW'!$B$148</definedName>
    <definedName name="errmsg.BernoulliValErr" localSheetId="3">'RES_cs-CZ'!$B$148</definedName>
    <definedName name="errmsg.BernoulliValErr" localSheetId="4">'RES_da-DK'!$B$148</definedName>
    <definedName name="errmsg.BernoulliValErr" localSheetId="5">'RES_de-DE'!$B$148</definedName>
    <definedName name="errmsg.BernoulliValErr" localSheetId="6">'RES_el-GR'!$B$148</definedName>
    <definedName name="errmsg.BernoulliValErr" localSheetId="2">'RES_en-US'!$B$148</definedName>
    <definedName name="errmsg.BernoulliValErr" localSheetId="7">'RES_es-ES'!$B$148</definedName>
    <definedName name="errmsg.BernoulliValErr" localSheetId="8">'RES_fi-FI'!$B$148</definedName>
    <definedName name="errmsg.BernoulliValErr" localSheetId="1">'RES_fr-FR'!$B$148</definedName>
    <definedName name="errmsg.BernoulliValErr" localSheetId="9">'RES_hr-HR'!$B$148</definedName>
    <definedName name="errmsg.BernoulliValErr" localSheetId="10">'RES_hu-HU'!$B$148</definedName>
    <definedName name="errmsg.BernoulliValErr" localSheetId="11">'RES_it-IT'!$B$148</definedName>
    <definedName name="errmsg.BernoulliValErr" localSheetId="12">'RES_ja-JP'!$B$148</definedName>
    <definedName name="errmsg.BernoulliValErr" localSheetId="13">'RES_ko-KR'!$B$148</definedName>
    <definedName name="errmsg.BernoulliValErr" localSheetId="14">'RES_lv-LV'!$B$148</definedName>
    <definedName name="errmsg.BernoulliValErr" localSheetId="15">'RES_nb-NO'!$B$148</definedName>
    <definedName name="errmsg.BernoulliValErr" localSheetId="16">'RES_nl-NL'!$B$148</definedName>
    <definedName name="errmsg.BernoulliValErr" localSheetId="17">'RES_pl-PL'!$B$148</definedName>
    <definedName name="errmsg.BernoulliValErr" localSheetId="18">'RES_pt-BR'!$B$148</definedName>
    <definedName name="errmsg.BernoulliValErr" localSheetId="19">'RES_pt-PT'!$B$148</definedName>
    <definedName name="errmsg.BernoulliValErr" localSheetId="20">'RES_ro-RO'!$B$148</definedName>
    <definedName name="errmsg.BernoulliValErr" localSheetId="21">'RES_ru-RU'!$B$148</definedName>
    <definedName name="errmsg.BernoulliValErr" localSheetId="22">'RES_sl-SI'!$B$148</definedName>
    <definedName name="errmsg.BernoulliValErr" localSheetId="23">'RES_sv-SE'!$B$148</definedName>
    <definedName name="errmsg.BernoulliValErr" localSheetId="24">'RES_tr-TR'!$B$148</definedName>
    <definedName name="errmsg.BernoulliValErr" localSheetId="25">'RES_zh-CN'!$B$148</definedName>
    <definedName name="errmsg.BernoulliValErr" localSheetId="26">'RES_zh-TW'!$B$148</definedName>
    <definedName name="errmsg.BinInOverlap" localSheetId="3">'RES_cs-CZ'!$B$154</definedName>
    <definedName name="errmsg.BinInOverlap" localSheetId="4">'RES_da-DK'!$B$154</definedName>
    <definedName name="errmsg.BinInOverlap" localSheetId="5">'RES_de-DE'!$B$154</definedName>
    <definedName name="errmsg.BinInOverlap" localSheetId="6">'RES_el-GR'!$B$154</definedName>
    <definedName name="errmsg.BinInOverlap" localSheetId="2">'RES_en-US'!$B$154</definedName>
    <definedName name="errmsg.BinInOverlap" localSheetId="7">'RES_es-ES'!$B$154</definedName>
    <definedName name="errmsg.BinInOverlap" localSheetId="8">'RES_fi-FI'!$B$154</definedName>
    <definedName name="errmsg.BinInOverlap" localSheetId="1">'RES_fr-FR'!$B$154</definedName>
    <definedName name="errmsg.BinInOverlap" localSheetId="9">'RES_hr-HR'!$B$154</definedName>
    <definedName name="errmsg.BinInOverlap" localSheetId="10">'RES_hu-HU'!$B$154</definedName>
    <definedName name="errmsg.BinInOverlap" localSheetId="11">'RES_it-IT'!$B$154</definedName>
    <definedName name="errmsg.BinInOverlap" localSheetId="12">'RES_ja-JP'!$B$154</definedName>
    <definedName name="errmsg.BinInOverlap" localSheetId="13">'RES_ko-KR'!$B$154</definedName>
    <definedName name="errmsg.BinInOverlap" localSheetId="14">'RES_lv-LV'!$B$154</definedName>
    <definedName name="errmsg.BinInOverlap" localSheetId="15">'RES_nb-NO'!$B$154</definedName>
    <definedName name="errmsg.BinInOverlap" localSheetId="16">'RES_nl-NL'!$B$154</definedName>
    <definedName name="errmsg.BinInOverlap" localSheetId="17">'RES_pl-PL'!$B$154</definedName>
    <definedName name="errmsg.BinInOverlap" localSheetId="18">'RES_pt-BR'!$B$154</definedName>
    <definedName name="errmsg.BinInOverlap" localSheetId="19">'RES_pt-PT'!$B$154</definedName>
    <definedName name="errmsg.BinInOverlap" localSheetId="20">'RES_ro-RO'!$B$154</definedName>
    <definedName name="errmsg.BinInOverlap" localSheetId="21">'RES_ru-RU'!$B$154</definedName>
    <definedName name="errmsg.BinInOverlap" localSheetId="22">'RES_sl-SI'!$B$154</definedName>
    <definedName name="errmsg.BinInOverlap" localSheetId="23">'RES_sv-SE'!$B$154</definedName>
    <definedName name="errmsg.BinInOverlap" localSheetId="24">'RES_tr-TR'!$B$154</definedName>
    <definedName name="errmsg.BinInOverlap" localSheetId="25">'RES_zh-CN'!$B$154</definedName>
    <definedName name="errmsg.BinInOverlap" localSheetId="26">'RES_zh-TW'!$B$154</definedName>
    <definedName name="errmsg.BinomialProbErr" localSheetId="3">'RES_cs-CZ'!$B$149</definedName>
    <definedName name="errmsg.BinomialProbErr" localSheetId="4">'RES_da-DK'!$B$149</definedName>
    <definedName name="errmsg.BinomialProbErr" localSheetId="5">'RES_de-DE'!$B$149</definedName>
    <definedName name="errmsg.BinomialProbErr" localSheetId="6">'RES_el-GR'!$B$149</definedName>
    <definedName name="errmsg.BinomialProbErr" localSheetId="2">'RES_en-US'!$B$149</definedName>
    <definedName name="errmsg.BinomialProbErr" localSheetId="7">'RES_es-ES'!$B$149</definedName>
    <definedName name="errmsg.BinomialProbErr" localSheetId="8">'RES_fi-FI'!$B$149</definedName>
    <definedName name="errmsg.BinomialProbErr" localSheetId="1">'RES_fr-FR'!$B$149</definedName>
    <definedName name="errmsg.BinomialProbErr" localSheetId="9">'RES_hr-HR'!$B$149</definedName>
    <definedName name="errmsg.BinomialProbErr" localSheetId="10">'RES_hu-HU'!$B$149</definedName>
    <definedName name="errmsg.BinomialProbErr" localSheetId="11">'RES_it-IT'!$B$149</definedName>
    <definedName name="errmsg.BinomialProbErr" localSheetId="12">'RES_ja-JP'!$B$149</definedName>
    <definedName name="errmsg.BinomialProbErr" localSheetId="13">'RES_ko-KR'!$B$149</definedName>
    <definedName name="errmsg.BinomialProbErr" localSheetId="14">'RES_lv-LV'!$B$149</definedName>
    <definedName name="errmsg.BinomialProbErr" localSheetId="15">'RES_nb-NO'!$B$149</definedName>
    <definedName name="errmsg.BinomialProbErr" localSheetId="16">'RES_nl-NL'!$B$149</definedName>
    <definedName name="errmsg.BinomialProbErr" localSheetId="17">'RES_pl-PL'!$B$149</definedName>
    <definedName name="errmsg.BinomialProbErr" localSheetId="18">'RES_pt-BR'!$B$149</definedName>
    <definedName name="errmsg.BinomialProbErr" localSheetId="19">'RES_pt-PT'!$B$149</definedName>
    <definedName name="errmsg.BinomialProbErr" localSheetId="20">'RES_ro-RO'!$B$149</definedName>
    <definedName name="errmsg.BinomialProbErr" localSheetId="21">'RES_ru-RU'!$B$149</definedName>
    <definedName name="errmsg.BinomialProbErr" localSheetId="22">'RES_sl-SI'!$B$149</definedName>
    <definedName name="errmsg.BinomialProbErr" localSheetId="23">'RES_sv-SE'!$B$149</definedName>
    <definedName name="errmsg.BinomialProbErr" localSheetId="24">'RES_tr-TR'!$B$149</definedName>
    <definedName name="errmsg.BinomialProbErr" localSheetId="25">'RES_zh-CN'!$B$149</definedName>
    <definedName name="errmsg.BinomialProbErr" localSheetId="26">'RES_zh-TW'!$B$149</definedName>
    <definedName name="errmsg.BinomialTrialErr" localSheetId="3">'RES_cs-CZ'!$B$150</definedName>
    <definedName name="errmsg.BinomialTrialErr" localSheetId="4">'RES_da-DK'!$B$150</definedName>
    <definedName name="errmsg.BinomialTrialErr" localSheetId="5">'RES_de-DE'!$B$150</definedName>
    <definedName name="errmsg.BinomialTrialErr" localSheetId="6">'RES_el-GR'!$B$150</definedName>
    <definedName name="errmsg.BinomialTrialErr" localSheetId="2">'RES_en-US'!$B$150</definedName>
    <definedName name="errmsg.BinomialTrialErr" localSheetId="7">'RES_es-ES'!$B$150</definedName>
    <definedName name="errmsg.BinomialTrialErr" localSheetId="8">'RES_fi-FI'!$B$150</definedName>
    <definedName name="errmsg.BinomialTrialErr" localSheetId="1">'RES_fr-FR'!$B$150</definedName>
    <definedName name="errmsg.BinomialTrialErr" localSheetId="9">'RES_hr-HR'!$B$150</definedName>
    <definedName name="errmsg.BinomialTrialErr" localSheetId="10">'RES_hu-HU'!$B$150</definedName>
    <definedName name="errmsg.BinomialTrialErr" localSheetId="11">'RES_it-IT'!$B$150</definedName>
    <definedName name="errmsg.BinomialTrialErr" localSheetId="12">'RES_ja-JP'!$B$150</definedName>
    <definedName name="errmsg.BinomialTrialErr" localSheetId="13">'RES_ko-KR'!$B$150</definedName>
    <definedName name="errmsg.BinomialTrialErr" localSheetId="14">'RES_lv-LV'!$B$150</definedName>
    <definedName name="errmsg.BinomialTrialErr" localSheetId="15">'RES_nb-NO'!$B$150</definedName>
    <definedName name="errmsg.BinomialTrialErr" localSheetId="16">'RES_nl-NL'!$B$150</definedName>
    <definedName name="errmsg.BinomialTrialErr" localSheetId="17">'RES_pl-PL'!$B$150</definedName>
    <definedName name="errmsg.BinomialTrialErr" localSheetId="18">'RES_pt-BR'!$B$150</definedName>
    <definedName name="errmsg.BinomialTrialErr" localSheetId="19">'RES_pt-PT'!$B$150</definedName>
    <definedName name="errmsg.BinomialTrialErr" localSheetId="20">'RES_ro-RO'!$B$150</definedName>
    <definedName name="errmsg.BinomialTrialErr" localSheetId="21">'RES_ru-RU'!$B$150</definedName>
    <definedName name="errmsg.BinomialTrialErr" localSheetId="22">'RES_sl-SI'!$B$150</definedName>
    <definedName name="errmsg.BinomialTrialErr" localSheetId="23">'RES_sv-SE'!$B$150</definedName>
    <definedName name="errmsg.BinomialTrialErr" localSheetId="24">'RES_tr-TR'!$B$150</definedName>
    <definedName name="errmsg.BinomialTrialErr" localSheetId="25">'RES_zh-CN'!$B$150</definedName>
    <definedName name="errmsg.BinomialTrialErr" localSheetId="26">'RES_zh-TW'!$B$150</definedName>
    <definedName name="errmsg.BinomialValErr" localSheetId="3">'RES_cs-CZ'!$B$149</definedName>
    <definedName name="errmsg.BinomialValErr" localSheetId="4">'RES_da-DK'!$B$149</definedName>
    <definedName name="errmsg.BinomialValErr" localSheetId="5">'RES_de-DE'!$B$149</definedName>
    <definedName name="errmsg.BinomialValErr" localSheetId="6">'RES_el-GR'!$B$149</definedName>
    <definedName name="errmsg.BinomialValErr" localSheetId="2">'RES_en-US'!$B$149</definedName>
    <definedName name="errmsg.BinomialValErr" localSheetId="7">'RES_es-ES'!$B$149</definedName>
    <definedName name="errmsg.BinomialValErr" localSheetId="8">'RES_fi-FI'!$B$149</definedName>
    <definedName name="errmsg.BinomialValErr" localSheetId="1">'RES_fr-FR'!$B$149</definedName>
    <definedName name="errmsg.BinomialValErr" localSheetId="9">'RES_hr-HR'!$B$149</definedName>
    <definedName name="errmsg.BinomialValErr" localSheetId="10">'RES_hu-HU'!$B$149</definedName>
    <definedName name="errmsg.BinomialValErr" localSheetId="11">'RES_it-IT'!$B$149</definedName>
    <definedName name="errmsg.BinomialValErr" localSheetId="12">'RES_ja-JP'!$B$149</definedName>
    <definedName name="errmsg.BinomialValErr" localSheetId="13">'RES_ko-KR'!$B$149</definedName>
    <definedName name="errmsg.BinomialValErr" localSheetId="14">'RES_lv-LV'!$B$149</definedName>
    <definedName name="errmsg.BinomialValErr" localSheetId="15">'RES_nb-NO'!$B$149</definedName>
    <definedName name="errmsg.BinomialValErr" localSheetId="16">'RES_nl-NL'!$B$149</definedName>
    <definedName name="errmsg.BinomialValErr" localSheetId="17">'RES_pl-PL'!$B$149</definedName>
    <definedName name="errmsg.BinomialValErr" localSheetId="18">'RES_pt-BR'!$B$149</definedName>
    <definedName name="errmsg.BinomialValErr" localSheetId="19">'RES_pt-PT'!$B$149</definedName>
    <definedName name="errmsg.BinomialValErr" localSheetId="20">'RES_ro-RO'!$B$149</definedName>
    <definedName name="errmsg.BinomialValErr" localSheetId="21">'RES_ru-RU'!$B$149</definedName>
    <definedName name="errmsg.BinomialValErr" localSheetId="22">'RES_sl-SI'!$B$149</definedName>
    <definedName name="errmsg.BinomialValErr" localSheetId="23">'RES_sv-SE'!$B$149</definedName>
    <definedName name="errmsg.BinomialValErr" localSheetId="24">'RES_tr-TR'!$B$149</definedName>
    <definedName name="errmsg.BinomialValErr" localSheetId="25">'RES_zh-CN'!$B$149</definedName>
    <definedName name="errmsg.BinomialValErr" localSheetId="26">'RES_zh-TW'!$B$149</definedName>
    <definedName name="errmsg.BinOutOverlap" localSheetId="3">'RES_cs-CZ'!$B$155</definedName>
    <definedName name="errmsg.BinOutOverlap" localSheetId="4">'RES_da-DK'!$B$155</definedName>
    <definedName name="errmsg.BinOutOverlap" localSheetId="5">'RES_de-DE'!$B$155</definedName>
    <definedName name="errmsg.BinOutOverlap" localSheetId="6">'RES_el-GR'!$B$155</definedName>
    <definedName name="errmsg.BinOutOverlap" localSheetId="2">'RES_en-US'!$B$155</definedName>
    <definedName name="errmsg.BinOutOverlap" localSheetId="7">'RES_es-ES'!$B$155</definedName>
    <definedName name="errmsg.BinOutOverlap" localSheetId="8">'RES_fi-FI'!$B$155</definedName>
    <definedName name="errmsg.BinOutOverlap" localSheetId="1">'RES_fr-FR'!$B$155</definedName>
    <definedName name="errmsg.BinOutOverlap" localSheetId="9">'RES_hr-HR'!$B$155</definedName>
    <definedName name="errmsg.BinOutOverlap" localSheetId="10">'RES_hu-HU'!$B$155</definedName>
    <definedName name="errmsg.BinOutOverlap" localSheetId="11">'RES_it-IT'!$B$155</definedName>
    <definedName name="errmsg.BinOutOverlap" localSheetId="12">'RES_ja-JP'!$B$155</definedName>
    <definedName name="errmsg.BinOutOverlap" localSheetId="13">'RES_ko-KR'!$B$155</definedName>
    <definedName name="errmsg.BinOutOverlap" localSheetId="14">'RES_lv-LV'!$B$155</definedName>
    <definedName name="errmsg.BinOutOverlap" localSheetId="15">'RES_nb-NO'!$B$155</definedName>
    <definedName name="errmsg.BinOutOverlap" localSheetId="16">'RES_nl-NL'!$B$155</definedName>
    <definedName name="errmsg.BinOutOverlap" localSheetId="17">'RES_pl-PL'!$B$155</definedName>
    <definedName name="errmsg.BinOutOverlap" localSheetId="18">'RES_pt-BR'!$B$155</definedName>
    <definedName name="errmsg.BinOutOverlap" localSheetId="19">'RES_pt-PT'!$B$155</definedName>
    <definedName name="errmsg.BinOutOverlap" localSheetId="20">'RES_ro-RO'!$B$155</definedName>
    <definedName name="errmsg.BinOutOverlap" localSheetId="21">'RES_ru-RU'!$B$155</definedName>
    <definedName name="errmsg.BinOutOverlap" localSheetId="22">'RES_sl-SI'!$B$155</definedName>
    <definedName name="errmsg.BinOutOverlap" localSheetId="23">'RES_sv-SE'!$B$155</definedName>
    <definedName name="errmsg.BinOutOverlap" localSheetId="24">'RES_tr-TR'!$B$155</definedName>
    <definedName name="errmsg.BinOutOverlap" localSheetId="25">'RES_zh-CN'!$B$155</definedName>
    <definedName name="errmsg.BinOutOverlap" localSheetId="26">'RES_zh-TW'!$B$155</definedName>
    <definedName name="errmsg.BinRgHasNoData" localSheetId="3">'RES_cs-CZ'!$B$151</definedName>
    <definedName name="errmsg.BinRgHasNoData" localSheetId="4">'RES_da-DK'!$B$151</definedName>
    <definedName name="errmsg.BinRgHasNoData" localSheetId="5">'RES_de-DE'!$B$151</definedName>
    <definedName name="errmsg.BinRgHasNoData" localSheetId="6">'RES_el-GR'!$B$151</definedName>
    <definedName name="errmsg.BinRgHasNoData" localSheetId="2">'RES_en-US'!$B$151</definedName>
    <definedName name="errmsg.BinRgHasNoData" localSheetId="7">'RES_es-ES'!$B$151</definedName>
    <definedName name="errmsg.BinRgHasNoData" localSheetId="8">'RES_fi-FI'!$B$151</definedName>
    <definedName name="errmsg.BinRgHasNoData" localSheetId="1">'RES_fr-FR'!$B$151</definedName>
    <definedName name="errmsg.BinRgHasNoData" localSheetId="9">'RES_hr-HR'!$B$151</definedName>
    <definedName name="errmsg.BinRgHasNoData" localSheetId="10">'RES_hu-HU'!$B$151</definedName>
    <definedName name="errmsg.BinRgHasNoData" localSheetId="11">'RES_it-IT'!$B$151</definedName>
    <definedName name="errmsg.BinRgHasNoData" localSheetId="12">'RES_ja-JP'!$B$151</definedName>
    <definedName name="errmsg.BinRgHasNoData" localSheetId="13">'RES_ko-KR'!$B$151</definedName>
    <definedName name="errmsg.BinRgHasNoData" localSheetId="14">'RES_lv-LV'!$B$151</definedName>
    <definedName name="errmsg.BinRgHasNoData" localSheetId="15">'RES_nb-NO'!$B$151</definedName>
    <definedName name="errmsg.BinRgHasNoData" localSheetId="16">'RES_nl-NL'!$B$151</definedName>
    <definedName name="errmsg.BinRgHasNoData" localSheetId="17">'RES_pl-PL'!$B$151</definedName>
    <definedName name="errmsg.BinRgHasNoData" localSheetId="18">'RES_pt-BR'!$B$151</definedName>
    <definedName name="errmsg.BinRgHasNoData" localSheetId="19">'RES_pt-PT'!$B$151</definedName>
    <definedName name="errmsg.BinRgHasNoData" localSheetId="20">'RES_ro-RO'!$B$151</definedName>
    <definedName name="errmsg.BinRgHasNoData" localSheetId="21">'RES_ru-RU'!$B$151</definedName>
    <definedName name="errmsg.BinRgHasNoData" localSheetId="22">'RES_sl-SI'!$B$151</definedName>
    <definedName name="errmsg.BinRgHasNoData" localSheetId="23">'RES_sv-SE'!$B$151</definedName>
    <definedName name="errmsg.BinRgHasNoData" localSheetId="24">'RES_tr-TR'!$B$151</definedName>
    <definedName name="errmsg.BinRgHasNoData" localSheetId="25">'RES_zh-CN'!$B$151</definedName>
    <definedName name="errmsg.BinRgHasNoData" localSheetId="26">'RES_zh-TW'!$B$151</definedName>
    <definedName name="errmsg.BinRgMustBeRef" localSheetId="3">'RES_cs-CZ'!$B$152</definedName>
    <definedName name="errmsg.BinRgMustBeRef" localSheetId="4">'RES_da-DK'!$B$152</definedName>
    <definedName name="errmsg.BinRgMustBeRef" localSheetId="5">'RES_de-DE'!$B$152</definedName>
    <definedName name="errmsg.BinRgMustBeRef" localSheetId="6">'RES_el-GR'!$B$152</definedName>
    <definedName name="errmsg.BinRgMustBeRef" localSheetId="2">'RES_en-US'!$B$152</definedName>
    <definedName name="errmsg.BinRgMustBeRef" localSheetId="7">'RES_es-ES'!$B$152</definedName>
    <definedName name="errmsg.BinRgMustBeRef" localSheetId="8">'RES_fi-FI'!$B$152</definedName>
    <definedName name="errmsg.BinRgMustBeRef" localSheetId="1">'RES_fr-FR'!$B$152</definedName>
    <definedName name="errmsg.BinRgMustBeRef" localSheetId="9">'RES_hr-HR'!$B$152</definedName>
    <definedName name="errmsg.BinRgMustBeRef" localSheetId="10">'RES_hu-HU'!$B$152</definedName>
    <definedName name="errmsg.BinRgMustBeRef" localSheetId="11">'RES_it-IT'!$B$152</definedName>
    <definedName name="errmsg.BinRgMustBeRef" localSheetId="12">'RES_ja-JP'!$B$152</definedName>
    <definedName name="errmsg.BinRgMustBeRef" localSheetId="13">'RES_ko-KR'!$B$152</definedName>
    <definedName name="errmsg.BinRgMustBeRef" localSheetId="14">'RES_lv-LV'!$B$152</definedName>
    <definedName name="errmsg.BinRgMustBeRef" localSheetId="15">'RES_nb-NO'!$B$152</definedName>
    <definedName name="errmsg.BinRgMustBeRef" localSheetId="16">'RES_nl-NL'!$B$152</definedName>
    <definedName name="errmsg.BinRgMustBeRef" localSheetId="17">'RES_pl-PL'!$B$152</definedName>
    <definedName name="errmsg.BinRgMustBeRef" localSheetId="18">'RES_pt-BR'!$B$152</definedName>
    <definedName name="errmsg.BinRgMustBeRef" localSheetId="19">'RES_pt-PT'!$B$152</definedName>
    <definedName name="errmsg.BinRgMustBeRef" localSheetId="20">'RES_ro-RO'!$B$152</definedName>
    <definedName name="errmsg.BinRgMustBeRef" localSheetId="21">'RES_ru-RU'!$B$152</definedName>
    <definedName name="errmsg.BinRgMustBeRef" localSheetId="22">'RES_sl-SI'!$B$152</definedName>
    <definedName name="errmsg.BinRgMustBeRef" localSheetId="23">'RES_sv-SE'!$B$152</definedName>
    <definedName name="errmsg.BinRgMustBeRef" localSheetId="24">'RES_tr-TR'!$B$152</definedName>
    <definedName name="errmsg.BinRgMustBeRef" localSheetId="25">'RES_zh-CN'!$B$152</definedName>
    <definedName name="errmsg.BinRgMustBeRef" localSheetId="26">'RES_zh-TW'!$B$152</definedName>
    <definedName name="errmsg.BinRgNonNumeric" localSheetId="3">'RES_cs-CZ'!$B$153</definedName>
    <definedName name="errmsg.BinRgNonNumeric" localSheetId="4">'RES_da-DK'!$B$153</definedName>
    <definedName name="errmsg.BinRgNonNumeric" localSheetId="5">'RES_de-DE'!$B$153</definedName>
    <definedName name="errmsg.BinRgNonNumeric" localSheetId="6">'RES_el-GR'!$B$153</definedName>
    <definedName name="errmsg.BinRgNonNumeric" localSheetId="2">'RES_en-US'!$B$153</definedName>
    <definedName name="errmsg.BinRgNonNumeric" localSheetId="7">'RES_es-ES'!$B$153</definedName>
    <definedName name="errmsg.BinRgNonNumeric" localSheetId="8">'RES_fi-FI'!$B$153</definedName>
    <definedName name="errmsg.BinRgNonNumeric" localSheetId="1">'RES_fr-FR'!$B$153</definedName>
    <definedName name="errmsg.BinRgNonNumeric" localSheetId="9">'RES_hr-HR'!$B$153</definedName>
    <definedName name="errmsg.BinRgNonNumeric" localSheetId="10">'RES_hu-HU'!$B$153</definedName>
    <definedName name="errmsg.BinRgNonNumeric" localSheetId="11">'RES_it-IT'!$B$153</definedName>
    <definedName name="errmsg.BinRgNonNumeric" localSheetId="12">'RES_ja-JP'!$B$153</definedName>
    <definedName name="errmsg.BinRgNonNumeric" localSheetId="13">'RES_ko-KR'!$B$153</definedName>
    <definedName name="errmsg.BinRgNonNumeric" localSheetId="14">'RES_lv-LV'!$B$153</definedName>
    <definedName name="errmsg.BinRgNonNumeric" localSheetId="15">'RES_nb-NO'!$B$153</definedName>
    <definedName name="errmsg.BinRgNonNumeric" localSheetId="16">'RES_nl-NL'!$B$153</definedName>
    <definedName name="errmsg.BinRgNonNumeric" localSheetId="17">'RES_pl-PL'!$B$153</definedName>
    <definedName name="errmsg.BinRgNonNumeric" localSheetId="18">'RES_pt-BR'!$B$153</definedName>
    <definedName name="errmsg.BinRgNonNumeric" localSheetId="19">'RES_pt-PT'!$B$153</definedName>
    <definedName name="errmsg.BinRgNonNumeric" localSheetId="20">'RES_ro-RO'!$B$153</definedName>
    <definedName name="errmsg.BinRgNonNumeric" localSheetId="21">'RES_ru-RU'!$B$153</definedName>
    <definedName name="errmsg.BinRgNonNumeric" localSheetId="22">'RES_sl-SI'!$B$153</definedName>
    <definedName name="errmsg.BinRgNonNumeric" localSheetId="23">'RES_sv-SE'!$B$153</definedName>
    <definedName name="errmsg.BinRgNonNumeric" localSheetId="24">'RES_tr-TR'!$B$153</definedName>
    <definedName name="errmsg.BinRgNonNumeric" localSheetId="25">'RES_zh-CN'!$B$153</definedName>
    <definedName name="errmsg.BinRgNonNumeric" localSheetId="26">'RES_zh-TW'!$B$153</definedName>
    <definedName name="errmsg.BinsEmpty" localSheetId="3">'RES_cs-CZ'!$B$156</definedName>
    <definedName name="errmsg.BinsEmpty" localSheetId="4">'RES_da-DK'!$B$156</definedName>
    <definedName name="errmsg.BinsEmpty" localSheetId="5">'RES_de-DE'!$B$156</definedName>
    <definedName name="errmsg.BinsEmpty" localSheetId="6">'RES_el-GR'!$B$156</definedName>
    <definedName name="errmsg.BinsEmpty" localSheetId="2">'RES_en-US'!$B$156</definedName>
    <definedName name="errmsg.BinsEmpty" localSheetId="7">'RES_es-ES'!$B$156</definedName>
    <definedName name="errmsg.BinsEmpty" localSheetId="8">'RES_fi-FI'!$B$156</definedName>
    <definedName name="errmsg.BinsEmpty" localSheetId="1">'RES_fr-FR'!$B$156</definedName>
    <definedName name="errmsg.BinsEmpty" localSheetId="9">'RES_hr-HR'!$B$156</definedName>
    <definedName name="errmsg.BinsEmpty" localSheetId="10">'RES_hu-HU'!$B$156</definedName>
    <definedName name="errmsg.BinsEmpty" localSheetId="11">'RES_it-IT'!$B$156</definedName>
    <definedName name="errmsg.BinsEmpty" localSheetId="12">'RES_ja-JP'!$B$156</definedName>
    <definedName name="errmsg.BinsEmpty" localSheetId="13">'RES_ko-KR'!$B$156</definedName>
    <definedName name="errmsg.BinsEmpty" localSheetId="14">'RES_lv-LV'!$B$156</definedName>
    <definedName name="errmsg.BinsEmpty" localSheetId="15">'RES_nb-NO'!$B$156</definedName>
    <definedName name="errmsg.BinsEmpty" localSheetId="16">'RES_nl-NL'!$B$156</definedName>
    <definedName name="errmsg.BinsEmpty" localSheetId="17">'RES_pl-PL'!$B$156</definedName>
    <definedName name="errmsg.BinsEmpty" localSheetId="18">'RES_pt-BR'!$B$156</definedName>
    <definedName name="errmsg.BinsEmpty" localSheetId="19">'RES_pt-PT'!$B$156</definedName>
    <definedName name="errmsg.BinsEmpty" localSheetId="20">'RES_ro-RO'!$B$156</definedName>
    <definedName name="errmsg.BinsEmpty" localSheetId="21">'RES_ru-RU'!$B$156</definedName>
    <definedName name="errmsg.BinsEmpty" localSheetId="22">'RES_sl-SI'!$B$156</definedName>
    <definedName name="errmsg.BinsEmpty" localSheetId="23">'RES_sv-SE'!$B$156</definedName>
    <definedName name="errmsg.BinsEmpty" localSheetId="24">'RES_tr-TR'!$B$156</definedName>
    <definedName name="errmsg.BinsEmpty" localSheetId="25">'RES_zh-CN'!$B$156</definedName>
    <definedName name="errmsg.BinsEmpty" localSheetId="26">'RES_zh-TW'!$B$156</definedName>
    <definedName name="errmsg.BoolChart" localSheetId="3">'RES_cs-CZ'!$B$157</definedName>
    <definedName name="errmsg.BoolChart" localSheetId="4">'RES_da-DK'!$B$157</definedName>
    <definedName name="errmsg.BoolChart" localSheetId="5">'RES_de-DE'!$B$157</definedName>
    <definedName name="errmsg.BoolChart" localSheetId="6">'RES_el-GR'!$B$157</definedName>
    <definedName name="errmsg.BoolChart" localSheetId="2">'RES_en-US'!$B$157</definedName>
    <definedName name="errmsg.BoolChart" localSheetId="7">'RES_es-ES'!$B$157</definedName>
    <definedName name="errmsg.BoolChart" localSheetId="8">'RES_fi-FI'!$B$157</definedName>
    <definedName name="errmsg.BoolChart" localSheetId="1">'RES_fr-FR'!$B$157</definedName>
    <definedName name="errmsg.BoolChart" localSheetId="9">'RES_hr-HR'!$B$157</definedName>
    <definedName name="errmsg.BoolChart" localSheetId="10">'RES_hu-HU'!$B$157</definedName>
    <definedName name="errmsg.BoolChart" localSheetId="11">'RES_it-IT'!$B$157</definedName>
    <definedName name="errmsg.BoolChart" localSheetId="12">'RES_ja-JP'!$B$157</definedName>
    <definedName name="errmsg.BoolChart" localSheetId="13">'RES_ko-KR'!$B$157</definedName>
    <definedName name="errmsg.BoolChart" localSheetId="14">'RES_lv-LV'!$B$157</definedName>
    <definedName name="errmsg.BoolChart" localSheetId="15">'RES_nb-NO'!$B$157</definedName>
    <definedName name="errmsg.BoolChart" localSheetId="16">'RES_nl-NL'!$B$157</definedName>
    <definedName name="errmsg.BoolChart" localSheetId="17">'RES_pl-PL'!$B$157</definedName>
    <definedName name="errmsg.BoolChart" localSheetId="18">'RES_pt-BR'!$B$157</definedName>
    <definedName name="errmsg.BoolChart" localSheetId="19">'RES_pt-PT'!$B$157</definedName>
    <definedName name="errmsg.BoolChart" localSheetId="20">'RES_ro-RO'!$B$157</definedName>
    <definedName name="errmsg.BoolChart" localSheetId="21">'RES_ru-RU'!$B$157</definedName>
    <definedName name="errmsg.BoolChart" localSheetId="22">'RES_sl-SI'!$B$157</definedName>
    <definedName name="errmsg.BoolChart" localSheetId="23">'RES_sv-SE'!$B$157</definedName>
    <definedName name="errmsg.BoolChart" localSheetId="24">'RES_tr-TR'!$B$157</definedName>
    <definedName name="errmsg.BoolChart" localSheetId="25">'RES_zh-CN'!$B$157</definedName>
    <definedName name="errmsg.BoolChart" localSheetId="26">'RES_zh-TW'!$B$157</definedName>
    <definedName name="errmsg.BoolConstZero" localSheetId="3">'RES_cs-CZ'!$B$158</definedName>
    <definedName name="errmsg.BoolConstZero" localSheetId="4">'RES_da-DK'!$B$158</definedName>
    <definedName name="errmsg.BoolConstZero" localSheetId="5">'RES_de-DE'!$B$158</definedName>
    <definedName name="errmsg.BoolConstZero" localSheetId="6">'RES_el-GR'!$B$158</definedName>
    <definedName name="errmsg.BoolConstZero" localSheetId="2">'RES_en-US'!$B$158</definedName>
    <definedName name="errmsg.BoolConstZero" localSheetId="7">'RES_es-ES'!$B$158</definedName>
    <definedName name="errmsg.BoolConstZero" localSheetId="8">'RES_fi-FI'!$B$158</definedName>
    <definedName name="errmsg.BoolConstZero" localSheetId="1">'RES_fr-FR'!$B$158</definedName>
    <definedName name="errmsg.BoolConstZero" localSheetId="9">'RES_hr-HR'!$B$158</definedName>
    <definedName name="errmsg.BoolConstZero" localSheetId="10">'RES_hu-HU'!$B$158</definedName>
    <definedName name="errmsg.BoolConstZero" localSheetId="11">'RES_it-IT'!$B$158</definedName>
    <definedName name="errmsg.BoolConstZero" localSheetId="12">'RES_ja-JP'!$B$158</definedName>
    <definedName name="errmsg.BoolConstZero" localSheetId="13">'RES_ko-KR'!$B$158</definedName>
    <definedName name="errmsg.BoolConstZero" localSheetId="14">'RES_lv-LV'!$B$158</definedName>
    <definedName name="errmsg.BoolConstZero" localSheetId="15">'RES_nb-NO'!$B$158</definedName>
    <definedName name="errmsg.BoolConstZero" localSheetId="16">'RES_nl-NL'!$B$158</definedName>
    <definedName name="errmsg.BoolConstZero" localSheetId="17">'RES_pl-PL'!$B$158</definedName>
    <definedName name="errmsg.BoolConstZero" localSheetId="18">'RES_pt-BR'!$B$158</definedName>
    <definedName name="errmsg.BoolConstZero" localSheetId="19">'RES_pt-PT'!$B$158</definedName>
    <definedName name="errmsg.BoolConstZero" localSheetId="20">'RES_ro-RO'!$B$158</definedName>
    <definedName name="errmsg.BoolConstZero" localSheetId="21">'RES_ru-RU'!$B$158</definedName>
    <definedName name="errmsg.BoolConstZero" localSheetId="22">'RES_sl-SI'!$B$158</definedName>
    <definedName name="errmsg.BoolConstZero" localSheetId="23">'RES_sv-SE'!$B$158</definedName>
    <definedName name="errmsg.BoolConstZero" localSheetId="24">'RES_tr-TR'!$B$158</definedName>
    <definedName name="errmsg.BoolConstZero" localSheetId="25">'RES_zh-CN'!$B$158</definedName>
    <definedName name="errmsg.BoolConstZero" localSheetId="26">'RES_zh-TW'!$B$158</definedName>
    <definedName name="errmsg.BoolCumuPerc" localSheetId="3">'RES_cs-CZ'!$B$159</definedName>
    <definedName name="errmsg.BoolCumuPerc" localSheetId="4">'RES_da-DK'!$B$159</definedName>
    <definedName name="errmsg.BoolCumuPerc" localSheetId="5">'RES_de-DE'!$B$159</definedName>
    <definedName name="errmsg.BoolCumuPerc" localSheetId="6">'RES_el-GR'!$B$159</definedName>
    <definedName name="errmsg.BoolCumuPerc" localSheetId="2">'RES_en-US'!$B$159</definedName>
    <definedName name="errmsg.BoolCumuPerc" localSheetId="7">'RES_es-ES'!$B$159</definedName>
    <definedName name="errmsg.BoolCumuPerc" localSheetId="8">'RES_fi-FI'!$B$159</definedName>
    <definedName name="errmsg.BoolCumuPerc" localSheetId="1">'RES_fr-FR'!$B$159</definedName>
    <definedName name="errmsg.BoolCumuPerc" localSheetId="9">'RES_hr-HR'!$B$159</definedName>
    <definedName name="errmsg.BoolCumuPerc" localSheetId="10">'RES_hu-HU'!$B$159</definedName>
    <definedName name="errmsg.BoolCumuPerc" localSheetId="11">'RES_it-IT'!$B$159</definedName>
    <definedName name="errmsg.BoolCumuPerc" localSheetId="12">'RES_ja-JP'!$B$159</definedName>
    <definedName name="errmsg.BoolCumuPerc" localSheetId="13">'RES_ko-KR'!$B$159</definedName>
    <definedName name="errmsg.BoolCumuPerc" localSheetId="14">'RES_lv-LV'!$B$159</definedName>
    <definedName name="errmsg.BoolCumuPerc" localSheetId="15">'RES_nb-NO'!$B$159</definedName>
    <definedName name="errmsg.BoolCumuPerc" localSheetId="16">'RES_nl-NL'!$B$159</definedName>
    <definedName name="errmsg.BoolCumuPerc" localSheetId="17">'RES_pl-PL'!$B$159</definedName>
    <definedName name="errmsg.BoolCumuPerc" localSheetId="18">'RES_pt-BR'!$B$159</definedName>
    <definedName name="errmsg.BoolCumuPerc" localSheetId="19">'RES_pt-PT'!$B$159</definedName>
    <definedName name="errmsg.BoolCumuPerc" localSheetId="20">'RES_ro-RO'!$B$159</definedName>
    <definedName name="errmsg.BoolCumuPerc" localSheetId="21">'RES_ru-RU'!$B$159</definedName>
    <definedName name="errmsg.BoolCumuPerc" localSheetId="22">'RES_sl-SI'!$B$159</definedName>
    <definedName name="errmsg.BoolCumuPerc" localSheetId="23">'RES_sv-SE'!$B$159</definedName>
    <definedName name="errmsg.BoolCumuPerc" localSheetId="24">'RES_tr-TR'!$B$159</definedName>
    <definedName name="errmsg.BoolCumuPerc" localSheetId="25">'RES_zh-CN'!$B$159</definedName>
    <definedName name="errmsg.BoolCumuPerc" localSheetId="26">'RES_zh-TW'!$B$159</definedName>
    <definedName name="errmsg.BoolInverse" localSheetId="3">'RES_cs-CZ'!$B$160</definedName>
    <definedName name="errmsg.BoolInverse" localSheetId="4">'RES_da-DK'!$B$160</definedName>
    <definedName name="errmsg.BoolInverse" localSheetId="5">'RES_de-DE'!$B$160</definedName>
    <definedName name="errmsg.BoolInverse" localSheetId="6">'RES_el-GR'!$B$160</definedName>
    <definedName name="errmsg.BoolInverse" localSheetId="2">'RES_en-US'!$B$160</definedName>
    <definedName name="errmsg.BoolInverse" localSheetId="7">'RES_es-ES'!$B$160</definedName>
    <definedName name="errmsg.BoolInverse" localSheetId="8">'RES_fi-FI'!$B$160</definedName>
    <definedName name="errmsg.BoolInverse" localSheetId="1">'RES_fr-FR'!$B$160</definedName>
    <definedName name="errmsg.BoolInverse" localSheetId="9">'RES_hr-HR'!$B$160</definedName>
    <definedName name="errmsg.BoolInverse" localSheetId="10">'RES_hu-HU'!$B$160</definedName>
    <definedName name="errmsg.BoolInverse" localSheetId="11">'RES_it-IT'!$B$160</definedName>
    <definedName name="errmsg.BoolInverse" localSheetId="12">'RES_ja-JP'!$B$160</definedName>
    <definedName name="errmsg.BoolInverse" localSheetId="13">'RES_ko-KR'!$B$160</definedName>
    <definedName name="errmsg.BoolInverse" localSheetId="14">'RES_lv-LV'!$B$160</definedName>
    <definedName name="errmsg.BoolInverse" localSheetId="15">'RES_nb-NO'!$B$160</definedName>
    <definedName name="errmsg.BoolInverse" localSheetId="16">'RES_nl-NL'!$B$160</definedName>
    <definedName name="errmsg.BoolInverse" localSheetId="17">'RES_pl-PL'!$B$160</definedName>
    <definedName name="errmsg.BoolInverse" localSheetId="18">'RES_pt-BR'!$B$160</definedName>
    <definedName name="errmsg.BoolInverse" localSheetId="19">'RES_pt-PT'!$B$160</definedName>
    <definedName name="errmsg.BoolInverse" localSheetId="20">'RES_ro-RO'!$B$160</definedName>
    <definedName name="errmsg.BoolInverse" localSheetId="21">'RES_ru-RU'!$B$160</definedName>
    <definedName name="errmsg.BoolInverse" localSheetId="22">'RES_sl-SI'!$B$160</definedName>
    <definedName name="errmsg.BoolInverse" localSheetId="23">'RES_sv-SE'!$B$160</definedName>
    <definedName name="errmsg.BoolInverse" localSheetId="24">'RES_tr-TR'!$B$160</definedName>
    <definedName name="errmsg.BoolInverse" localSheetId="25">'RES_zh-CN'!$B$160</definedName>
    <definedName name="errmsg.BoolInverse" localSheetId="26">'RES_zh-TW'!$B$160</definedName>
    <definedName name="errmsg.BoolLbl" localSheetId="3">'RES_cs-CZ'!$B$162</definedName>
    <definedName name="errmsg.BoolLbl" localSheetId="4">'RES_da-DK'!$B$162</definedName>
    <definedName name="errmsg.BoolLbl" localSheetId="5">'RES_de-DE'!$B$162</definedName>
    <definedName name="errmsg.BoolLbl" localSheetId="6">'RES_el-GR'!$B$162</definedName>
    <definedName name="errmsg.BoolLbl" localSheetId="2">'RES_en-US'!$B$162</definedName>
    <definedName name="errmsg.BoolLbl" localSheetId="7">'RES_es-ES'!$B$162</definedName>
    <definedName name="errmsg.BoolLbl" localSheetId="8">'RES_fi-FI'!$B$162</definedName>
    <definedName name="errmsg.BoolLbl" localSheetId="1">'RES_fr-FR'!$B$162</definedName>
    <definedName name="errmsg.BoolLbl" localSheetId="9">'RES_hr-HR'!$B$162</definedName>
    <definedName name="errmsg.BoolLbl" localSheetId="10">'RES_hu-HU'!$B$162</definedName>
    <definedName name="errmsg.BoolLbl" localSheetId="11">'RES_it-IT'!$B$162</definedName>
    <definedName name="errmsg.BoolLbl" localSheetId="12">'RES_ja-JP'!$B$162</definedName>
    <definedName name="errmsg.BoolLbl" localSheetId="13">'RES_ko-KR'!$B$162</definedName>
    <definedName name="errmsg.BoolLbl" localSheetId="14">'RES_lv-LV'!$B$162</definedName>
    <definedName name="errmsg.BoolLbl" localSheetId="15">'RES_nb-NO'!$B$162</definedName>
    <definedName name="errmsg.BoolLbl" localSheetId="16">'RES_nl-NL'!$B$162</definedName>
    <definedName name="errmsg.BoolLbl" localSheetId="17">'RES_pl-PL'!$B$162</definedName>
    <definedName name="errmsg.BoolLbl" localSheetId="18">'RES_pt-BR'!$B$162</definedName>
    <definedName name="errmsg.BoolLbl" localSheetId="19">'RES_pt-PT'!$B$162</definedName>
    <definedName name="errmsg.BoolLbl" localSheetId="20">'RES_ro-RO'!$B$162</definedName>
    <definedName name="errmsg.BoolLbl" localSheetId="21">'RES_ru-RU'!$B$162</definedName>
    <definedName name="errmsg.BoolLbl" localSheetId="22">'RES_sl-SI'!$B$162</definedName>
    <definedName name="errmsg.BoolLbl" localSheetId="23">'RES_sv-SE'!$B$162</definedName>
    <definedName name="errmsg.BoolLbl" localSheetId="24">'RES_tr-TR'!$B$162</definedName>
    <definedName name="errmsg.BoolLbl" localSheetId="25">'RES_zh-CN'!$B$162</definedName>
    <definedName name="errmsg.BoolLbl" localSheetId="26">'RES_zh-TW'!$B$162</definedName>
    <definedName name="errmsg.BoolLchart" localSheetId="3">'RES_cs-CZ'!$B$161</definedName>
    <definedName name="errmsg.BoolLchart" localSheetId="4">'RES_da-DK'!$B$161</definedName>
    <definedName name="errmsg.BoolLchart" localSheetId="5">'RES_de-DE'!$B$161</definedName>
    <definedName name="errmsg.BoolLchart" localSheetId="6">'RES_el-GR'!$B$161</definedName>
    <definedName name="errmsg.BoolLchart" localSheetId="2">'RES_en-US'!$B$161</definedName>
    <definedName name="errmsg.BoolLchart" localSheetId="7">'RES_es-ES'!$B$161</definedName>
    <definedName name="errmsg.BoolLchart" localSheetId="8">'RES_fi-FI'!$B$161</definedName>
    <definedName name="errmsg.BoolLchart" localSheetId="1">'RES_fr-FR'!$B$161</definedName>
    <definedName name="errmsg.BoolLchart" localSheetId="9">'RES_hr-HR'!$B$161</definedName>
    <definedName name="errmsg.BoolLchart" localSheetId="10">'RES_hu-HU'!$B$161</definedName>
    <definedName name="errmsg.BoolLchart" localSheetId="11">'RES_it-IT'!$B$161</definedName>
    <definedName name="errmsg.BoolLchart" localSheetId="12">'RES_ja-JP'!$B$161</definedName>
    <definedName name="errmsg.BoolLchart" localSheetId="13">'RES_ko-KR'!$B$161</definedName>
    <definedName name="errmsg.BoolLchart" localSheetId="14">'RES_lv-LV'!$B$161</definedName>
    <definedName name="errmsg.BoolLchart" localSheetId="15">'RES_nb-NO'!$B$161</definedName>
    <definedName name="errmsg.BoolLchart" localSheetId="16">'RES_nl-NL'!$B$161</definedName>
    <definedName name="errmsg.BoolLchart" localSheetId="17">'RES_pl-PL'!$B$161</definedName>
    <definedName name="errmsg.BoolLchart" localSheetId="18">'RES_pt-BR'!$B$161</definedName>
    <definedName name="errmsg.BoolLchart" localSheetId="19">'RES_pt-PT'!$B$161</definedName>
    <definedName name="errmsg.BoolLchart" localSheetId="20">'RES_ro-RO'!$B$161</definedName>
    <definedName name="errmsg.BoolLchart" localSheetId="21">'RES_ru-RU'!$B$161</definedName>
    <definedName name="errmsg.BoolLchart" localSheetId="22">'RES_sl-SI'!$B$161</definedName>
    <definedName name="errmsg.BoolLchart" localSheetId="23">'RES_sv-SE'!$B$161</definedName>
    <definedName name="errmsg.BoolLchart" localSheetId="24">'RES_tr-TR'!$B$161</definedName>
    <definedName name="errmsg.BoolLchart" localSheetId="25">'RES_zh-CN'!$B$161</definedName>
    <definedName name="errmsg.BoolLchart" localSheetId="26">'RES_zh-TW'!$B$161</definedName>
    <definedName name="errmsg.BoolPareto" localSheetId="3">'RES_cs-CZ'!$B$163</definedName>
    <definedName name="errmsg.BoolPareto" localSheetId="4">'RES_da-DK'!$B$163</definedName>
    <definedName name="errmsg.BoolPareto" localSheetId="5">'RES_de-DE'!$B$163</definedName>
    <definedName name="errmsg.BoolPareto" localSheetId="6">'RES_el-GR'!$B$163</definedName>
    <definedName name="errmsg.BoolPareto" localSheetId="2">'RES_en-US'!$B$163</definedName>
    <definedName name="errmsg.BoolPareto" localSheetId="7">'RES_es-ES'!$B$163</definedName>
    <definedName name="errmsg.BoolPareto" localSheetId="8">'RES_fi-FI'!$B$163</definedName>
    <definedName name="errmsg.BoolPareto" localSheetId="1">'RES_fr-FR'!$B$163</definedName>
    <definedName name="errmsg.BoolPareto" localSheetId="9">'RES_hr-HR'!$B$163</definedName>
    <definedName name="errmsg.BoolPareto" localSheetId="10">'RES_hu-HU'!$B$163</definedName>
    <definedName name="errmsg.BoolPareto" localSheetId="11">'RES_it-IT'!$B$163</definedName>
    <definedName name="errmsg.BoolPareto" localSheetId="12">'RES_ja-JP'!$B$163</definedName>
    <definedName name="errmsg.BoolPareto" localSheetId="13">'RES_ko-KR'!$B$163</definedName>
    <definedName name="errmsg.BoolPareto" localSheetId="14">'RES_lv-LV'!$B$163</definedName>
    <definedName name="errmsg.BoolPareto" localSheetId="15">'RES_nb-NO'!$B$163</definedName>
    <definedName name="errmsg.BoolPareto" localSheetId="16">'RES_nl-NL'!$B$163</definedName>
    <definedName name="errmsg.BoolPareto" localSheetId="17">'RES_pl-PL'!$B$163</definedName>
    <definedName name="errmsg.BoolPareto" localSheetId="18">'RES_pt-BR'!$B$163</definedName>
    <definedName name="errmsg.BoolPareto" localSheetId="19">'RES_pt-PT'!$B$163</definedName>
    <definedName name="errmsg.BoolPareto" localSheetId="20">'RES_ro-RO'!$B$163</definedName>
    <definedName name="errmsg.BoolPareto" localSheetId="21">'RES_ru-RU'!$B$163</definedName>
    <definedName name="errmsg.BoolPareto" localSheetId="22">'RES_sl-SI'!$B$163</definedName>
    <definedName name="errmsg.BoolPareto" localSheetId="23">'RES_sv-SE'!$B$163</definedName>
    <definedName name="errmsg.BoolPareto" localSheetId="24">'RES_tr-TR'!$B$163</definedName>
    <definedName name="errmsg.BoolPareto" localSheetId="25">'RES_zh-CN'!$B$163</definedName>
    <definedName name="errmsg.BoolPareto" localSheetId="26">'RES_zh-TW'!$B$163</definedName>
    <definedName name="errmsg.BoolPchart" localSheetId="3">'RES_cs-CZ'!$B$164</definedName>
    <definedName name="errmsg.BoolPchart" localSheetId="4">'RES_da-DK'!$B$164</definedName>
    <definedName name="errmsg.BoolPchart" localSheetId="5">'RES_de-DE'!$B$164</definedName>
    <definedName name="errmsg.BoolPchart" localSheetId="6">'RES_el-GR'!$B$164</definedName>
    <definedName name="errmsg.BoolPchart" localSheetId="2">'RES_en-US'!$B$164</definedName>
    <definedName name="errmsg.BoolPchart" localSheetId="7">'RES_es-ES'!$B$164</definedName>
    <definedName name="errmsg.BoolPchart" localSheetId="8">'RES_fi-FI'!$B$164</definedName>
    <definedName name="errmsg.BoolPchart" localSheetId="1">'RES_fr-FR'!$B$164</definedName>
    <definedName name="errmsg.BoolPchart" localSheetId="9">'RES_hr-HR'!$B$164</definedName>
    <definedName name="errmsg.BoolPchart" localSheetId="10">'RES_hu-HU'!$B$164</definedName>
    <definedName name="errmsg.BoolPchart" localSheetId="11">'RES_it-IT'!$B$164</definedName>
    <definedName name="errmsg.BoolPchart" localSheetId="12">'RES_ja-JP'!$B$164</definedName>
    <definedName name="errmsg.BoolPchart" localSheetId="13">'RES_ko-KR'!$B$164</definedName>
    <definedName name="errmsg.BoolPchart" localSheetId="14">'RES_lv-LV'!$B$164</definedName>
    <definedName name="errmsg.BoolPchart" localSheetId="15">'RES_nb-NO'!$B$164</definedName>
    <definedName name="errmsg.BoolPchart" localSheetId="16">'RES_nl-NL'!$B$164</definedName>
    <definedName name="errmsg.BoolPchart" localSheetId="17">'RES_pl-PL'!$B$164</definedName>
    <definedName name="errmsg.BoolPchart" localSheetId="18">'RES_pt-BR'!$B$164</definedName>
    <definedName name="errmsg.BoolPchart" localSheetId="19">'RES_pt-PT'!$B$164</definedName>
    <definedName name="errmsg.BoolPchart" localSheetId="20">'RES_ro-RO'!$B$164</definedName>
    <definedName name="errmsg.BoolPchart" localSheetId="21">'RES_ru-RU'!$B$164</definedName>
    <definedName name="errmsg.BoolPchart" localSheetId="22">'RES_sl-SI'!$B$164</definedName>
    <definedName name="errmsg.BoolPchart" localSheetId="23">'RES_sv-SE'!$B$164</definedName>
    <definedName name="errmsg.BoolPchart" localSheetId="24">'RES_tr-TR'!$B$164</definedName>
    <definedName name="errmsg.BoolPchart" localSheetId="25">'RES_zh-CN'!$B$164</definedName>
    <definedName name="errmsg.BoolPchart" localSheetId="26">'RES_zh-TW'!$B$164</definedName>
    <definedName name="errmsg.BoolRchart" localSheetId="3">'RES_cs-CZ'!$B$165</definedName>
    <definedName name="errmsg.BoolRchart" localSheetId="4">'RES_da-DK'!$B$165</definedName>
    <definedName name="errmsg.BoolRchart" localSheetId="5">'RES_de-DE'!$B$165</definedName>
    <definedName name="errmsg.BoolRchart" localSheetId="6">'RES_el-GR'!$B$165</definedName>
    <definedName name="errmsg.BoolRchart" localSheetId="2">'RES_en-US'!$B$165</definedName>
    <definedName name="errmsg.BoolRchart" localSheetId="7">'RES_es-ES'!$B$165</definedName>
    <definedName name="errmsg.BoolRchart" localSheetId="8">'RES_fi-FI'!$B$165</definedName>
    <definedName name="errmsg.BoolRchart" localSheetId="1">'RES_fr-FR'!$B$165</definedName>
    <definedName name="errmsg.BoolRchart" localSheetId="9">'RES_hr-HR'!$B$165</definedName>
    <definedName name="errmsg.BoolRchart" localSheetId="10">'RES_hu-HU'!$B$165</definedName>
    <definedName name="errmsg.BoolRchart" localSheetId="11">'RES_it-IT'!$B$165</definedName>
    <definedName name="errmsg.BoolRchart" localSheetId="12">'RES_ja-JP'!$B$165</definedName>
    <definedName name="errmsg.BoolRchart" localSheetId="13">'RES_ko-KR'!$B$165</definedName>
    <definedName name="errmsg.BoolRchart" localSheetId="14">'RES_lv-LV'!$B$165</definedName>
    <definedName name="errmsg.BoolRchart" localSheetId="15">'RES_nb-NO'!$B$165</definedName>
    <definedName name="errmsg.BoolRchart" localSheetId="16">'RES_nl-NL'!$B$165</definedName>
    <definedName name="errmsg.BoolRchart" localSheetId="17">'RES_pl-PL'!$B$165</definedName>
    <definedName name="errmsg.BoolRchart" localSheetId="18">'RES_pt-BR'!$B$165</definedName>
    <definedName name="errmsg.BoolRchart" localSheetId="19">'RES_pt-PT'!$B$165</definedName>
    <definedName name="errmsg.BoolRchart" localSheetId="20">'RES_ro-RO'!$B$165</definedName>
    <definedName name="errmsg.BoolRchart" localSheetId="21">'RES_ru-RU'!$B$165</definedName>
    <definedName name="errmsg.BoolRchart" localSheetId="22">'RES_sl-SI'!$B$165</definedName>
    <definedName name="errmsg.BoolRchart" localSheetId="23">'RES_sv-SE'!$B$165</definedName>
    <definedName name="errmsg.BoolRchart" localSheetId="24">'RES_tr-TR'!$B$165</definedName>
    <definedName name="errmsg.BoolRchart" localSheetId="25">'RES_zh-CN'!$B$165</definedName>
    <definedName name="errmsg.BoolRchart" localSheetId="26">'RES_zh-TW'!$B$165</definedName>
    <definedName name="errmsg.BoolResid" localSheetId="3">'RES_cs-CZ'!$B$166</definedName>
    <definedName name="errmsg.BoolResid" localSheetId="4">'RES_da-DK'!$B$166</definedName>
    <definedName name="errmsg.BoolResid" localSheetId="5">'RES_de-DE'!$B$166</definedName>
    <definedName name="errmsg.BoolResid" localSheetId="6">'RES_el-GR'!$B$166</definedName>
    <definedName name="errmsg.BoolResid" localSheetId="2">'RES_en-US'!$B$166</definedName>
    <definedName name="errmsg.BoolResid" localSheetId="7">'RES_es-ES'!$B$166</definedName>
    <definedName name="errmsg.BoolResid" localSheetId="8">'RES_fi-FI'!$B$166</definedName>
    <definedName name="errmsg.BoolResid" localSheetId="1">'RES_fr-FR'!$B$166</definedName>
    <definedName name="errmsg.BoolResid" localSheetId="9">'RES_hr-HR'!$B$166</definedName>
    <definedName name="errmsg.BoolResid" localSheetId="10">'RES_hu-HU'!$B$166</definedName>
    <definedName name="errmsg.BoolResid" localSheetId="11">'RES_it-IT'!$B$166</definedName>
    <definedName name="errmsg.BoolResid" localSheetId="12">'RES_ja-JP'!$B$166</definedName>
    <definedName name="errmsg.BoolResid" localSheetId="13">'RES_ko-KR'!$B$166</definedName>
    <definedName name="errmsg.BoolResid" localSheetId="14">'RES_lv-LV'!$B$166</definedName>
    <definedName name="errmsg.BoolResid" localSheetId="15">'RES_nb-NO'!$B$166</definedName>
    <definedName name="errmsg.BoolResid" localSheetId="16">'RES_nl-NL'!$B$166</definedName>
    <definedName name="errmsg.BoolResid" localSheetId="17">'RES_pl-PL'!$B$166</definedName>
    <definedName name="errmsg.BoolResid" localSheetId="18">'RES_pt-BR'!$B$166</definedName>
    <definedName name="errmsg.BoolResid" localSheetId="19">'RES_pt-PT'!$B$166</definedName>
    <definedName name="errmsg.BoolResid" localSheetId="20">'RES_ro-RO'!$B$166</definedName>
    <definedName name="errmsg.BoolResid" localSheetId="21">'RES_ru-RU'!$B$166</definedName>
    <definedName name="errmsg.BoolResid" localSheetId="22">'RES_sl-SI'!$B$166</definedName>
    <definedName name="errmsg.BoolResid" localSheetId="23">'RES_sv-SE'!$B$166</definedName>
    <definedName name="errmsg.BoolResid" localSheetId="24">'RES_tr-TR'!$B$166</definedName>
    <definedName name="errmsg.BoolResid" localSheetId="25">'RES_zh-CN'!$B$166</definedName>
    <definedName name="errmsg.BoolResid" localSheetId="26">'RES_zh-TW'!$B$166</definedName>
    <definedName name="errmsg.BoolStdErr" localSheetId="3">'RES_cs-CZ'!$B$167</definedName>
    <definedName name="errmsg.BoolStdErr" localSheetId="4">'RES_da-DK'!$B$167</definedName>
    <definedName name="errmsg.BoolStdErr" localSheetId="5">'RES_de-DE'!$B$167</definedName>
    <definedName name="errmsg.BoolStdErr" localSheetId="6">'RES_el-GR'!$B$167</definedName>
    <definedName name="errmsg.BoolStdErr" localSheetId="2">'RES_en-US'!$B$167</definedName>
    <definedName name="errmsg.BoolStdErr" localSheetId="7">'RES_es-ES'!$B$167</definedName>
    <definedName name="errmsg.BoolStdErr" localSheetId="8">'RES_fi-FI'!$B$167</definedName>
    <definedName name="errmsg.BoolStdErr" localSheetId="1">'RES_fr-FR'!$B$167</definedName>
    <definedName name="errmsg.BoolStdErr" localSheetId="9">'RES_hr-HR'!$B$167</definedName>
    <definedName name="errmsg.BoolStdErr" localSheetId="10">'RES_hu-HU'!$B$167</definedName>
    <definedName name="errmsg.BoolStdErr" localSheetId="11">'RES_it-IT'!$B$167</definedName>
    <definedName name="errmsg.BoolStdErr" localSheetId="12">'RES_ja-JP'!$B$167</definedName>
    <definedName name="errmsg.BoolStdErr" localSheetId="13">'RES_ko-KR'!$B$167</definedName>
    <definedName name="errmsg.BoolStdErr" localSheetId="14">'RES_lv-LV'!$B$167</definedName>
    <definedName name="errmsg.BoolStdErr" localSheetId="15">'RES_nb-NO'!$B$167</definedName>
    <definedName name="errmsg.BoolStdErr" localSheetId="16">'RES_nl-NL'!$B$167</definedName>
    <definedName name="errmsg.BoolStdErr" localSheetId="17">'RES_pl-PL'!$B$167</definedName>
    <definedName name="errmsg.BoolStdErr" localSheetId="18">'RES_pt-BR'!$B$167</definedName>
    <definedName name="errmsg.BoolStdErr" localSheetId="19">'RES_pt-PT'!$B$167</definedName>
    <definedName name="errmsg.BoolStdErr" localSheetId="20">'RES_ro-RO'!$B$167</definedName>
    <definedName name="errmsg.BoolStdErr" localSheetId="21">'RES_ru-RU'!$B$167</definedName>
    <definedName name="errmsg.BoolStdErr" localSheetId="22">'RES_sl-SI'!$B$167</definedName>
    <definedName name="errmsg.BoolStdErr" localSheetId="23">'RES_sv-SE'!$B$167</definedName>
    <definedName name="errmsg.BoolStdErr" localSheetId="24">'RES_tr-TR'!$B$167</definedName>
    <definedName name="errmsg.BoolStdErr" localSheetId="25">'RES_zh-CN'!$B$167</definedName>
    <definedName name="errmsg.BoolStdErr" localSheetId="26">'RES_zh-TW'!$B$167</definedName>
    <definedName name="errmsg.BoolStdResid" localSheetId="3">'RES_cs-CZ'!$B$168</definedName>
    <definedName name="errmsg.BoolStdResid" localSheetId="4">'RES_da-DK'!$B$168</definedName>
    <definedName name="errmsg.BoolStdResid" localSheetId="5">'RES_de-DE'!$B$168</definedName>
    <definedName name="errmsg.BoolStdResid" localSheetId="6">'RES_el-GR'!$B$168</definedName>
    <definedName name="errmsg.BoolStdResid" localSheetId="2">'RES_en-US'!$B$168</definedName>
    <definedName name="errmsg.BoolStdResid" localSheetId="7">'RES_es-ES'!$B$168</definedName>
    <definedName name="errmsg.BoolStdResid" localSheetId="8">'RES_fi-FI'!$B$168</definedName>
    <definedName name="errmsg.BoolStdResid" localSheetId="1">'RES_fr-FR'!$B$168</definedName>
    <definedName name="errmsg.BoolStdResid" localSheetId="9">'RES_hr-HR'!$B$168</definedName>
    <definedName name="errmsg.BoolStdResid" localSheetId="10">'RES_hu-HU'!$B$168</definedName>
    <definedName name="errmsg.BoolStdResid" localSheetId="11">'RES_it-IT'!$B$168</definedName>
    <definedName name="errmsg.BoolStdResid" localSheetId="12">'RES_ja-JP'!$B$168</definedName>
    <definedName name="errmsg.BoolStdResid" localSheetId="13">'RES_ko-KR'!$B$168</definedName>
    <definedName name="errmsg.BoolStdResid" localSheetId="14">'RES_lv-LV'!$B$168</definedName>
    <definedName name="errmsg.BoolStdResid" localSheetId="15">'RES_nb-NO'!$B$168</definedName>
    <definedName name="errmsg.BoolStdResid" localSheetId="16">'RES_nl-NL'!$B$168</definedName>
    <definedName name="errmsg.BoolStdResid" localSheetId="17">'RES_pl-PL'!$B$168</definedName>
    <definedName name="errmsg.BoolStdResid" localSheetId="18">'RES_pt-BR'!$B$168</definedName>
    <definedName name="errmsg.BoolStdResid" localSheetId="19">'RES_pt-PT'!$B$168</definedName>
    <definedName name="errmsg.BoolStdResid" localSheetId="20">'RES_ro-RO'!$B$168</definedName>
    <definedName name="errmsg.BoolStdResid" localSheetId="21">'RES_ru-RU'!$B$168</definedName>
    <definedName name="errmsg.BoolStdResid" localSheetId="22">'RES_sl-SI'!$B$168</definedName>
    <definedName name="errmsg.BoolStdResid" localSheetId="23">'RES_sv-SE'!$B$168</definedName>
    <definedName name="errmsg.BoolStdResid" localSheetId="24">'RES_tr-TR'!$B$168</definedName>
    <definedName name="errmsg.BoolStdResid" localSheetId="25">'RES_zh-CN'!$B$168</definedName>
    <definedName name="errmsg.BoolStdResid" localSheetId="26">'RES_zh-TW'!$B$168</definedName>
    <definedName name="errmsg.BoolSumStat" localSheetId="3">'RES_cs-CZ'!$B$169</definedName>
    <definedName name="errmsg.BoolSumStat" localSheetId="4">'RES_da-DK'!$B$169</definedName>
    <definedName name="errmsg.BoolSumStat" localSheetId="5">'RES_de-DE'!$B$169</definedName>
    <definedName name="errmsg.BoolSumStat" localSheetId="6">'RES_el-GR'!$B$169</definedName>
    <definedName name="errmsg.BoolSumStat" localSheetId="2">'RES_en-US'!$B$169</definedName>
    <definedName name="errmsg.BoolSumStat" localSheetId="7">'RES_es-ES'!$B$169</definedName>
    <definedName name="errmsg.BoolSumStat" localSheetId="8">'RES_fi-FI'!$B$169</definedName>
    <definedName name="errmsg.BoolSumStat" localSheetId="1">'RES_fr-FR'!$B$169</definedName>
    <definedName name="errmsg.BoolSumStat" localSheetId="9">'RES_hr-HR'!$B$169</definedName>
    <definedName name="errmsg.BoolSumStat" localSheetId="10">'RES_hu-HU'!$B$169</definedName>
    <definedName name="errmsg.BoolSumStat" localSheetId="11">'RES_it-IT'!$B$169</definedName>
    <definedName name="errmsg.BoolSumStat" localSheetId="12">'RES_ja-JP'!$B$169</definedName>
    <definedName name="errmsg.BoolSumStat" localSheetId="13">'RES_ko-KR'!$B$169</definedName>
    <definedName name="errmsg.BoolSumStat" localSheetId="14">'RES_lv-LV'!$B$169</definedName>
    <definedName name="errmsg.BoolSumStat" localSheetId="15">'RES_nb-NO'!$B$169</definedName>
    <definedName name="errmsg.BoolSumStat" localSheetId="16">'RES_nl-NL'!$B$169</definedName>
    <definedName name="errmsg.BoolSumStat" localSheetId="17">'RES_pl-PL'!$B$169</definedName>
    <definedName name="errmsg.BoolSumStat" localSheetId="18">'RES_pt-BR'!$B$169</definedName>
    <definedName name="errmsg.BoolSumStat" localSheetId="19">'RES_pt-PT'!$B$169</definedName>
    <definedName name="errmsg.BoolSumStat" localSheetId="20">'RES_ro-RO'!$B$169</definedName>
    <definedName name="errmsg.BoolSumStat" localSheetId="21">'RES_ru-RU'!$B$169</definedName>
    <definedName name="errmsg.BoolSumStat" localSheetId="22">'RES_sl-SI'!$B$169</definedName>
    <definedName name="errmsg.BoolSumStat" localSheetId="23">'RES_sv-SE'!$B$169</definedName>
    <definedName name="errmsg.BoolSumStat" localSheetId="24">'RES_tr-TR'!$B$169</definedName>
    <definedName name="errmsg.BoolSumStat" localSheetId="25">'RES_zh-CN'!$B$169</definedName>
    <definedName name="errmsg.BoolSumStat" localSheetId="26">'RES_zh-TW'!$B$169</definedName>
    <definedName name="errmsg.CannotConvert2Ref" localSheetId="3">'RES_cs-CZ'!$B$170</definedName>
    <definedName name="errmsg.CannotConvert2Ref" localSheetId="4">'RES_da-DK'!$B$170</definedName>
    <definedName name="errmsg.CannotConvert2Ref" localSheetId="5">'RES_de-DE'!$B$170</definedName>
    <definedName name="errmsg.CannotConvert2Ref" localSheetId="6">'RES_el-GR'!$B$170</definedName>
    <definedName name="errmsg.CannotConvert2Ref" localSheetId="2">'RES_en-US'!$B$170</definedName>
    <definedName name="errmsg.CannotConvert2Ref" localSheetId="7">'RES_es-ES'!$B$170</definedName>
    <definedName name="errmsg.CannotConvert2Ref" localSheetId="8">'RES_fi-FI'!$B$170</definedName>
    <definedName name="errmsg.CannotConvert2Ref" localSheetId="1">'RES_fr-FR'!$B$170</definedName>
    <definedName name="errmsg.CannotConvert2Ref" localSheetId="9">'RES_hr-HR'!$B$170</definedName>
    <definedName name="errmsg.CannotConvert2Ref" localSheetId="10">'RES_hu-HU'!$B$170</definedName>
    <definedName name="errmsg.CannotConvert2Ref" localSheetId="11">'RES_it-IT'!$B$170</definedName>
    <definedName name="errmsg.CannotConvert2Ref" localSheetId="12">'RES_ja-JP'!$B$170</definedName>
    <definedName name="errmsg.CannotConvert2Ref" localSheetId="13">'RES_ko-KR'!$B$170</definedName>
    <definedName name="errmsg.CannotConvert2Ref" localSheetId="14">'RES_lv-LV'!$B$170</definedName>
    <definedName name="errmsg.CannotConvert2Ref" localSheetId="15">'RES_nb-NO'!$B$170</definedName>
    <definedName name="errmsg.CannotConvert2Ref" localSheetId="16">'RES_nl-NL'!$B$170</definedName>
    <definedName name="errmsg.CannotConvert2Ref" localSheetId="17">'RES_pl-PL'!$B$170</definedName>
    <definedName name="errmsg.CannotConvert2Ref" localSheetId="18">'RES_pt-BR'!$B$170</definedName>
    <definedName name="errmsg.CannotConvert2Ref" localSheetId="19">'RES_pt-PT'!$B$170</definedName>
    <definedName name="errmsg.CannotConvert2Ref" localSheetId="20">'RES_ro-RO'!$B$170</definedName>
    <definedName name="errmsg.CannotConvert2Ref" localSheetId="21">'RES_ru-RU'!$B$170</definedName>
    <definedName name="errmsg.CannotConvert2Ref" localSheetId="22">'RES_sl-SI'!$B$170</definedName>
    <definedName name="errmsg.CannotConvert2Ref" localSheetId="23">'RES_sv-SE'!$B$170</definedName>
    <definedName name="errmsg.CannotConvert2Ref" localSheetId="24">'RES_tr-TR'!$B$170</definedName>
    <definedName name="errmsg.CannotConvert2Ref" localSheetId="25">'RES_zh-CN'!$B$170</definedName>
    <definedName name="errmsg.CannotConvert2Ref" localSheetId="26">'RES_zh-TW'!$B$170</definedName>
    <definedName name="errmsg.CannotGetRelref" localSheetId="3">'RES_cs-CZ'!$B$171</definedName>
    <definedName name="errmsg.CannotGetRelref" localSheetId="4">'RES_da-DK'!$B$171</definedName>
    <definedName name="errmsg.CannotGetRelref" localSheetId="5">'RES_de-DE'!$B$171</definedName>
    <definedName name="errmsg.CannotGetRelref" localSheetId="6">'RES_el-GR'!$B$171</definedName>
    <definedName name="errmsg.CannotGetRelref" localSheetId="2">'RES_en-US'!$B$171</definedName>
    <definedName name="errmsg.CannotGetRelref" localSheetId="7">'RES_es-ES'!$B$171</definedName>
    <definedName name="errmsg.CannotGetRelref" localSheetId="8">'RES_fi-FI'!$B$171</definedName>
    <definedName name="errmsg.CannotGetRelref" localSheetId="1">'RES_fr-FR'!$B$171</definedName>
    <definedName name="errmsg.CannotGetRelref" localSheetId="9">'RES_hr-HR'!$B$171</definedName>
    <definedName name="errmsg.CannotGetRelref" localSheetId="10">'RES_hu-HU'!$B$171</definedName>
    <definedName name="errmsg.CannotGetRelref" localSheetId="11">'RES_it-IT'!$B$171</definedName>
    <definedName name="errmsg.CannotGetRelref" localSheetId="12">'RES_ja-JP'!$B$171</definedName>
    <definedName name="errmsg.CannotGetRelref" localSheetId="13">'RES_ko-KR'!$B$171</definedName>
    <definedName name="errmsg.CannotGetRelref" localSheetId="14">'RES_lv-LV'!$B$171</definedName>
    <definedName name="errmsg.CannotGetRelref" localSheetId="15">'RES_nb-NO'!$B$171</definedName>
    <definedName name="errmsg.CannotGetRelref" localSheetId="16">'RES_nl-NL'!$B$171</definedName>
    <definedName name="errmsg.CannotGetRelref" localSheetId="17">'RES_pl-PL'!$B$171</definedName>
    <definedName name="errmsg.CannotGetRelref" localSheetId="18">'RES_pt-BR'!$B$171</definedName>
    <definedName name="errmsg.CannotGetRelref" localSheetId="19">'RES_pt-PT'!$B$171</definedName>
    <definedName name="errmsg.CannotGetRelref" localSheetId="20">'RES_ro-RO'!$B$171</definedName>
    <definedName name="errmsg.CannotGetRelref" localSheetId="21">'RES_ru-RU'!$B$171</definedName>
    <definedName name="errmsg.CannotGetRelref" localSheetId="22">'RES_sl-SI'!$B$171</definedName>
    <definedName name="errmsg.CannotGetRelref" localSheetId="23">'RES_sv-SE'!$B$171</definedName>
    <definedName name="errmsg.CannotGetRelref" localSheetId="24">'RES_tr-TR'!$B$171</definedName>
    <definedName name="errmsg.CannotGetRelref" localSheetId="25">'RES_zh-CN'!$B$171</definedName>
    <definedName name="errmsg.CannotGetRelref" localSheetId="26">'RES_zh-TW'!$B$171</definedName>
    <definedName name="errmsg.ChartHideData" localSheetId="3">'RES_cs-CZ'!$B$172</definedName>
    <definedName name="errmsg.ChartHideData" localSheetId="4">'RES_da-DK'!$B$172</definedName>
    <definedName name="errmsg.ChartHideData" localSheetId="5">'RES_de-DE'!$B$172</definedName>
    <definedName name="errmsg.ChartHideData" localSheetId="6">'RES_el-GR'!$B$172</definedName>
    <definedName name="errmsg.ChartHideData" localSheetId="2">'RES_en-US'!$B$172</definedName>
    <definedName name="errmsg.ChartHideData" localSheetId="7">'RES_es-ES'!$B$172</definedName>
    <definedName name="errmsg.ChartHideData" localSheetId="8">'RES_fi-FI'!$B$172</definedName>
    <definedName name="errmsg.ChartHideData" localSheetId="1">'RES_fr-FR'!$B$172</definedName>
    <definedName name="errmsg.ChartHideData" localSheetId="9">'RES_hr-HR'!$B$172</definedName>
    <definedName name="errmsg.ChartHideData" localSheetId="10">'RES_hu-HU'!$B$172</definedName>
    <definedName name="errmsg.ChartHideData" localSheetId="11">'RES_it-IT'!$B$172</definedName>
    <definedName name="errmsg.ChartHideData" localSheetId="12">'RES_ja-JP'!$B$172</definedName>
    <definedName name="errmsg.ChartHideData" localSheetId="13">'RES_ko-KR'!$B$172</definedName>
    <definedName name="errmsg.ChartHideData" localSheetId="14">'RES_lv-LV'!$B$172</definedName>
    <definedName name="errmsg.ChartHideData" localSheetId="15">'RES_nb-NO'!$B$172</definedName>
    <definedName name="errmsg.ChartHideData" localSheetId="16">'RES_nl-NL'!$B$172</definedName>
    <definedName name="errmsg.ChartHideData" localSheetId="17">'RES_pl-PL'!$B$172</definedName>
    <definedName name="errmsg.ChartHideData" localSheetId="18">'RES_pt-BR'!$B$172</definedName>
    <definedName name="errmsg.ChartHideData" localSheetId="19">'RES_pt-PT'!$B$172</definedName>
    <definedName name="errmsg.ChartHideData" localSheetId="20">'RES_ro-RO'!$B$172</definedName>
    <definedName name="errmsg.ChartHideData" localSheetId="21">'RES_ru-RU'!$B$172</definedName>
    <definedName name="errmsg.ChartHideData" localSheetId="22">'RES_sl-SI'!$B$172</definedName>
    <definedName name="errmsg.ChartHideData" localSheetId="23">'RES_sv-SE'!$B$172</definedName>
    <definedName name="errmsg.ChartHideData" localSheetId="24">'RES_tr-TR'!$B$172</definedName>
    <definedName name="errmsg.ChartHideData" localSheetId="25">'RES_zh-CN'!$B$172</definedName>
    <definedName name="errmsg.ChartHideData" localSheetId="26">'RES_zh-TW'!$B$172</definedName>
    <definedName name="errmsg.ChartOverEdge" localSheetId="3">'RES_cs-CZ'!$B$173</definedName>
    <definedName name="errmsg.ChartOverEdge" localSheetId="4">'RES_da-DK'!$B$173</definedName>
    <definedName name="errmsg.ChartOverEdge" localSheetId="5">'RES_de-DE'!$B$173</definedName>
    <definedName name="errmsg.ChartOverEdge" localSheetId="6">'RES_el-GR'!$B$173</definedName>
    <definedName name="errmsg.ChartOverEdge" localSheetId="2">'RES_en-US'!$B$173</definedName>
    <definedName name="errmsg.ChartOverEdge" localSheetId="7">'RES_es-ES'!$B$173</definedName>
    <definedName name="errmsg.ChartOverEdge" localSheetId="8">'RES_fi-FI'!$B$173</definedName>
    <definedName name="errmsg.ChartOverEdge" localSheetId="1">'RES_fr-FR'!$B$173</definedName>
    <definedName name="errmsg.ChartOverEdge" localSheetId="9">'RES_hr-HR'!$B$173</definedName>
    <definedName name="errmsg.ChartOverEdge" localSheetId="10">'RES_hu-HU'!$B$173</definedName>
    <definedName name="errmsg.ChartOverEdge" localSheetId="11">'RES_it-IT'!$B$173</definedName>
    <definedName name="errmsg.ChartOverEdge" localSheetId="12">'RES_ja-JP'!$B$173</definedName>
    <definedName name="errmsg.ChartOverEdge" localSheetId="13">'RES_ko-KR'!$B$173</definedName>
    <definedName name="errmsg.ChartOverEdge" localSheetId="14">'RES_lv-LV'!$B$173</definedName>
    <definedName name="errmsg.ChartOverEdge" localSheetId="15">'RES_nb-NO'!$B$173</definedName>
    <definedName name="errmsg.ChartOverEdge" localSheetId="16">'RES_nl-NL'!$B$173</definedName>
    <definedName name="errmsg.ChartOverEdge" localSheetId="17">'RES_pl-PL'!$B$173</definedName>
    <definedName name="errmsg.ChartOverEdge" localSheetId="18">'RES_pt-BR'!$B$173</definedName>
    <definedName name="errmsg.ChartOverEdge" localSheetId="19">'RES_pt-PT'!$B$173</definedName>
    <definedName name="errmsg.ChartOverEdge" localSheetId="20">'RES_ro-RO'!$B$173</definedName>
    <definedName name="errmsg.ChartOverEdge" localSheetId="21">'RES_ru-RU'!$B$173</definedName>
    <definedName name="errmsg.ChartOverEdge" localSheetId="22">'RES_sl-SI'!$B$173</definedName>
    <definedName name="errmsg.ChartOverEdge" localSheetId="23">'RES_sv-SE'!$B$173</definedName>
    <definedName name="errmsg.ChartOverEdge" localSheetId="24">'RES_tr-TR'!$B$173</definedName>
    <definedName name="errmsg.ChartOverEdge" localSheetId="25">'RES_zh-CN'!$B$173</definedName>
    <definedName name="errmsg.ChartOverEdge" localSheetId="26">'RES_zh-TW'!$B$173</definedName>
    <definedName name="errmsg.CoerceValProbErr" localSheetId="3">'RES_cs-CZ'!$B$176</definedName>
    <definedName name="errmsg.CoerceValProbErr" localSheetId="4">'RES_da-DK'!$B$176</definedName>
    <definedName name="errmsg.CoerceValProbErr" localSheetId="5">'RES_de-DE'!$B$176</definedName>
    <definedName name="errmsg.CoerceValProbErr" localSheetId="6">'RES_el-GR'!$B$176</definedName>
    <definedName name="errmsg.CoerceValProbErr" localSheetId="2">'RES_en-US'!$B$176</definedName>
    <definedName name="errmsg.CoerceValProbErr" localSheetId="7">'RES_es-ES'!$B$176</definedName>
    <definedName name="errmsg.CoerceValProbErr" localSheetId="8">'RES_fi-FI'!$B$176</definedName>
    <definedName name="errmsg.CoerceValProbErr" localSheetId="1">'RES_fr-FR'!$B$176</definedName>
    <definedName name="errmsg.CoerceValProbErr" localSheetId="9">'RES_hr-HR'!$B$176</definedName>
    <definedName name="errmsg.CoerceValProbErr" localSheetId="10">'RES_hu-HU'!$B$176</definedName>
    <definedName name="errmsg.CoerceValProbErr" localSheetId="11">'RES_it-IT'!$B$176</definedName>
    <definedName name="errmsg.CoerceValProbErr" localSheetId="12">'RES_ja-JP'!$B$176</definedName>
    <definedName name="errmsg.CoerceValProbErr" localSheetId="13">'RES_ko-KR'!$B$176</definedName>
    <definedName name="errmsg.CoerceValProbErr" localSheetId="14">'RES_lv-LV'!$B$176</definedName>
    <definedName name="errmsg.CoerceValProbErr" localSheetId="15">'RES_nb-NO'!$B$176</definedName>
    <definedName name="errmsg.CoerceValProbErr" localSheetId="16">'RES_nl-NL'!$B$176</definedName>
    <definedName name="errmsg.CoerceValProbErr" localSheetId="17">'RES_pl-PL'!$B$176</definedName>
    <definedName name="errmsg.CoerceValProbErr" localSheetId="18">'RES_pt-BR'!$B$176</definedName>
    <definedName name="errmsg.CoerceValProbErr" localSheetId="19">'RES_pt-PT'!$B$176</definedName>
    <definedName name="errmsg.CoerceValProbErr" localSheetId="20">'RES_ro-RO'!$B$176</definedName>
    <definedName name="errmsg.CoerceValProbErr" localSheetId="21">'RES_ru-RU'!$B$176</definedName>
    <definedName name="errmsg.CoerceValProbErr" localSheetId="22">'RES_sl-SI'!$B$176</definedName>
    <definedName name="errmsg.CoerceValProbErr" localSheetId="23">'RES_sv-SE'!$B$176</definedName>
    <definedName name="errmsg.CoerceValProbErr" localSheetId="24">'RES_tr-TR'!$B$176</definedName>
    <definedName name="errmsg.CoerceValProbErr" localSheetId="25">'RES_zh-CN'!$B$176</definedName>
    <definedName name="errmsg.CoerceValProbErr" localSheetId="26">'RES_zh-TW'!$B$176</definedName>
    <definedName name="errmsg.ConfirmAbort" localSheetId="3">'RES_cs-CZ'!$B$174</definedName>
    <definedName name="errmsg.ConfirmAbort" localSheetId="4">'RES_da-DK'!$B$174</definedName>
    <definedName name="errmsg.ConfirmAbort" localSheetId="5">'RES_de-DE'!$B$174</definedName>
    <definedName name="errmsg.ConfirmAbort" localSheetId="6">'RES_el-GR'!$B$174</definedName>
    <definedName name="errmsg.ConfirmAbort" localSheetId="2">'RES_en-US'!$B$174</definedName>
    <definedName name="errmsg.ConfirmAbort" localSheetId="7">'RES_es-ES'!$B$174</definedName>
    <definedName name="errmsg.ConfirmAbort" localSheetId="8">'RES_fi-FI'!$B$174</definedName>
    <definedName name="errmsg.ConfirmAbort" localSheetId="1">'RES_fr-FR'!$B$174</definedName>
    <definedName name="errmsg.ConfirmAbort" localSheetId="9">'RES_hr-HR'!$B$174</definedName>
    <definedName name="errmsg.ConfirmAbort" localSheetId="10">'RES_hu-HU'!$B$174</definedName>
    <definedName name="errmsg.ConfirmAbort" localSheetId="11">'RES_it-IT'!$B$174</definedName>
    <definedName name="errmsg.ConfirmAbort" localSheetId="12">'RES_ja-JP'!$B$174</definedName>
    <definedName name="errmsg.ConfirmAbort" localSheetId="13">'RES_ko-KR'!$B$174</definedName>
    <definedName name="errmsg.ConfirmAbort" localSheetId="14">'RES_lv-LV'!$B$174</definedName>
    <definedName name="errmsg.ConfirmAbort" localSheetId="15">'RES_nb-NO'!$B$174</definedName>
    <definedName name="errmsg.ConfirmAbort" localSheetId="16">'RES_nl-NL'!$B$174</definedName>
    <definedName name="errmsg.ConfirmAbort" localSheetId="17">'RES_pl-PL'!$B$174</definedName>
    <definedName name="errmsg.ConfirmAbort" localSheetId="18">'RES_pt-BR'!$B$174</definedName>
    <definedName name="errmsg.ConfirmAbort" localSheetId="19">'RES_pt-PT'!$B$174</definedName>
    <definedName name="errmsg.ConfirmAbort" localSheetId="20">'RES_ro-RO'!$B$174</definedName>
    <definedName name="errmsg.ConfirmAbort" localSheetId="21">'RES_ru-RU'!$B$174</definedName>
    <definedName name="errmsg.ConfirmAbort" localSheetId="22">'RES_sl-SI'!$B$174</definedName>
    <definedName name="errmsg.ConfirmAbort" localSheetId="23">'RES_sv-SE'!$B$174</definedName>
    <definedName name="errmsg.ConfirmAbort" localSheetId="24">'RES_tr-TR'!$B$174</definedName>
    <definedName name="errmsg.ConfirmAbort" localSheetId="25">'RES_zh-CN'!$B$174</definedName>
    <definedName name="errmsg.ConfirmAbort" localSheetId="26">'RES_zh-TW'!$B$174</definedName>
    <definedName name="errmsg.ConfValuRg" localSheetId="3">'RES_cs-CZ'!$B$175</definedName>
    <definedName name="errmsg.ConfValuRg" localSheetId="4">'RES_da-DK'!$B$175</definedName>
    <definedName name="errmsg.ConfValuRg" localSheetId="5">'RES_de-DE'!$B$175</definedName>
    <definedName name="errmsg.ConfValuRg" localSheetId="6">'RES_el-GR'!$B$175</definedName>
    <definedName name="errmsg.ConfValuRg" localSheetId="2">'RES_en-US'!$B$175</definedName>
    <definedName name="errmsg.ConfValuRg" localSheetId="7">'RES_es-ES'!$B$175</definedName>
    <definedName name="errmsg.ConfValuRg" localSheetId="8">'RES_fi-FI'!$B$175</definedName>
    <definedName name="errmsg.ConfValuRg" localSheetId="1">'RES_fr-FR'!$B$175</definedName>
    <definedName name="errmsg.ConfValuRg" localSheetId="9">'RES_hr-HR'!$B$175</definedName>
    <definedName name="errmsg.ConfValuRg" localSheetId="10">'RES_hu-HU'!$B$175</definedName>
    <definedName name="errmsg.ConfValuRg" localSheetId="11">'RES_it-IT'!$B$175</definedName>
    <definedName name="errmsg.ConfValuRg" localSheetId="12">'RES_ja-JP'!$B$175</definedName>
    <definedName name="errmsg.ConfValuRg" localSheetId="13">'RES_ko-KR'!$B$175</definedName>
    <definedName name="errmsg.ConfValuRg" localSheetId="14">'RES_lv-LV'!$B$175</definedName>
    <definedName name="errmsg.ConfValuRg" localSheetId="15">'RES_nb-NO'!$B$175</definedName>
    <definedName name="errmsg.ConfValuRg" localSheetId="16">'RES_nl-NL'!$B$175</definedName>
    <definedName name="errmsg.ConfValuRg" localSheetId="17">'RES_pl-PL'!$B$175</definedName>
    <definedName name="errmsg.ConfValuRg" localSheetId="18">'RES_pt-BR'!$B$175</definedName>
    <definedName name="errmsg.ConfValuRg" localSheetId="19">'RES_pt-PT'!$B$175</definedName>
    <definedName name="errmsg.ConfValuRg" localSheetId="20">'RES_ro-RO'!$B$175</definedName>
    <definedName name="errmsg.ConfValuRg" localSheetId="21">'RES_ru-RU'!$B$175</definedName>
    <definedName name="errmsg.ConfValuRg" localSheetId="22">'RES_sl-SI'!$B$175</definedName>
    <definedName name="errmsg.ConfValuRg" localSheetId="23">'RES_sv-SE'!$B$175</definedName>
    <definedName name="errmsg.ConfValuRg" localSheetId="24">'RES_tr-TR'!$B$175</definedName>
    <definedName name="errmsg.ConfValuRg" localSheetId="25">'RES_zh-CN'!$B$175</definedName>
    <definedName name="errmsg.ConfValuRg" localSheetId="26">'RES_zh-TW'!$B$175</definedName>
    <definedName name="errmsg.DampNumeric" localSheetId="3">'RES_cs-CZ'!$B$177</definedName>
    <definedName name="errmsg.DampNumeric" localSheetId="4">'RES_da-DK'!$B$177</definedName>
    <definedName name="errmsg.DampNumeric" localSheetId="5">'RES_de-DE'!$B$177</definedName>
    <definedName name="errmsg.DampNumeric" localSheetId="6">'RES_el-GR'!$B$177</definedName>
    <definedName name="errmsg.DampNumeric" localSheetId="2">'RES_en-US'!$B$177</definedName>
    <definedName name="errmsg.DampNumeric" localSheetId="7">'RES_es-ES'!$B$177</definedName>
    <definedName name="errmsg.DampNumeric" localSheetId="8">'RES_fi-FI'!$B$177</definedName>
    <definedName name="errmsg.DampNumeric" localSheetId="1">'RES_fr-FR'!$B$177</definedName>
    <definedName name="errmsg.DampNumeric" localSheetId="9">'RES_hr-HR'!$B$177</definedName>
    <definedName name="errmsg.DampNumeric" localSheetId="10">'RES_hu-HU'!$B$177</definedName>
    <definedName name="errmsg.DampNumeric" localSheetId="11">'RES_it-IT'!$B$177</definedName>
    <definedName name="errmsg.DampNumeric" localSheetId="12">'RES_ja-JP'!$B$177</definedName>
    <definedName name="errmsg.DampNumeric" localSheetId="13">'RES_ko-KR'!$B$177</definedName>
    <definedName name="errmsg.DampNumeric" localSheetId="14">'RES_lv-LV'!$B$177</definedName>
    <definedName name="errmsg.DampNumeric" localSheetId="15">'RES_nb-NO'!$B$177</definedName>
    <definedName name="errmsg.DampNumeric" localSheetId="16">'RES_nl-NL'!$B$177</definedName>
    <definedName name="errmsg.DampNumeric" localSheetId="17">'RES_pl-PL'!$B$177</definedName>
    <definedName name="errmsg.DampNumeric" localSheetId="18">'RES_pt-BR'!$B$177</definedName>
    <definedName name="errmsg.DampNumeric" localSheetId="19">'RES_pt-PT'!$B$177</definedName>
    <definedName name="errmsg.DampNumeric" localSheetId="20">'RES_ro-RO'!$B$177</definedName>
    <definedName name="errmsg.DampNumeric" localSheetId="21">'RES_ru-RU'!$B$177</definedName>
    <definedName name="errmsg.DampNumeric" localSheetId="22">'RES_sl-SI'!$B$177</definedName>
    <definedName name="errmsg.DampNumeric" localSheetId="23">'RES_sv-SE'!$B$177</definedName>
    <definedName name="errmsg.DampNumeric" localSheetId="24">'RES_tr-TR'!$B$177</definedName>
    <definedName name="errmsg.DampNumeric" localSheetId="25">'RES_zh-CN'!$B$177</definedName>
    <definedName name="errmsg.DampNumeric" localSheetId="26">'RES_zh-TW'!$B$177</definedName>
    <definedName name="errmsg.DampPos" localSheetId="3">'RES_cs-CZ'!$B$178</definedName>
    <definedName name="errmsg.DampPos" localSheetId="4">'RES_da-DK'!$B$178</definedName>
    <definedName name="errmsg.DampPos" localSheetId="5">'RES_de-DE'!$B$178</definedName>
    <definedName name="errmsg.DampPos" localSheetId="6">'RES_el-GR'!$B$178</definedName>
    <definedName name="errmsg.DampPos" localSheetId="2">'RES_en-US'!$B$178</definedName>
    <definedName name="errmsg.DampPos" localSheetId="7">'RES_es-ES'!$B$178</definedName>
    <definedName name="errmsg.DampPos" localSheetId="8">'RES_fi-FI'!$B$178</definedName>
    <definedName name="errmsg.DampPos" localSheetId="1">'RES_fr-FR'!$B$178</definedName>
    <definedName name="errmsg.DampPos" localSheetId="9">'RES_hr-HR'!$B$178</definedName>
    <definedName name="errmsg.DampPos" localSheetId="10">'RES_hu-HU'!$B$178</definedName>
    <definedName name="errmsg.DampPos" localSheetId="11">'RES_it-IT'!$B$178</definedName>
    <definedName name="errmsg.DampPos" localSheetId="12">'RES_ja-JP'!$B$178</definedName>
    <definedName name="errmsg.DampPos" localSheetId="13">'RES_ko-KR'!$B$178</definedName>
    <definedName name="errmsg.DampPos" localSheetId="14">'RES_lv-LV'!$B$178</definedName>
    <definedName name="errmsg.DampPos" localSheetId="15">'RES_nb-NO'!$B$178</definedName>
    <definedName name="errmsg.DampPos" localSheetId="16">'RES_nl-NL'!$B$178</definedName>
    <definedName name="errmsg.DampPos" localSheetId="17">'RES_pl-PL'!$B$178</definedName>
    <definedName name="errmsg.DampPos" localSheetId="18">'RES_pt-BR'!$B$178</definedName>
    <definedName name="errmsg.DampPos" localSheetId="19">'RES_pt-PT'!$B$178</definedName>
    <definedName name="errmsg.DampPos" localSheetId="20">'RES_ro-RO'!$B$178</definedName>
    <definedName name="errmsg.DampPos" localSheetId="21">'RES_ru-RU'!$B$178</definedName>
    <definedName name="errmsg.DampPos" localSheetId="22">'RES_sl-SI'!$B$178</definedName>
    <definedName name="errmsg.DampPos" localSheetId="23">'RES_sv-SE'!$B$178</definedName>
    <definedName name="errmsg.DampPos" localSheetId="24">'RES_tr-TR'!$B$178</definedName>
    <definedName name="errmsg.DampPos" localSheetId="25">'RES_zh-CN'!$B$178</definedName>
    <definedName name="errmsg.DampPos" localSheetId="26">'RES_zh-TW'!$B$178</definedName>
    <definedName name="errmsg.DProbSumErr" localSheetId="3">'RES_cs-CZ'!$B$179</definedName>
    <definedName name="errmsg.DProbSumErr" localSheetId="4">'RES_da-DK'!$B$179</definedName>
    <definedName name="errmsg.DProbSumErr" localSheetId="5">'RES_de-DE'!$B$179</definedName>
    <definedName name="errmsg.DProbSumErr" localSheetId="6">'RES_el-GR'!$B$179</definedName>
    <definedName name="errmsg.DProbSumErr" localSheetId="2">'RES_en-US'!$B$179</definedName>
    <definedName name="errmsg.DProbSumErr" localSheetId="7">'RES_es-ES'!$B$179</definedName>
    <definedName name="errmsg.DProbSumErr" localSheetId="8">'RES_fi-FI'!$B$179</definedName>
    <definedName name="errmsg.DProbSumErr" localSheetId="1">'RES_fr-FR'!$B$179</definedName>
    <definedName name="errmsg.DProbSumErr" localSheetId="9">'RES_hr-HR'!$B$179</definedName>
    <definedName name="errmsg.DProbSumErr" localSheetId="10">'RES_hu-HU'!$B$179</definedName>
    <definedName name="errmsg.DProbSumErr" localSheetId="11">'RES_it-IT'!$B$179</definedName>
    <definedName name="errmsg.DProbSumErr" localSheetId="12">'RES_ja-JP'!$B$179</definedName>
    <definedName name="errmsg.DProbSumErr" localSheetId="13">'RES_ko-KR'!$B$179</definedName>
    <definedName name="errmsg.DProbSumErr" localSheetId="14">'RES_lv-LV'!$B$179</definedName>
    <definedName name="errmsg.DProbSumErr" localSheetId="15">'RES_nb-NO'!$B$179</definedName>
    <definedName name="errmsg.DProbSumErr" localSheetId="16">'RES_nl-NL'!$B$179</definedName>
    <definedName name="errmsg.DProbSumErr" localSheetId="17">'RES_pl-PL'!$B$179</definedName>
    <definedName name="errmsg.DProbSumErr" localSheetId="18">'RES_pt-BR'!$B$179</definedName>
    <definedName name="errmsg.DProbSumErr" localSheetId="19">'RES_pt-PT'!$B$179</definedName>
    <definedName name="errmsg.DProbSumErr" localSheetId="20">'RES_ro-RO'!$B$179</definedName>
    <definedName name="errmsg.DProbSumErr" localSheetId="21">'RES_ru-RU'!$B$179</definedName>
    <definedName name="errmsg.DProbSumErr" localSheetId="22">'RES_sl-SI'!$B$179</definedName>
    <definedName name="errmsg.DProbSumErr" localSheetId="23">'RES_sv-SE'!$B$179</definedName>
    <definedName name="errmsg.DProbSumErr" localSheetId="24">'RES_tr-TR'!$B$179</definedName>
    <definedName name="errmsg.DProbSumErr" localSheetId="25">'RES_zh-CN'!$B$179</definedName>
    <definedName name="errmsg.DProbSumErr" localSheetId="26">'RES_zh-TW'!$B$179</definedName>
    <definedName name="errmsg.DValProbNonNumeric" localSheetId="3">'RES_cs-CZ'!$B$182</definedName>
    <definedName name="errmsg.DValProbNonNumeric" localSheetId="4">'RES_da-DK'!$B$182</definedName>
    <definedName name="errmsg.DValProbNonNumeric" localSheetId="5">'RES_de-DE'!$B$182</definedName>
    <definedName name="errmsg.DValProbNonNumeric" localSheetId="6">'RES_el-GR'!$B$182</definedName>
    <definedName name="errmsg.DValProbNonNumeric" localSheetId="2">'RES_en-US'!$B$182</definedName>
    <definedName name="errmsg.DValProbNonNumeric" localSheetId="7">'RES_es-ES'!$B$182</definedName>
    <definedName name="errmsg.DValProbNonNumeric" localSheetId="8">'RES_fi-FI'!$B$182</definedName>
    <definedName name="errmsg.DValProbNonNumeric" localSheetId="1">'RES_fr-FR'!$B$182</definedName>
    <definedName name="errmsg.DValProbNonNumeric" localSheetId="9">'RES_hr-HR'!$B$182</definedName>
    <definedName name="errmsg.DValProbNonNumeric" localSheetId="10">'RES_hu-HU'!$B$182</definedName>
    <definedName name="errmsg.DValProbNonNumeric" localSheetId="11">'RES_it-IT'!$B$182</definedName>
    <definedName name="errmsg.DValProbNonNumeric" localSheetId="12">'RES_ja-JP'!$B$182</definedName>
    <definedName name="errmsg.DValProbNonNumeric" localSheetId="13">'RES_ko-KR'!$B$182</definedName>
    <definedName name="errmsg.DValProbNonNumeric" localSheetId="14">'RES_lv-LV'!$B$182</definedName>
    <definedName name="errmsg.DValProbNonNumeric" localSheetId="15">'RES_nb-NO'!$B$182</definedName>
    <definedName name="errmsg.DValProbNonNumeric" localSheetId="16">'RES_nl-NL'!$B$182</definedName>
    <definedName name="errmsg.DValProbNonNumeric" localSheetId="17">'RES_pl-PL'!$B$182</definedName>
    <definedName name="errmsg.DValProbNonNumeric" localSheetId="18">'RES_pt-BR'!$B$182</definedName>
    <definedName name="errmsg.DValProbNonNumeric" localSheetId="19">'RES_pt-PT'!$B$182</definedName>
    <definedName name="errmsg.DValProbNonNumeric" localSheetId="20">'RES_ro-RO'!$B$182</definedName>
    <definedName name="errmsg.DValProbNonNumeric" localSheetId="21">'RES_ru-RU'!$B$182</definedName>
    <definedName name="errmsg.DValProbNonNumeric" localSheetId="22">'RES_sl-SI'!$B$182</definedName>
    <definedName name="errmsg.DValProbNonNumeric" localSheetId="23">'RES_sv-SE'!$B$182</definedName>
    <definedName name="errmsg.DValProbNonNumeric" localSheetId="24">'RES_tr-TR'!$B$182</definedName>
    <definedName name="errmsg.DValProbNonNumeric" localSheetId="25">'RES_zh-CN'!$B$182</definedName>
    <definedName name="errmsg.DValProbNonNumeric" localSheetId="26">'RES_zh-TW'!$B$182</definedName>
    <definedName name="errmsg.DValProbNumeric" localSheetId="3">'RES_cs-CZ'!$B$182</definedName>
    <definedName name="errmsg.DValProbNumeric" localSheetId="4">'RES_da-DK'!$B$182</definedName>
    <definedName name="errmsg.DValProbNumeric" localSheetId="5">'RES_de-DE'!$B$182</definedName>
    <definedName name="errmsg.DValProbNumeric" localSheetId="6">'RES_el-GR'!$B$182</definedName>
    <definedName name="errmsg.DValProbNumeric" localSheetId="2">'RES_en-US'!$B$182</definedName>
    <definedName name="errmsg.DValProbNumeric" localSheetId="7">'RES_es-ES'!$B$182</definedName>
    <definedName name="errmsg.DValProbNumeric" localSheetId="8">'RES_fi-FI'!$B$182</definedName>
    <definedName name="errmsg.DValProbNumeric" localSheetId="1">'RES_fr-FR'!$B$182</definedName>
    <definedName name="errmsg.DValProbNumeric" localSheetId="9">'RES_hr-HR'!$B$182</definedName>
    <definedName name="errmsg.DValProbNumeric" localSheetId="10">'RES_hu-HU'!$B$182</definedName>
    <definedName name="errmsg.DValProbNumeric" localSheetId="11">'RES_it-IT'!$B$182</definedName>
    <definedName name="errmsg.DValProbNumeric" localSheetId="12">'RES_ja-JP'!$B$182</definedName>
    <definedName name="errmsg.DValProbNumeric" localSheetId="13">'RES_ko-KR'!$B$182</definedName>
    <definedName name="errmsg.DValProbNumeric" localSheetId="14">'RES_lv-LV'!$B$182</definedName>
    <definedName name="errmsg.DValProbNumeric" localSheetId="15">'RES_nb-NO'!$B$182</definedName>
    <definedName name="errmsg.DValProbNumeric" localSheetId="16">'RES_nl-NL'!$B$182</definedName>
    <definedName name="errmsg.DValProbNumeric" localSheetId="17">'RES_pl-PL'!$B$182</definedName>
    <definedName name="errmsg.DValProbNumeric" localSheetId="18">'RES_pt-BR'!$B$182</definedName>
    <definedName name="errmsg.DValProbNumeric" localSheetId="19">'RES_pt-PT'!$B$182</definedName>
    <definedName name="errmsg.DValProbNumeric" localSheetId="20">'RES_ro-RO'!$B$182</definedName>
    <definedName name="errmsg.DValProbNumeric" localSheetId="21">'RES_ru-RU'!$B$182</definedName>
    <definedName name="errmsg.DValProbNumeric" localSheetId="22">'RES_sl-SI'!$B$182</definedName>
    <definedName name="errmsg.DValProbNumeric" localSheetId="23">'RES_sv-SE'!$B$182</definedName>
    <definedName name="errmsg.DValProbNumeric" localSheetId="24">'RES_tr-TR'!$B$182</definedName>
    <definedName name="errmsg.DValProbNumeric" localSheetId="25">'RES_zh-CN'!$B$182</definedName>
    <definedName name="errmsg.DValProbNumeric" localSheetId="26">'RES_zh-TW'!$B$182</definedName>
    <definedName name="errmsg.DValProbOverlap" localSheetId="3">'RES_cs-CZ'!$B$183</definedName>
    <definedName name="errmsg.DValProbOverlap" localSheetId="4">'RES_da-DK'!$B$183</definedName>
    <definedName name="errmsg.DValProbOverlap" localSheetId="5">'RES_de-DE'!$B$183</definedName>
    <definedName name="errmsg.DValProbOverlap" localSheetId="6">'RES_el-GR'!$B$183</definedName>
    <definedName name="errmsg.DValProbOverlap" localSheetId="2">'RES_en-US'!$B$183</definedName>
    <definedName name="errmsg.DValProbOverlap" localSheetId="7">'RES_es-ES'!$B$183</definedName>
    <definedName name="errmsg.DValProbOverlap" localSheetId="8">'RES_fi-FI'!$B$183</definedName>
    <definedName name="errmsg.DValProbOverlap" localSheetId="1">'RES_fr-FR'!$B$183</definedName>
    <definedName name="errmsg.DValProbOverlap" localSheetId="9">'RES_hr-HR'!$B$183</definedName>
    <definedName name="errmsg.DValProbOverlap" localSheetId="10">'RES_hu-HU'!$B$183</definedName>
    <definedName name="errmsg.DValProbOverlap" localSheetId="11">'RES_it-IT'!$B$183</definedName>
    <definedName name="errmsg.DValProbOverlap" localSheetId="12">'RES_ja-JP'!$B$183</definedName>
    <definedName name="errmsg.DValProbOverlap" localSheetId="13">'RES_ko-KR'!$B$183</definedName>
    <definedName name="errmsg.DValProbOverlap" localSheetId="14">'RES_lv-LV'!$B$183</definedName>
    <definedName name="errmsg.DValProbOverlap" localSheetId="15">'RES_nb-NO'!$B$183</definedName>
    <definedName name="errmsg.DValProbOverlap" localSheetId="16">'RES_nl-NL'!$B$183</definedName>
    <definedName name="errmsg.DValProbOverlap" localSheetId="17">'RES_pl-PL'!$B$183</definedName>
    <definedName name="errmsg.DValProbOverlap" localSheetId="18">'RES_pt-BR'!$B$183</definedName>
    <definedName name="errmsg.DValProbOverlap" localSheetId="19">'RES_pt-PT'!$B$183</definedName>
    <definedName name="errmsg.DValProbOverlap" localSheetId="20">'RES_ro-RO'!$B$183</definedName>
    <definedName name="errmsg.DValProbOverlap" localSheetId="21">'RES_ru-RU'!$B$183</definedName>
    <definedName name="errmsg.DValProbOverlap" localSheetId="22">'RES_sl-SI'!$B$183</definedName>
    <definedName name="errmsg.DValProbOverlap" localSheetId="23">'RES_sv-SE'!$B$183</definedName>
    <definedName name="errmsg.DValProbOverlap" localSheetId="24">'RES_tr-TR'!$B$183</definedName>
    <definedName name="errmsg.DValProbOverlap" localSheetId="25">'RES_zh-CN'!$B$183</definedName>
    <definedName name="errmsg.DValProbOverlap" localSheetId="26">'RES_zh-TW'!$B$183</definedName>
    <definedName name="errmsg.DValProbReq" localSheetId="3">'RES_cs-CZ'!$B$180</definedName>
    <definedName name="errmsg.DValProbReq" localSheetId="4">'RES_da-DK'!$B$180</definedName>
    <definedName name="errmsg.DValProbReq" localSheetId="5">'RES_de-DE'!$B$180</definedName>
    <definedName name="errmsg.DValProbReq" localSheetId="6">'RES_el-GR'!$B$180</definedName>
    <definedName name="errmsg.DValProbReq" localSheetId="2">'RES_en-US'!$B$180</definedName>
    <definedName name="errmsg.DValProbReq" localSheetId="7">'RES_es-ES'!$B$180</definedName>
    <definedName name="errmsg.DValProbReq" localSheetId="8">'RES_fi-FI'!$B$180</definedName>
    <definedName name="errmsg.DValProbReq" localSheetId="1">'RES_fr-FR'!$B$180</definedName>
    <definedName name="errmsg.DValProbReq" localSheetId="9">'RES_hr-HR'!$B$180</definedName>
    <definedName name="errmsg.DValProbReq" localSheetId="10">'RES_hu-HU'!$B$180</definedName>
    <definedName name="errmsg.DValProbReq" localSheetId="11">'RES_it-IT'!$B$180</definedName>
    <definedName name="errmsg.DValProbReq" localSheetId="12">'RES_ja-JP'!$B$180</definedName>
    <definedName name="errmsg.DValProbReq" localSheetId="13">'RES_ko-KR'!$B$180</definedName>
    <definedName name="errmsg.DValProbReq" localSheetId="14">'RES_lv-LV'!$B$180</definedName>
    <definedName name="errmsg.DValProbReq" localSheetId="15">'RES_nb-NO'!$B$180</definedName>
    <definedName name="errmsg.DValProbReq" localSheetId="16">'RES_nl-NL'!$B$180</definedName>
    <definedName name="errmsg.DValProbReq" localSheetId="17">'RES_pl-PL'!$B$180</definedName>
    <definedName name="errmsg.DValProbReq" localSheetId="18">'RES_pt-BR'!$B$180</definedName>
    <definedName name="errmsg.DValProbReq" localSheetId="19">'RES_pt-PT'!$B$180</definedName>
    <definedName name="errmsg.DValProbReq" localSheetId="20">'RES_ro-RO'!$B$180</definedName>
    <definedName name="errmsg.DValProbReq" localSheetId="21">'RES_ru-RU'!$B$180</definedName>
    <definedName name="errmsg.DValProbReq" localSheetId="22">'RES_sl-SI'!$B$180</definedName>
    <definedName name="errmsg.DValProbReq" localSheetId="23">'RES_sv-SE'!$B$180</definedName>
    <definedName name="errmsg.DValProbReq" localSheetId="24">'RES_tr-TR'!$B$180</definedName>
    <definedName name="errmsg.DValProbReq" localSheetId="25">'RES_zh-CN'!$B$180</definedName>
    <definedName name="errmsg.DValProbReq" localSheetId="26">'RES_zh-TW'!$B$180</definedName>
    <definedName name="errmsg.DValProbRows" localSheetId="3">'RES_cs-CZ'!$B$181</definedName>
    <definedName name="errmsg.DValProbRows" localSheetId="4">'RES_da-DK'!$B$181</definedName>
    <definedName name="errmsg.DValProbRows" localSheetId="5">'RES_de-DE'!$B$181</definedName>
    <definedName name="errmsg.DValProbRows" localSheetId="6">'RES_el-GR'!$B$181</definedName>
    <definedName name="errmsg.DValProbRows" localSheetId="2">'RES_en-US'!$B$181</definedName>
    <definedName name="errmsg.DValProbRows" localSheetId="7">'RES_es-ES'!$B$181</definedName>
    <definedName name="errmsg.DValProbRows" localSheetId="8">'RES_fi-FI'!$B$181</definedName>
    <definedName name="errmsg.DValProbRows" localSheetId="1">'RES_fr-FR'!$B$181</definedName>
    <definedName name="errmsg.DValProbRows" localSheetId="9">'RES_hr-HR'!$B$181</definedName>
    <definedName name="errmsg.DValProbRows" localSheetId="10">'RES_hu-HU'!$B$181</definedName>
    <definedName name="errmsg.DValProbRows" localSheetId="11">'RES_it-IT'!$B$181</definedName>
    <definedName name="errmsg.DValProbRows" localSheetId="12">'RES_ja-JP'!$B$181</definedName>
    <definedName name="errmsg.DValProbRows" localSheetId="13">'RES_ko-KR'!$B$181</definedName>
    <definedName name="errmsg.DValProbRows" localSheetId="14">'RES_lv-LV'!$B$181</definedName>
    <definedName name="errmsg.DValProbRows" localSheetId="15">'RES_nb-NO'!$B$181</definedName>
    <definedName name="errmsg.DValProbRows" localSheetId="16">'RES_nl-NL'!$B$181</definedName>
    <definedName name="errmsg.DValProbRows" localSheetId="17">'RES_pl-PL'!$B$181</definedName>
    <definedName name="errmsg.DValProbRows" localSheetId="18">'RES_pt-BR'!$B$181</definedName>
    <definedName name="errmsg.DValProbRows" localSheetId="19">'RES_pt-PT'!$B$181</definedName>
    <definedName name="errmsg.DValProbRows" localSheetId="20">'RES_ro-RO'!$B$181</definedName>
    <definedName name="errmsg.DValProbRows" localSheetId="21">'RES_ru-RU'!$B$181</definedName>
    <definedName name="errmsg.DValProbRows" localSheetId="22">'RES_sl-SI'!$B$181</definedName>
    <definedName name="errmsg.DValProbRows" localSheetId="23">'RES_sv-SE'!$B$181</definedName>
    <definedName name="errmsg.DValProbRows" localSheetId="24">'RES_tr-TR'!$B$181</definedName>
    <definedName name="errmsg.DValProbRows" localSheetId="25">'RES_zh-CN'!$B$181</definedName>
    <definedName name="errmsg.DValProbRows" localSheetId="26">'RES_zh-TW'!$B$181</definedName>
    <definedName name="errmsg.ExpMinDataStdErr" localSheetId="3">'RES_cs-CZ'!$B$184</definedName>
    <definedName name="errmsg.ExpMinDataStdErr" localSheetId="4">'RES_da-DK'!$B$184</definedName>
    <definedName name="errmsg.ExpMinDataStdErr" localSheetId="5">'RES_de-DE'!$B$184</definedName>
    <definedName name="errmsg.ExpMinDataStdErr" localSheetId="6">'RES_el-GR'!$B$184</definedName>
    <definedName name="errmsg.ExpMinDataStdErr" localSheetId="2">'RES_en-US'!$B$184</definedName>
    <definedName name="errmsg.ExpMinDataStdErr" localSheetId="7">'RES_es-ES'!$B$184</definedName>
    <definedName name="errmsg.ExpMinDataStdErr" localSheetId="8">'RES_fi-FI'!$B$184</definedName>
    <definedName name="errmsg.ExpMinDataStdErr" localSheetId="1">'RES_fr-FR'!$B$184</definedName>
    <definedName name="errmsg.ExpMinDataStdErr" localSheetId="9">'RES_hr-HR'!$B$184</definedName>
    <definedName name="errmsg.ExpMinDataStdErr" localSheetId="10">'RES_hu-HU'!$B$184</definedName>
    <definedName name="errmsg.ExpMinDataStdErr" localSheetId="11">'RES_it-IT'!$B$184</definedName>
    <definedName name="errmsg.ExpMinDataStdErr" localSheetId="12">'RES_ja-JP'!$B$184</definedName>
    <definedName name="errmsg.ExpMinDataStdErr" localSheetId="13">'RES_ko-KR'!$B$184</definedName>
    <definedName name="errmsg.ExpMinDataStdErr" localSheetId="14">'RES_lv-LV'!$B$184</definedName>
    <definedName name="errmsg.ExpMinDataStdErr" localSheetId="15">'RES_nb-NO'!$B$184</definedName>
    <definedName name="errmsg.ExpMinDataStdErr" localSheetId="16">'RES_nl-NL'!$B$184</definedName>
    <definedName name="errmsg.ExpMinDataStdErr" localSheetId="17">'RES_pl-PL'!$B$184</definedName>
    <definedName name="errmsg.ExpMinDataStdErr" localSheetId="18">'RES_pt-BR'!$B$184</definedName>
    <definedName name="errmsg.ExpMinDataStdErr" localSheetId="19">'RES_pt-PT'!$B$184</definedName>
    <definedName name="errmsg.ExpMinDataStdErr" localSheetId="20">'RES_ro-RO'!$B$184</definedName>
    <definedName name="errmsg.ExpMinDataStdErr" localSheetId="21">'RES_ru-RU'!$B$184</definedName>
    <definedName name="errmsg.ExpMinDataStdErr" localSheetId="22">'RES_sl-SI'!$B$184</definedName>
    <definedName name="errmsg.ExpMinDataStdErr" localSheetId="23">'RES_sv-SE'!$B$184</definedName>
    <definedName name="errmsg.ExpMinDataStdErr" localSheetId="24">'RES_tr-TR'!$B$184</definedName>
    <definedName name="errmsg.ExpMinDataStdErr" localSheetId="25">'RES_zh-CN'!$B$184</definedName>
    <definedName name="errmsg.ExpMinDataStdErr" localSheetId="26">'RES_zh-TW'!$B$184</definedName>
    <definedName name="errmsg.ExtraColsInX" localSheetId="3">'RES_cs-CZ'!$B$186</definedName>
    <definedName name="errmsg.ExtraColsInX" localSheetId="4">'RES_da-DK'!$B$186</definedName>
    <definedName name="errmsg.ExtraColsInX" localSheetId="5">'RES_de-DE'!$B$186</definedName>
    <definedName name="errmsg.ExtraColsInX" localSheetId="6">'RES_el-GR'!$B$186</definedName>
    <definedName name="errmsg.ExtraColsInX" localSheetId="2">'RES_en-US'!$B$186</definedName>
    <definedName name="errmsg.ExtraColsInX" localSheetId="7">'RES_es-ES'!$B$186</definedName>
    <definedName name="errmsg.ExtraColsInX" localSheetId="8">'RES_fi-FI'!$B$186</definedName>
    <definedName name="errmsg.ExtraColsInX" localSheetId="1">'RES_fr-FR'!$B$186</definedName>
    <definedName name="errmsg.ExtraColsInX" localSheetId="9">'RES_hr-HR'!$B$186</definedName>
    <definedName name="errmsg.ExtraColsInX" localSheetId="10">'RES_hu-HU'!$B$186</definedName>
    <definedName name="errmsg.ExtraColsInX" localSheetId="11">'RES_it-IT'!$B$186</definedName>
    <definedName name="errmsg.ExtraColsInX" localSheetId="12">'RES_ja-JP'!$B$186</definedName>
    <definedName name="errmsg.ExtraColsInX" localSheetId="13">'RES_ko-KR'!$B$186</definedName>
    <definedName name="errmsg.ExtraColsInX" localSheetId="14">'RES_lv-LV'!$B$186</definedName>
    <definedName name="errmsg.ExtraColsInX" localSheetId="15">'RES_nb-NO'!$B$186</definedName>
    <definedName name="errmsg.ExtraColsInX" localSheetId="16">'RES_nl-NL'!$B$186</definedName>
    <definedName name="errmsg.ExtraColsInX" localSheetId="17">'RES_pl-PL'!$B$186</definedName>
    <definedName name="errmsg.ExtraColsInX" localSheetId="18">'RES_pt-BR'!$B$186</definedName>
    <definedName name="errmsg.ExtraColsInX" localSheetId="19">'RES_pt-PT'!$B$186</definedName>
    <definedName name="errmsg.ExtraColsInX" localSheetId="20">'RES_ro-RO'!$B$186</definedName>
    <definedName name="errmsg.ExtraColsInX" localSheetId="21">'RES_ru-RU'!$B$186</definedName>
    <definedName name="errmsg.ExtraColsInX" localSheetId="22">'RES_sl-SI'!$B$186</definedName>
    <definedName name="errmsg.ExtraColsInX" localSheetId="23">'RES_sv-SE'!$B$186</definedName>
    <definedName name="errmsg.ExtraColsInX" localSheetId="24">'RES_tr-TR'!$B$186</definedName>
    <definedName name="errmsg.ExtraColsInX" localSheetId="25">'RES_zh-CN'!$B$186</definedName>
    <definedName name="errmsg.ExtraColsInX" localSheetId="26">'RES_zh-TW'!$B$186</definedName>
    <definedName name="errmsg.ExtraRandArgs" localSheetId="3">'RES_cs-CZ'!$B$185</definedName>
    <definedName name="errmsg.ExtraRandArgs" localSheetId="4">'RES_da-DK'!$B$185</definedName>
    <definedName name="errmsg.ExtraRandArgs" localSheetId="5">'RES_de-DE'!$B$185</definedName>
    <definedName name="errmsg.ExtraRandArgs" localSheetId="6">'RES_el-GR'!$B$185</definedName>
    <definedName name="errmsg.ExtraRandArgs" localSheetId="2">'RES_en-US'!$B$185</definedName>
    <definedName name="errmsg.ExtraRandArgs" localSheetId="7">'RES_es-ES'!$B$185</definedName>
    <definedName name="errmsg.ExtraRandArgs" localSheetId="8">'RES_fi-FI'!$B$185</definedName>
    <definedName name="errmsg.ExtraRandArgs" localSheetId="1">'RES_fr-FR'!$B$185</definedName>
    <definedName name="errmsg.ExtraRandArgs" localSheetId="9">'RES_hr-HR'!$B$185</definedName>
    <definedName name="errmsg.ExtraRandArgs" localSheetId="10">'RES_hu-HU'!$B$185</definedName>
    <definedName name="errmsg.ExtraRandArgs" localSheetId="11">'RES_it-IT'!$B$185</definedName>
    <definedName name="errmsg.ExtraRandArgs" localSheetId="12">'RES_ja-JP'!$B$185</definedName>
    <definedName name="errmsg.ExtraRandArgs" localSheetId="13">'RES_ko-KR'!$B$185</definedName>
    <definedName name="errmsg.ExtraRandArgs" localSheetId="14">'RES_lv-LV'!$B$185</definedName>
    <definedName name="errmsg.ExtraRandArgs" localSheetId="15">'RES_nb-NO'!$B$185</definedName>
    <definedName name="errmsg.ExtraRandArgs" localSheetId="16">'RES_nl-NL'!$B$185</definedName>
    <definedName name="errmsg.ExtraRandArgs" localSheetId="17">'RES_pl-PL'!$B$185</definedName>
    <definedName name="errmsg.ExtraRandArgs" localSheetId="18">'RES_pt-BR'!$B$185</definedName>
    <definedName name="errmsg.ExtraRandArgs" localSheetId="19">'RES_pt-PT'!$B$185</definedName>
    <definedName name="errmsg.ExtraRandArgs" localSheetId="20">'RES_ro-RO'!$B$185</definedName>
    <definedName name="errmsg.ExtraRandArgs" localSheetId="21">'RES_ru-RU'!$B$185</definedName>
    <definedName name="errmsg.ExtraRandArgs" localSheetId="22">'RES_sl-SI'!$B$185</definedName>
    <definedName name="errmsg.ExtraRandArgs" localSheetId="23">'RES_sv-SE'!$B$185</definedName>
    <definedName name="errmsg.ExtraRandArgs" localSheetId="24">'RES_tr-TR'!$B$185</definedName>
    <definedName name="errmsg.ExtraRandArgs" localSheetId="25">'RES_zh-CN'!$B$185</definedName>
    <definedName name="errmsg.ExtraRandArgs" localSheetId="26">'RES_zh-TW'!$B$185</definedName>
    <definedName name="errmsg.FourierCount" localSheetId="3">'RES_cs-CZ'!$B$187</definedName>
    <definedName name="errmsg.FourierCount" localSheetId="4">'RES_da-DK'!$B$187</definedName>
    <definedName name="errmsg.FourierCount" localSheetId="5">'RES_de-DE'!$B$187</definedName>
    <definedName name="errmsg.FourierCount" localSheetId="6">'RES_el-GR'!$B$187</definedName>
    <definedName name="errmsg.FourierCount" localSheetId="2">'RES_en-US'!$B$187</definedName>
    <definedName name="errmsg.FourierCount" localSheetId="7">'RES_es-ES'!$B$187</definedName>
    <definedName name="errmsg.FourierCount" localSheetId="8">'RES_fi-FI'!$B$187</definedName>
    <definedName name="errmsg.FourierCount" localSheetId="1">'RES_fr-FR'!$B$187</definedName>
    <definedName name="errmsg.FourierCount" localSheetId="9">'RES_hr-HR'!$B$187</definedName>
    <definedName name="errmsg.FourierCount" localSheetId="10">'RES_hu-HU'!$B$187</definedName>
    <definedName name="errmsg.FourierCount" localSheetId="11">'RES_it-IT'!$B$187</definedName>
    <definedName name="errmsg.FourierCount" localSheetId="12">'RES_ja-JP'!$B$187</definedName>
    <definedName name="errmsg.FourierCount" localSheetId="13">'RES_ko-KR'!$B$187</definedName>
    <definedName name="errmsg.FourierCount" localSheetId="14">'RES_lv-LV'!$B$187</definedName>
    <definedName name="errmsg.FourierCount" localSheetId="15">'RES_nb-NO'!$B$187</definedName>
    <definedName name="errmsg.FourierCount" localSheetId="16">'RES_nl-NL'!$B$187</definedName>
    <definedName name="errmsg.FourierCount" localSheetId="17">'RES_pl-PL'!$B$187</definedName>
    <definedName name="errmsg.FourierCount" localSheetId="18">'RES_pt-BR'!$B$187</definedName>
    <definedName name="errmsg.FourierCount" localSheetId="19">'RES_pt-PT'!$B$187</definedName>
    <definedName name="errmsg.FourierCount" localSheetId="20">'RES_ro-RO'!$B$187</definedName>
    <definedName name="errmsg.FourierCount" localSheetId="21">'RES_ru-RU'!$B$187</definedName>
    <definedName name="errmsg.FourierCount" localSheetId="22">'RES_sl-SI'!$B$187</definedName>
    <definedName name="errmsg.FourierCount" localSheetId="23">'RES_sv-SE'!$B$187</definedName>
    <definedName name="errmsg.FourierCount" localSheetId="24">'RES_tr-TR'!$B$187</definedName>
    <definedName name="errmsg.FourierCount" localSheetId="25">'RES_zh-CN'!$B$187</definedName>
    <definedName name="errmsg.FourierCount" localSheetId="26">'RES_zh-TW'!$B$187</definedName>
    <definedName name="errmsg.FourierCountMax" localSheetId="3">'RES_cs-CZ'!$B$188</definedName>
    <definedName name="errmsg.FourierCountMax" localSheetId="4">'RES_da-DK'!$B$188</definedName>
    <definedName name="errmsg.FourierCountMax" localSheetId="5">'RES_de-DE'!$B$188</definedName>
    <definedName name="errmsg.FourierCountMax" localSheetId="6">'RES_el-GR'!$B$188</definedName>
    <definedName name="errmsg.FourierCountMax" localSheetId="2">'RES_en-US'!$B$188</definedName>
    <definedName name="errmsg.FourierCountMax" localSheetId="7">'RES_es-ES'!$B$188</definedName>
    <definedName name="errmsg.FourierCountMax" localSheetId="8">'RES_fi-FI'!$B$188</definedName>
    <definedName name="errmsg.FourierCountMax" localSheetId="1">'RES_fr-FR'!$B$188</definedName>
    <definedName name="errmsg.FourierCountMax" localSheetId="9">'RES_hr-HR'!$B$188</definedName>
    <definedName name="errmsg.FourierCountMax" localSheetId="10">'RES_hu-HU'!$B$188</definedName>
    <definedName name="errmsg.FourierCountMax" localSheetId="11">'RES_it-IT'!$B$188</definedName>
    <definedName name="errmsg.FourierCountMax" localSheetId="12">'RES_ja-JP'!$B$188</definedName>
    <definedName name="errmsg.FourierCountMax" localSheetId="13">'RES_ko-KR'!$B$188</definedName>
    <definedName name="errmsg.FourierCountMax" localSheetId="14">'RES_lv-LV'!$B$188</definedName>
    <definedName name="errmsg.FourierCountMax" localSheetId="15">'RES_nb-NO'!$B$188</definedName>
    <definedName name="errmsg.FourierCountMax" localSheetId="16">'RES_nl-NL'!$B$188</definedName>
    <definedName name="errmsg.FourierCountMax" localSheetId="17">'RES_pl-PL'!$B$188</definedName>
    <definedName name="errmsg.FourierCountMax" localSheetId="18">'RES_pt-BR'!$B$188</definedName>
    <definedName name="errmsg.FourierCountMax" localSheetId="19">'RES_pt-PT'!$B$188</definedName>
    <definedName name="errmsg.FourierCountMax" localSheetId="20">'RES_ro-RO'!$B$188</definedName>
    <definedName name="errmsg.FourierCountMax" localSheetId="21">'RES_ru-RU'!$B$188</definedName>
    <definedName name="errmsg.FourierCountMax" localSheetId="22">'RES_sl-SI'!$B$188</definedName>
    <definedName name="errmsg.FourierCountMax" localSheetId="23">'RES_sv-SE'!$B$188</definedName>
    <definedName name="errmsg.FourierCountMax" localSheetId="24">'RES_tr-TR'!$B$188</definedName>
    <definedName name="errmsg.FourierCountMax" localSheetId="25">'RES_zh-CN'!$B$188</definedName>
    <definedName name="errmsg.FourierCountMax" localSheetId="26">'RES_zh-TW'!$B$188</definedName>
    <definedName name="errmsg.GrpByRC" localSheetId="3">'RES_cs-CZ'!$B$189</definedName>
    <definedName name="errmsg.GrpByRC" localSheetId="4">'RES_da-DK'!$B$189</definedName>
    <definedName name="errmsg.GrpByRC" localSheetId="5">'RES_de-DE'!$B$189</definedName>
    <definedName name="errmsg.GrpByRC" localSheetId="6">'RES_el-GR'!$B$189</definedName>
    <definedName name="errmsg.GrpByRC" localSheetId="2">'RES_en-US'!$B$189</definedName>
    <definedName name="errmsg.GrpByRC" localSheetId="7">'RES_es-ES'!$B$189</definedName>
    <definedName name="errmsg.GrpByRC" localSheetId="8">'RES_fi-FI'!$B$189</definedName>
    <definedName name="errmsg.GrpByRC" localSheetId="1">'RES_fr-FR'!$B$189</definedName>
    <definedName name="errmsg.GrpByRC" localSheetId="9">'RES_hr-HR'!$B$189</definedName>
    <definedName name="errmsg.GrpByRC" localSheetId="10">'RES_hu-HU'!$B$189</definedName>
    <definedName name="errmsg.GrpByRC" localSheetId="11">'RES_it-IT'!$B$189</definedName>
    <definedName name="errmsg.GrpByRC" localSheetId="12">'RES_ja-JP'!$B$189</definedName>
    <definedName name="errmsg.GrpByRC" localSheetId="13">'RES_ko-KR'!$B$189</definedName>
    <definedName name="errmsg.GrpByRC" localSheetId="14">'RES_lv-LV'!$B$189</definedName>
    <definedName name="errmsg.GrpByRC" localSheetId="15">'RES_nb-NO'!$B$189</definedName>
    <definedName name="errmsg.GrpByRC" localSheetId="16">'RES_nl-NL'!$B$189</definedName>
    <definedName name="errmsg.GrpByRC" localSheetId="17">'RES_pl-PL'!$B$189</definedName>
    <definedName name="errmsg.GrpByRC" localSheetId="18">'RES_pt-BR'!$B$189</definedName>
    <definedName name="errmsg.GrpByRC" localSheetId="19">'RES_pt-PT'!$B$189</definedName>
    <definedName name="errmsg.GrpByRC" localSheetId="20">'RES_ro-RO'!$B$189</definedName>
    <definedName name="errmsg.GrpByRC" localSheetId="21">'RES_ru-RU'!$B$189</definedName>
    <definedName name="errmsg.GrpByRC" localSheetId="22">'RES_sl-SI'!$B$189</definedName>
    <definedName name="errmsg.GrpByRC" localSheetId="23">'RES_sv-SE'!$B$189</definedName>
    <definedName name="errmsg.GrpByRC" localSheetId="24">'RES_tr-TR'!$B$189</definedName>
    <definedName name="errmsg.GrpByRC" localSheetId="25">'RES_zh-CN'!$B$189</definedName>
    <definedName name="errmsg.GrpByRC" localSheetId="26">'RES_zh-TW'!$B$189</definedName>
    <definedName name="errmsg.InOutOverlap" localSheetId="3">'RES_cs-CZ'!$B$193</definedName>
    <definedName name="errmsg.InOutOverlap" localSheetId="4">'RES_da-DK'!$B$193</definedName>
    <definedName name="errmsg.InOutOverlap" localSheetId="5">'RES_de-DE'!$B$193</definedName>
    <definedName name="errmsg.InOutOverlap" localSheetId="6">'RES_el-GR'!$B$193</definedName>
    <definedName name="errmsg.InOutOverlap" localSheetId="2">'RES_en-US'!$B$193</definedName>
    <definedName name="errmsg.InOutOverlap" localSheetId="7">'RES_es-ES'!$B$193</definedName>
    <definedName name="errmsg.InOutOverlap" localSheetId="8">'RES_fi-FI'!$B$193</definedName>
    <definedName name="errmsg.InOutOverlap" localSheetId="1">'RES_fr-FR'!$B$193</definedName>
    <definedName name="errmsg.InOutOverlap" localSheetId="9">'RES_hr-HR'!$B$193</definedName>
    <definedName name="errmsg.InOutOverlap" localSheetId="10">'RES_hu-HU'!$B$193</definedName>
    <definedName name="errmsg.InOutOverlap" localSheetId="11">'RES_it-IT'!$B$193</definedName>
    <definedName name="errmsg.InOutOverlap" localSheetId="12">'RES_ja-JP'!$B$193</definedName>
    <definedName name="errmsg.InOutOverlap" localSheetId="13">'RES_ko-KR'!$B$193</definedName>
    <definedName name="errmsg.InOutOverlap" localSheetId="14">'RES_lv-LV'!$B$193</definedName>
    <definedName name="errmsg.InOutOverlap" localSheetId="15">'RES_nb-NO'!$B$193</definedName>
    <definedName name="errmsg.InOutOverlap" localSheetId="16">'RES_nl-NL'!$B$193</definedName>
    <definedName name="errmsg.InOutOverlap" localSheetId="17">'RES_pl-PL'!$B$193</definedName>
    <definedName name="errmsg.InOutOverlap" localSheetId="18">'RES_pt-BR'!$B$193</definedName>
    <definedName name="errmsg.InOutOverlap" localSheetId="19">'RES_pt-PT'!$B$193</definedName>
    <definedName name="errmsg.InOutOverlap" localSheetId="20">'RES_ro-RO'!$B$193</definedName>
    <definedName name="errmsg.InOutOverlap" localSheetId="21">'RES_ru-RU'!$B$193</definedName>
    <definedName name="errmsg.InOutOverlap" localSheetId="22">'RES_sl-SI'!$B$193</definedName>
    <definedName name="errmsg.InOutOverlap" localSheetId="23">'RES_sv-SE'!$B$193</definedName>
    <definedName name="errmsg.InOutOverlap" localSheetId="24">'RES_tr-TR'!$B$193</definedName>
    <definedName name="errmsg.InOutOverlap" localSheetId="25">'RES_zh-CN'!$B$193</definedName>
    <definedName name="errmsg.InOutOverlap" localSheetId="26">'RES_zh-TW'!$B$193</definedName>
    <definedName name="errmsg.InpRgAtLeast2Blks" localSheetId="3">'RES_cs-CZ'!$B$190</definedName>
    <definedName name="errmsg.InpRgAtLeast2Blks" localSheetId="4">'RES_da-DK'!$B$190</definedName>
    <definedName name="errmsg.InpRgAtLeast2Blks" localSheetId="5">'RES_de-DE'!$B$190</definedName>
    <definedName name="errmsg.InpRgAtLeast2Blks" localSheetId="6">'RES_el-GR'!$B$190</definedName>
    <definedName name="errmsg.InpRgAtLeast2Blks" localSheetId="2">'RES_en-US'!$B$190</definedName>
    <definedName name="errmsg.InpRgAtLeast2Blks" localSheetId="7">'RES_es-ES'!$B$190</definedName>
    <definedName name="errmsg.InpRgAtLeast2Blks" localSheetId="8">'RES_fi-FI'!$B$190</definedName>
    <definedName name="errmsg.InpRgAtLeast2Blks" localSheetId="1">'RES_fr-FR'!$B$190</definedName>
    <definedName name="errmsg.InpRgAtLeast2Blks" localSheetId="9">'RES_hr-HR'!$B$190</definedName>
    <definedName name="errmsg.InpRgAtLeast2Blks" localSheetId="10">'RES_hu-HU'!$B$190</definedName>
    <definedName name="errmsg.InpRgAtLeast2Blks" localSheetId="11">'RES_it-IT'!$B$190</definedName>
    <definedName name="errmsg.InpRgAtLeast2Blks" localSheetId="12">'RES_ja-JP'!$B$190</definedName>
    <definedName name="errmsg.InpRgAtLeast2Blks" localSheetId="13">'RES_ko-KR'!$B$190</definedName>
    <definedName name="errmsg.InpRgAtLeast2Blks" localSheetId="14">'RES_lv-LV'!$B$190</definedName>
    <definedName name="errmsg.InpRgAtLeast2Blks" localSheetId="15">'RES_nb-NO'!$B$190</definedName>
    <definedName name="errmsg.InpRgAtLeast2Blks" localSheetId="16">'RES_nl-NL'!$B$190</definedName>
    <definedName name="errmsg.InpRgAtLeast2Blks" localSheetId="17">'RES_pl-PL'!$B$190</definedName>
    <definedName name="errmsg.InpRgAtLeast2Blks" localSheetId="18">'RES_pt-BR'!$B$190</definedName>
    <definedName name="errmsg.InpRgAtLeast2Blks" localSheetId="19">'RES_pt-PT'!$B$190</definedName>
    <definedName name="errmsg.InpRgAtLeast2Blks" localSheetId="20">'RES_ro-RO'!$B$190</definedName>
    <definedName name="errmsg.InpRgAtLeast2Blks" localSheetId="21">'RES_ru-RU'!$B$190</definedName>
    <definedName name="errmsg.InpRgAtLeast2Blks" localSheetId="22">'RES_sl-SI'!$B$190</definedName>
    <definedName name="errmsg.InpRgAtLeast2Blks" localSheetId="23">'RES_sv-SE'!$B$190</definedName>
    <definedName name="errmsg.InpRgAtLeast2Blks" localSheetId="24">'RES_tr-TR'!$B$190</definedName>
    <definedName name="errmsg.InpRgAtLeast2Blks" localSheetId="25">'RES_zh-CN'!$B$190</definedName>
    <definedName name="errmsg.InpRgAtLeast2Blks" localSheetId="26">'RES_zh-TW'!$B$190</definedName>
    <definedName name="errmsg.InpRgHasNoData" localSheetId="3">'RES_cs-CZ'!$B$194</definedName>
    <definedName name="errmsg.InpRgHasNoData" localSheetId="4">'RES_da-DK'!$B$194</definedName>
    <definedName name="errmsg.InpRgHasNoData" localSheetId="5">'RES_de-DE'!$B$194</definedName>
    <definedName name="errmsg.InpRgHasNoData" localSheetId="6">'RES_el-GR'!$B$194</definedName>
    <definedName name="errmsg.InpRgHasNoData" localSheetId="2">'RES_en-US'!$B$194</definedName>
    <definedName name="errmsg.InpRgHasNoData" localSheetId="7">'RES_es-ES'!$B$194</definedName>
    <definedName name="errmsg.InpRgHasNoData" localSheetId="8">'RES_fi-FI'!$B$194</definedName>
    <definedName name="errmsg.InpRgHasNoData" localSheetId="1">'RES_fr-FR'!$B$194</definedName>
    <definedName name="errmsg.InpRgHasNoData" localSheetId="9">'RES_hr-HR'!$B$194</definedName>
    <definedName name="errmsg.InpRgHasNoData" localSheetId="10">'RES_hu-HU'!$B$194</definedName>
    <definedName name="errmsg.InpRgHasNoData" localSheetId="11">'RES_it-IT'!$B$194</definedName>
    <definedName name="errmsg.InpRgHasNoData" localSheetId="12">'RES_ja-JP'!$B$194</definedName>
    <definedName name="errmsg.InpRgHasNoData" localSheetId="13">'RES_ko-KR'!$B$194</definedName>
    <definedName name="errmsg.InpRgHasNoData" localSheetId="14">'RES_lv-LV'!$B$194</definedName>
    <definedName name="errmsg.InpRgHasNoData" localSheetId="15">'RES_nb-NO'!$B$194</definedName>
    <definedName name="errmsg.InpRgHasNoData" localSheetId="16">'RES_nl-NL'!$B$194</definedName>
    <definedName name="errmsg.InpRgHasNoData" localSheetId="17">'RES_pl-PL'!$B$194</definedName>
    <definedName name="errmsg.InpRgHasNoData" localSheetId="18">'RES_pt-BR'!$B$194</definedName>
    <definedName name="errmsg.InpRgHasNoData" localSheetId="19">'RES_pt-PT'!$B$194</definedName>
    <definedName name="errmsg.InpRgHasNoData" localSheetId="20">'RES_ro-RO'!$B$194</definedName>
    <definedName name="errmsg.InpRgHasNoData" localSheetId="21">'RES_ru-RU'!$B$194</definedName>
    <definedName name="errmsg.InpRgHasNoData" localSheetId="22">'RES_sl-SI'!$B$194</definedName>
    <definedName name="errmsg.InpRgHasNoData" localSheetId="23">'RES_sv-SE'!$B$194</definedName>
    <definedName name="errmsg.InpRgHasNoData" localSheetId="24">'RES_tr-TR'!$B$194</definedName>
    <definedName name="errmsg.InpRgHasNoData" localSheetId="25">'RES_zh-CN'!$B$194</definedName>
    <definedName name="errmsg.InpRgHasNoData" localSheetId="26">'RES_zh-TW'!$B$194</definedName>
    <definedName name="errmsg.InpRgMustBeRef" localSheetId="3">'RES_cs-CZ'!$B$191</definedName>
    <definedName name="errmsg.InpRgMustBeRef" localSheetId="4">'RES_da-DK'!$B$191</definedName>
    <definedName name="errmsg.InpRgMustBeRef" localSheetId="5">'RES_de-DE'!$B$191</definedName>
    <definedName name="errmsg.InpRgMustBeRef" localSheetId="6">'RES_el-GR'!$B$191</definedName>
    <definedName name="errmsg.InpRgMustBeRef" localSheetId="2">'RES_en-US'!$B$191</definedName>
    <definedName name="errmsg.InpRgMustBeRef" localSheetId="7">'RES_es-ES'!$B$191</definedName>
    <definedName name="errmsg.InpRgMustBeRef" localSheetId="8">'RES_fi-FI'!$B$191</definedName>
    <definedName name="errmsg.InpRgMustBeRef" localSheetId="1">'RES_fr-FR'!$B$191</definedName>
    <definedName name="errmsg.InpRgMustBeRef" localSheetId="9">'RES_hr-HR'!$B$191</definedName>
    <definedName name="errmsg.InpRgMustBeRef" localSheetId="10">'RES_hu-HU'!$B$191</definedName>
    <definedName name="errmsg.InpRgMustBeRef" localSheetId="11">'RES_it-IT'!$B$191</definedName>
    <definedName name="errmsg.InpRgMustBeRef" localSheetId="12">'RES_ja-JP'!$B$191</definedName>
    <definedName name="errmsg.InpRgMustBeRef" localSheetId="13">'RES_ko-KR'!$B$191</definedName>
    <definedName name="errmsg.InpRgMustBeRef" localSheetId="14">'RES_lv-LV'!$B$191</definedName>
    <definedName name="errmsg.InpRgMustBeRef" localSheetId="15">'RES_nb-NO'!$B$191</definedName>
    <definedName name="errmsg.InpRgMustBeRef" localSheetId="16">'RES_nl-NL'!$B$191</definedName>
    <definedName name="errmsg.InpRgMustBeRef" localSheetId="17">'RES_pl-PL'!$B$191</definedName>
    <definedName name="errmsg.InpRgMustBeRef" localSheetId="18">'RES_pt-BR'!$B$191</definedName>
    <definedName name="errmsg.InpRgMustBeRef" localSheetId="19">'RES_pt-PT'!$B$191</definedName>
    <definedName name="errmsg.InpRgMustBeRef" localSheetId="20">'RES_ro-RO'!$B$191</definedName>
    <definedName name="errmsg.InpRgMustBeRef" localSheetId="21">'RES_ru-RU'!$B$191</definedName>
    <definedName name="errmsg.InpRgMustBeRef" localSheetId="22">'RES_sl-SI'!$B$191</definedName>
    <definedName name="errmsg.InpRgMustBeRef" localSheetId="23">'RES_sv-SE'!$B$191</definedName>
    <definedName name="errmsg.InpRgMustBeRef" localSheetId="24">'RES_tr-TR'!$B$191</definedName>
    <definedName name="errmsg.InpRgMustBeRef" localSheetId="25">'RES_zh-CN'!$B$191</definedName>
    <definedName name="errmsg.InpRgMustBeRef" localSheetId="26">'RES_zh-TW'!$B$191</definedName>
    <definedName name="errmsg.InpRgRequired" localSheetId="3">'RES_cs-CZ'!$B$192</definedName>
    <definedName name="errmsg.InpRgRequired" localSheetId="4">'RES_da-DK'!$B$192</definedName>
    <definedName name="errmsg.InpRgRequired" localSheetId="5">'RES_de-DE'!$B$192</definedName>
    <definedName name="errmsg.InpRgRequired" localSheetId="6">'RES_el-GR'!$B$192</definedName>
    <definedName name="errmsg.InpRgRequired" localSheetId="2">'RES_en-US'!$B$192</definedName>
    <definedName name="errmsg.InpRgRequired" localSheetId="7">'RES_es-ES'!$B$192</definedName>
    <definedName name="errmsg.InpRgRequired" localSheetId="8">'RES_fi-FI'!$B$192</definedName>
    <definedName name="errmsg.InpRgRequired" localSheetId="1">'RES_fr-FR'!$B$192</definedName>
    <definedName name="errmsg.InpRgRequired" localSheetId="9">'RES_hr-HR'!$B$192</definedName>
    <definedName name="errmsg.InpRgRequired" localSheetId="10">'RES_hu-HU'!$B$192</definedName>
    <definedName name="errmsg.InpRgRequired" localSheetId="11">'RES_it-IT'!$B$192</definedName>
    <definedName name="errmsg.InpRgRequired" localSheetId="12">'RES_ja-JP'!$B$192</definedName>
    <definedName name="errmsg.InpRgRequired" localSheetId="13">'RES_ko-KR'!$B$192</definedName>
    <definedName name="errmsg.InpRgRequired" localSheetId="14">'RES_lv-LV'!$B$192</definedName>
    <definedName name="errmsg.InpRgRequired" localSheetId="15">'RES_nb-NO'!$B$192</definedName>
    <definedName name="errmsg.InpRgRequired" localSheetId="16">'RES_nl-NL'!$B$192</definedName>
    <definedName name="errmsg.InpRgRequired" localSheetId="17">'RES_pl-PL'!$B$192</definedName>
    <definedName name="errmsg.InpRgRequired" localSheetId="18">'RES_pt-BR'!$B$192</definedName>
    <definedName name="errmsg.InpRgRequired" localSheetId="19">'RES_pt-PT'!$B$192</definedName>
    <definedName name="errmsg.InpRgRequired" localSheetId="20">'RES_ro-RO'!$B$192</definedName>
    <definedName name="errmsg.InpRgRequired" localSheetId="21">'RES_ru-RU'!$B$192</definedName>
    <definedName name="errmsg.InpRgRequired" localSheetId="22">'RES_sl-SI'!$B$192</definedName>
    <definedName name="errmsg.InpRgRequired" localSheetId="23">'RES_sv-SE'!$B$192</definedName>
    <definedName name="errmsg.InpRgRequired" localSheetId="24">'RES_tr-TR'!$B$192</definedName>
    <definedName name="errmsg.InpRgRequired" localSheetId="25">'RES_zh-CN'!$B$192</definedName>
    <definedName name="errmsg.InpRgRequired" localSheetId="26">'RES_zh-TW'!$B$192</definedName>
    <definedName name="errmsg.IntervalNumeric" localSheetId="3">'RES_cs-CZ'!$B$195</definedName>
    <definedName name="errmsg.IntervalNumeric" localSheetId="4">'RES_da-DK'!$B$195</definedName>
    <definedName name="errmsg.IntervalNumeric" localSheetId="5">'RES_de-DE'!$B$195</definedName>
    <definedName name="errmsg.IntervalNumeric" localSheetId="6">'RES_el-GR'!$B$195</definedName>
    <definedName name="errmsg.IntervalNumeric" localSheetId="2">'RES_en-US'!$B$195</definedName>
    <definedName name="errmsg.IntervalNumeric" localSheetId="7">'RES_es-ES'!$B$195</definedName>
    <definedName name="errmsg.IntervalNumeric" localSheetId="8">'RES_fi-FI'!$B$195</definedName>
    <definedName name="errmsg.IntervalNumeric" localSheetId="1">'RES_fr-FR'!$B$195</definedName>
    <definedName name="errmsg.IntervalNumeric" localSheetId="9">'RES_hr-HR'!$B$195</definedName>
    <definedName name="errmsg.IntervalNumeric" localSheetId="10">'RES_hu-HU'!$B$195</definedName>
    <definedName name="errmsg.IntervalNumeric" localSheetId="11">'RES_it-IT'!$B$195</definedName>
    <definedName name="errmsg.IntervalNumeric" localSheetId="12">'RES_ja-JP'!$B$195</definedName>
    <definedName name="errmsg.IntervalNumeric" localSheetId="13">'RES_ko-KR'!$B$195</definedName>
    <definedName name="errmsg.IntervalNumeric" localSheetId="14">'RES_lv-LV'!$B$195</definedName>
    <definedName name="errmsg.IntervalNumeric" localSheetId="15">'RES_nb-NO'!$B$195</definedName>
    <definedName name="errmsg.IntervalNumeric" localSheetId="16">'RES_nl-NL'!$B$195</definedName>
    <definedName name="errmsg.IntervalNumeric" localSheetId="17">'RES_pl-PL'!$B$195</definedName>
    <definedName name="errmsg.IntervalNumeric" localSheetId="18">'RES_pt-BR'!$B$195</definedName>
    <definedName name="errmsg.IntervalNumeric" localSheetId="19">'RES_pt-PT'!$B$195</definedName>
    <definedName name="errmsg.IntervalNumeric" localSheetId="20">'RES_ro-RO'!$B$195</definedName>
    <definedName name="errmsg.IntervalNumeric" localSheetId="21">'RES_ru-RU'!$B$195</definedName>
    <definedName name="errmsg.IntervalNumeric" localSheetId="22">'RES_sl-SI'!$B$195</definedName>
    <definedName name="errmsg.IntervalNumeric" localSheetId="23">'RES_sv-SE'!$B$195</definedName>
    <definedName name="errmsg.IntervalNumeric" localSheetId="24">'RES_tr-TR'!$B$195</definedName>
    <definedName name="errmsg.IntervalNumeric" localSheetId="25">'RES_zh-CN'!$B$195</definedName>
    <definedName name="errmsg.IntervalNumeric" localSheetId="26">'RES_zh-TW'!$B$195</definedName>
    <definedName name="errmsg.IntervalPos" localSheetId="3">'RES_cs-CZ'!$B$196</definedName>
    <definedName name="errmsg.IntervalPos" localSheetId="4">'RES_da-DK'!$B$196</definedName>
    <definedName name="errmsg.IntervalPos" localSheetId="5">'RES_de-DE'!$B$196</definedName>
    <definedName name="errmsg.IntervalPos" localSheetId="6">'RES_el-GR'!$B$196</definedName>
    <definedName name="errmsg.IntervalPos" localSheetId="2">'RES_en-US'!$B$196</definedName>
    <definedName name="errmsg.IntervalPos" localSheetId="7">'RES_es-ES'!$B$196</definedName>
    <definedName name="errmsg.IntervalPos" localSheetId="8">'RES_fi-FI'!$B$196</definedName>
    <definedName name="errmsg.IntervalPos" localSheetId="1">'RES_fr-FR'!$B$196</definedName>
    <definedName name="errmsg.IntervalPos" localSheetId="9">'RES_hr-HR'!$B$196</definedName>
    <definedName name="errmsg.IntervalPos" localSheetId="10">'RES_hu-HU'!$B$196</definedName>
    <definedName name="errmsg.IntervalPos" localSheetId="11">'RES_it-IT'!$B$196</definedName>
    <definedName name="errmsg.IntervalPos" localSheetId="12">'RES_ja-JP'!$B$196</definedName>
    <definedName name="errmsg.IntervalPos" localSheetId="13">'RES_ko-KR'!$B$196</definedName>
    <definedName name="errmsg.IntervalPos" localSheetId="14">'RES_lv-LV'!$B$196</definedName>
    <definedName name="errmsg.IntervalPos" localSheetId="15">'RES_nb-NO'!$B$196</definedName>
    <definedName name="errmsg.IntervalPos" localSheetId="16">'RES_nl-NL'!$B$196</definedName>
    <definedName name="errmsg.IntervalPos" localSheetId="17">'RES_pl-PL'!$B$196</definedName>
    <definedName name="errmsg.IntervalPos" localSheetId="18">'RES_pt-BR'!$B$196</definedName>
    <definedName name="errmsg.IntervalPos" localSheetId="19">'RES_pt-PT'!$B$196</definedName>
    <definedName name="errmsg.IntervalPos" localSheetId="20">'RES_ro-RO'!$B$196</definedName>
    <definedName name="errmsg.IntervalPos" localSheetId="21">'RES_ru-RU'!$B$196</definedName>
    <definedName name="errmsg.IntervalPos" localSheetId="22">'RES_sl-SI'!$B$196</definedName>
    <definedName name="errmsg.IntervalPos" localSheetId="23">'RES_sv-SE'!$B$196</definedName>
    <definedName name="errmsg.IntervalPos" localSheetId="24">'RES_tr-TR'!$B$196</definedName>
    <definedName name="errmsg.IntervalPos" localSheetId="25">'RES_zh-CN'!$B$196</definedName>
    <definedName name="errmsg.IntervalPos" localSheetId="26">'RES_zh-TW'!$B$196</definedName>
    <definedName name="errmsg.IntervalVsData" localSheetId="3">'RES_cs-CZ'!$B$197</definedName>
    <definedName name="errmsg.IntervalVsData" localSheetId="4">'RES_da-DK'!$B$197</definedName>
    <definedName name="errmsg.IntervalVsData" localSheetId="5">'RES_de-DE'!$B$197</definedName>
    <definedName name="errmsg.IntervalVsData" localSheetId="6">'RES_el-GR'!$B$197</definedName>
    <definedName name="errmsg.IntervalVsData" localSheetId="2">'RES_en-US'!$B$197</definedName>
    <definedName name="errmsg.IntervalVsData" localSheetId="7">'RES_es-ES'!$B$197</definedName>
    <definedName name="errmsg.IntervalVsData" localSheetId="8">'RES_fi-FI'!$B$197</definedName>
    <definedName name="errmsg.IntervalVsData" localSheetId="1">'RES_fr-FR'!$B$197</definedName>
    <definedName name="errmsg.IntervalVsData" localSheetId="9">'RES_hr-HR'!$B$197</definedName>
    <definedName name="errmsg.IntervalVsData" localSheetId="10">'RES_hu-HU'!$B$197</definedName>
    <definedName name="errmsg.IntervalVsData" localSheetId="11">'RES_it-IT'!$B$197</definedName>
    <definedName name="errmsg.IntervalVsData" localSheetId="12">'RES_ja-JP'!$B$197</definedName>
    <definedName name="errmsg.IntervalVsData" localSheetId="13">'RES_ko-KR'!$B$197</definedName>
    <definedName name="errmsg.IntervalVsData" localSheetId="14">'RES_lv-LV'!$B$197</definedName>
    <definedName name="errmsg.IntervalVsData" localSheetId="15">'RES_nb-NO'!$B$197</definedName>
    <definedName name="errmsg.IntervalVsData" localSheetId="16">'RES_nl-NL'!$B$197</definedName>
    <definedName name="errmsg.IntervalVsData" localSheetId="17">'RES_pl-PL'!$B$197</definedName>
    <definedName name="errmsg.IntervalVsData" localSheetId="18">'RES_pt-BR'!$B$197</definedName>
    <definedName name="errmsg.IntervalVsData" localSheetId="19">'RES_pt-PT'!$B$197</definedName>
    <definedName name="errmsg.IntervalVsData" localSheetId="20">'RES_ro-RO'!$B$197</definedName>
    <definedName name="errmsg.IntervalVsData" localSheetId="21">'RES_ru-RU'!$B$197</definedName>
    <definedName name="errmsg.IntervalVsData" localSheetId="22">'RES_sl-SI'!$B$197</definedName>
    <definedName name="errmsg.IntervalVsData" localSheetId="23">'RES_sv-SE'!$B$197</definedName>
    <definedName name="errmsg.IntervalVsData" localSheetId="24">'RES_tr-TR'!$B$197</definedName>
    <definedName name="errmsg.IntervalVsData" localSheetId="25">'RES_zh-CN'!$B$197</definedName>
    <definedName name="errmsg.IntervalVsData" localSheetId="26">'RES_zh-TW'!$B$197</definedName>
    <definedName name="errmsg.InvalidComplexInp" localSheetId="3">'RES_cs-CZ'!$B$198</definedName>
    <definedName name="errmsg.InvalidComplexInp" localSheetId="4">'RES_da-DK'!$B$198</definedName>
    <definedName name="errmsg.InvalidComplexInp" localSheetId="5">'RES_de-DE'!$B$198</definedName>
    <definedName name="errmsg.InvalidComplexInp" localSheetId="6">'RES_el-GR'!$B$198</definedName>
    <definedName name="errmsg.InvalidComplexInp" localSheetId="2">'RES_en-US'!$B$198</definedName>
    <definedName name="errmsg.InvalidComplexInp" localSheetId="7">'RES_es-ES'!$B$198</definedName>
    <definedName name="errmsg.InvalidComplexInp" localSheetId="8">'RES_fi-FI'!$B$198</definedName>
    <definedName name="errmsg.InvalidComplexInp" localSheetId="1">'RES_fr-FR'!$B$198</definedName>
    <definedName name="errmsg.InvalidComplexInp" localSheetId="9">'RES_hr-HR'!$B$198</definedName>
    <definedName name="errmsg.InvalidComplexInp" localSheetId="10">'RES_hu-HU'!$B$198</definedName>
    <definedName name="errmsg.InvalidComplexInp" localSheetId="11">'RES_it-IT'!$B$198</definedName>
    <definedName name="errmsg.InvalidComplexInp" localSheetId="12">'RES_ja-JP'!$B$198</definedName>
    <definedName name="errmsg.InvalidComplexInp" localSheetId="13">'RES_ko-KR'!$B$198</definedName>
    <definedName name="errmsg.InvalidComplexInp" localSheetId="14">'RES_lv-LV'!$B$198</definedName>
    <definedName name="errmsg.InvalidComplexInp" localSheetId="15">'RES_nb-NO'!$B$198</definedName>
    <definedName name="errmsg.InvalidComplexInp" localSheetId="16">'RES_nl-NL'!$B$198</definedName>
    <definedName name="errmsg.InvalidComplexInp" localSheetId="17">'RES_pl-PL'!$B$198</definedName>
    <definedName name="errmsg.InvalidComplexInp" localSheetId="18">'RES_pt-BR'!$B$198</definedName>
    <definedName name="errmsg.InvalidComplexInp" localSheetId="19">'RES_pt-PT'!$B$198</definedName>
    <definedName name="errmsg.InvalidComplexInp" localSheetId="20">'RES_ro-RO'!$B$198</definedName>
    <definedName name="errmsg.InvalidComplexInp" localSheetId="21">'RES_ru-RU'!$B$198</definedName>
    <definedName name="errmsg.InvalidComplexInp" localSheetId="22">'RES_sl-SI'!$B$198</definedName>
    <definedName name="errmsg.InvalidComplexInp" localSheetId="23">'RES_sv-SE'!$B$198</definedName>
    <definedName name="errmsg.InvalidComplexInp" localSheetId="24">'RES_tr-TR'!$B$198</definedName>
    <definedName name="errmsg.InvalidComplexInp" localSheetId="25">'RES_zh-CN'!$B$198</definedName>
    <definedName name="errmsg.InvalidComplexInp" localSheetId="26">'RES_zh-TW'!$B$198</definedName>
    <definedName name="errmsg.InvalidComplexSign" localSheetId="3">'RES_cs-CZ'!$B$199</definedName>
    <definedName name="errmsg.InvalidComplexSign" localSheetId="4">'RES_da-DK'!$B$199</definedName>
    <definedName name="errmsg.InvalidComplexSign" localSheetId="5">'RES_de-DE'!$B$199</definedName>
    <definedName name="errmsg.InvalidComplexSign" localSheetId="6">'RES_el-GR'!$B$199</definedName>
    <definedName name="errmsg.InvalidComplexSign" localSheetId="2">'RES_en-US'!$B$199</definedName>
    <definedName name="errmsg.InvalidComplexSign" localSheetId="7">'RES_es-ES'!$B$199</definedName>
    <definedName name="errmsg.InvalidComplexSign" localSheetId="8">'RES_fi-FI'!$B$199</definedName>
    <definedName name="errmsg.InvalidComplexSign" localSheetId="1">'RES_fr-FR'!$B$199</definedName>
    <definedName name="errmsg.InvalidComplexSign" localSheetId="9">'RES_hr-HR'!$B$199</definedName>
    <definedName name="errmsg.InvalidComplexSign" localSheetId="10">'RES_hu-HU'!$B$199</definedName>
    <definedName name="errmsg.InvalidComplexSign" localSheetId="11">'RES_it-IT'!$B$199</definedName>
    <definedName name="errmsg.InvalidComplexSign" localSheetId="12">'RES_ja-JP'!$B$199</definedName>
    <definedName name="errmsg.InvalidComplexSign" localSheetId="13">'RES_ko-KR'!$B$199</definedName>
    <definedName name="errmsg.InvalidComplexSign" localSheetId="14">'RES_lv-LV'!$B$199</definedName>
    <definedName name="errmsg.InvalidComplexSign" localSheetId="15">'RES_nb-NO'!$B$199</definedName>
    <definedName name="errmsg.InvalidComplexSign" localSheetId="16">'RES_nl-NL'!$B$199</definedName>
    <definedName name="errmsg.InvalidComplexSign" localSheetId="17">'RES_pl-PL'!$B$199</definedName>
    <definedName name="errmsg.InvalidComplexSign" localSheetId="18">'RES_pt-BR'!$B$199</definedName>
    <definedName name="errmsg.InvalidComplexSign" localSheetId="19">'RES_pt-PT'!$B$199</definedName>
    <definedName name="errmsg.InvalidComplexSign" localSheetId="20">'RES_ro-RO'!$B$199</definedName>
    <definedName name="errmsg.InvalidComplexSign" localSheetId="21">'RES_ru-RU'!$B$199</definedName>
    <definedName name="errmsg.InvalidComplexSign" localSheetId="22">'RES_sl-SI'!$B$199</definedName>
    <definedName name="errmsg.InvalidComplexSign" localSheetId="23">'RES_sv-SE'!$B$199</definedName>
    <definedName name="errmsg.InvalidComplexSign" localSheetId="24">'RES_tr-TR'!$B$199</definedName>
    <definedName name="errmsg.InvalidComplexSign" localSheetId="25">'RES_zh-CN'!$B$199</definedName>
    <definedName name="errmsg.InvalidComplexSign" localSheetId="26">'RES_zh-TW'!$B$199</definedName>
    <definedName name="errmsg.KLargePos" localSheetId="3">'RES_cs-CZ'!$B$200</definedName>
    <definedName name="errmsg.KLargePos" localSheetId="4">'RES_da-DK'!$B$200</definedName>
    <definedName name="errmsg.KLargePos" localSheetId="5">'RES_de-DE'!$B$200</definedName>
    <definedName name="errmsg.KLargePos" localSheetId="6">'RES_el-GR'!$B$200</definedName>
    <definedName name="errmsg.KLargePos" localSheetId="2">'RES_en-US'!$B$200</definedName>
    <definedName name="errmsg.KLargePos" localSheetId="7">'RES_es-ES'!$B$200</definedName>
    <definedName name="errmsg.KLargePos" localSheetId="8">'RES_fi-FI'!$B$200</definedName>
    <definedName name="errmsg.KLargePos" localSheetId="1">'RES_fr-FR'!$B$200</definedName>
    <definedName name="errmsg.KLargePos" localSheetId="9">'RES_hr-HR'!$B$200</definedName>
    <definedName name="errmsg.KLargePos" localSheetId="10">'RES_hu-HU'!$B$200</definedName>
    <definedName name="errmsg.KLargePos" localSheetId="11">'RES_it-IT'!$B$200</definedName>
    <definedName name="errmsg.KLargePos" localSheetId="12">'RES_ja-JP'!$B$200</definedName>
    <definedName name="errmsg.KLargePos" localSheetId="13">'RES_ko-KR'!$B$200</definedName>
    <definedName name="errmsg.KLargePos" localSheetId="14">'RES_lv-LV'!$B$200</definedName>
    <definedName name="errmsg.KLargePos" localSheetId="15">'RES_nb-NO'!$B$200</definedName>
    <definedName name="errmsg.KLargePos" localSheetId="16">'RES_nl-NL'!$B$200</definedName>
    <definedName name="errmsg.KLargePos" localSheetId="17">'RES_pl-PL'!$B$200</definedName>
    <definedName name="errmsg.KLargePos" localSheetId="18">'RES_pt-BR'!$B$200</definedName>
    <definedName name="errmsg.KLargePos" localSheetId="19">'RES_pt-PT'!$B$200</definedName>
    <definedName name="errmsg.KLargePos" localSheetId="20">'RES_ro-RO'!$B$200</definedName>
    <definedName name="errmsg.KLargePos" localSheetId="21">'RES_ru-RU'!$B$200</definedName>
    <definedName name="errmsg.KLargePos" localSheetId="22">'RES_sl-SI'!$B$200</definedName>
    <definedName name="errmsg.KLargePos" localSheetId="23">'RES_sv-SE'!$B$200</definedName>
    <definedName name="errmsg.KLargePos" localSheetId="24">'RES_tr-TR'!$B$200</definedName>
    <definedName name="errmsg.KLargePos" localSheetId="25">'RES_zh-CN'!$B$200</definedName>
    <definedName name="errmsg.KLargePos" localSheetId="26">'RES_zh-TW'!$B$200</definedName>
    <definedName name="errmsg.KSmallPos" localSheetId="3">'RES_cs-CZ'!$B$201</definedName>
    <definedName name="errmsg.KSmallPos" localSheetId="4">'RES_da-DK'!$B$201</definedName>
    <definedName name="errmsg.KSmallPos" localSheetId="5">'RES_de-DE'!$B$201</definedName>
    <definedName name="errmsg.KSmallPos" localSheetId="6">'RES_el-GR'!$B$201</definedName>
    <definedName name="errmsg.KSmallPos" localSheetId="2">'RES_en-US'!$B$201</definedName>
    <definedName name="errmsg.KSmallPos" localSheetId="7">'RES_es-ES'!$B$201</definedName>
    <definedName name="errmsg.KSmallPos" localSheetId="8">'RES_fi-FI'!$B$201</definedName>
    <definedName name="errmsg.KSmallPos" localSheetId="1">'RES_fr-FR'!$B$201</definedName>
    <definedName name="errmsg.KSmallPos" localSheetId="9">'RES_hr-HR'!$B$201</definedName>
    <definedName name="errmsg.KSmallPos" localSheetId="10">'RES_hu-HU'!$B$201</definedName>
    <definedName name="errmsg.KSmallPos" localSheetId="11">'RES_it-IT'!$B$201</definedName>
    <definedName name="errmsg.KSmallPos" localSheetId="12">'RES_ja-JP'!$B$201</definedName>
    <definedName name="errmsg.KSmallPos" localSheetId="13">'RES_ko-KR'!$B$201</definedName>
    <definedName name="errmsg.KSmallPos" localSheetId="14">'RES_lv-LV'!$B$201</definedName>
    <definedName name="errmsg.KSmallPos" localSheetId="15">'RES_nb-NO'!$B$201</definedName>
    <definedName name="errmsg.KSmallPos" localSheetId="16">'RES_nl-NL'!$B$201</definedName>
    <definedName name="errmsg.KSmallPos" localSheetId="17">'RES_pl-PL'!$B$201</definedName>
    <definedName name="errmsg.KSmallPos" localSheetId="18">'RES_pt-BR'!$B$201</definedName>
    <definedName name="errmsg.KSmallPos" localSheetId="19">'RES_pt-PT'!$B$201</definedName>
    <definedName name="errmsg.KSmallPos" localSheetId="20">'RES_ro-RO'!$B$201</definedName>
    <definedName name="errmsg.KSmallPos" localSheetId="21">'RES_ru-RU'!$B$201</definedName>
    <definedName name="errmsg.KSmallPos" localSheetId="22">'RES_sl-SI'!$B$201</definedName>
    <definedName name="errmsg.KSmallPos" localSheetId="23">'RES_sv-SE'!$B$201</definedName>
    <definedName name="errmsg.KSmallPos" localSheetId="24">'RES_tr-TR'!$B$201</definedName>
    <definedName name="errmsg.KSmallPos" localSheetId="25">'RES_zh-CN'!$B$201</definedName>
    <definedName name="errmsg.KSmallPos" localSheetId="26">'RES_zh-TW'!$B$201</definedName>
    <definedName name="errmsg.LinestErr" localSheetId="3">'RES_cs-CZ'!$B$202</definedName>
    <definedName name="errmsg.LinestErr" localSheetId="4">'RES_da-DK'!$B$202</definedName>
    <definedName name="errmsg.LinestErr" localSheetId="5">'RES_de-DE'!$B$202</definedName>
    <definedName name="errmsg.LinestErr" localSheetId="6">'RES_el-GR'!$B$202</definedName>
    <definedName name="errmsg.LinestErr" localSheetId="2">'RES_en-US'!$B$202</definedName>
    <definedName name="errmsg.LinestErr" localSheetId="7">'RES_es-ES'!$B$202</definedName>
    <definedName name="errmsg.LinestErr" localSheetId="8">'RES_fi-FI'!$B$202</definedName>
    <definedName name="errmsg.LinestErr" localSheetId="1">'RES_fr-FR'!$B$202</definedName>
    <definedName name="errmsg.LinestErr" localSheetId="9">'RES_hr-HR'!$B$202</definedName>
    <definedName name="errmsg.LinestErr" localSheetId="10">'RES_hu-HU'!$B$202</definedName>
    <definedName name="errmsg.LinestErr" localSheetId="11">'RES_it-IT'!$B$202</definedName>
    <definedName name="errmsg.LinestErr" localSheetId="12">'RES_ja-JP'!$B$202</definedName>
    <definedName name="errmsg.LinestErr" localSheetId="13">'RES_ko-KR'!$B$202</definedName>
    <definedName name="errmsg.LinestErr" localSheetId="14">'RES_lv-LV'!$B$202</definedName>
    <definedName name="errmsg.LinestErr" localSheetId="15">'RES_nb-NO'!$B$202</definedName>
    <definedName name="errmsg.LinestErr" localSheetId="16">'RES_nl-NL'!$B$202</definedName>
    <definedName name="errmsg.LinestErr" localSheetId="17">'RES_pl-PL'!$B$202</definedName>
    <definedName name="errmsg.LinestErr" localSheetId="18">'RES_pt-BR'!$B$202</definedName>
    <definedName name="errmsg.LinestErr" localSheetId="19">'RES_pt-PT'!$B$202</definedName>
    <definedName name="errmsg.LinestErr" localSheetId="20">'RES_ro-RO'!$B$202</definedName>
    <definedName name="errmsg.LinestErr" localSheetId="21">'RES_ru-RU'!$B$202</definedName>
    <definedName name="errmsg.LinestErr" localSheetId="22">'RES_sl-SI'!$B$202</definedName>
    <definedName name="errmsg.LinestErr" localSheetId="23">'RES_sv-SE'!$B$202</definedName>
    <definedName name="errmsg.LinestErr" localSheetId="24">'RES_tr-TR'!$B$202</definedName>
    <definedName name="errmsg.LinestErr" localSheetId="25">'RES_zh-CN'!$B$202</definedName>
    <definedName name="errmsg.LinestErr" localSheetId="26">'RES_zh-TW'!$B$202</definedName>
    <definedName name="errmsg.MeanDiffNumeric" localSheetId="3">'RES_cs-CZ'!$B$203</definedName>
    <definedName name="errmsg.MeanDiffNumeric" localSheetId="4">'RES_da-DK'!$B$203</definedName>
    <definedName name="errmsg.MeanDiffNumeric" localSheetId="5">'RES_de-DE'!$B$203</definedName>
    <definedName name="errmsg.MeanDiffNumeric" localSheetId="6">'RES_el-GR'!$B$203</definedName>
    <definedName name="errmsg.MeanDiffNumeric" localSheetId="2">'RES_en-US'!$B$203</definedName>
    <definedName name="errmsg.MeanDiffNumeric" localSheetId="7">'RES_es-ES'!$B$203</definedName>
    <definedName name="errmsg.MeanDiffNumeric" localSheetId="8">'RES_fi-FI'!$B$203</definedName>
    <definedName name="errmsg.MeanDiffNumeric" localSheetId="1">'RES_fr-FR'!$B$203</definedName>
    <definedName name="errmsg.MeanDiffNumeric" localSheetId="9">'RES_hr-HR'!$B$203</definedName>
    <definedName name="errmsg.MeanDiffNumeric" localSheetId="10">'RES_hu-HU'!$B$203</definedName>
    <definedName name="errmsg.MeanDiffNumeric" localSheetId="11">'RES_it-IT'!$B$203</definedName>
    <definedName name="errmsg.MeanDiffNumeric" localSheetId="12">'RES_ja-JP'!$B$203</definedName>
    <definedName name="errmsg.MeanDiffNumeric" localSheetId="13">'RES_ko-KR'!$B$203</definedName>
    <definedName name="errmsg.MeanDiffNumeric" localSheetId="14">'RES_lv-LV'!$B$203</definedName>
    <definedName name="errmsg.MeanDiffNumeric" localSheetId="15">'RES_nb-NO'!$B$203</definedName>
    <definedName name="errmsg.MeanDiffNumeric" localSheetId="16">'RES_nl-NL'!$B$203</definedName>
    <definedName name="errmsg.MeanDiffNumeric" localSheetId="17">'RES_pl-PL'!$B$203</definedName>
    <definedName name="errmsg.MeanDiffNumeric" localSheetId="18">'RES_pt-BR'!$B$203</definedName>
    <definedName name="errmsg.MeanDiffNumeric" localSheetId="19">'RES_pt-PT'!$B$203</definedName>
    <definedName name="errmsg.MeanDiffNumeric" localSheetId="20">'RES_ro-RO'!$B$203</definedName>
    <definedName name="errmsg.MeanDiffNumeric" localSheetId="21">'RES_ru-RU'!$B$203</definedName>
    <definedName name="errmsg.MeanDiffNumeric" localSheetId="22">'RES_sl-SI'!$B$203</definedName>
    <definedName name="errmsg.MeanDiffNumeric" localSheetId="23">'RES_sv-SE'!$B$203</definedName>
    <definedName name="errmsg.MeanDiffNumeric" localSheetId="24">'RES_tr-TR'!$B$203</definedName>
    <definedName name="errmsg.MeanDiffNumeric" localSheetId="25">'RES_zh-CN'!$B$203</definedName>
    <definedName name="errmsg.MeanDiffNumeric" localSheetId="26">'RES_zh-TW'!$B$203</definedName>
    <definedName name="errmsg.MissingArg" localSheetId="3">'RES_cs-CZ'!$B$204</definedName>
    <definedName name="errmsg.MissingArg" localSheetId="4">'RES_da-DK'!$B$204</definedName>
    <definedName name="errmsg.MissingArg" localSheetId="5">'RES_de-DE'!$B$204</definedName>
    <definedName name="errmsg.MissingArg" localSheetId="6">'RES_el-GR'!$B$204</definedName>
    <definedName name="errmsg.MissingArg" localSheetId="2">'RES_en-US'!$B$204</definedName>
    <definedName name="errmsg.MissingArg" localSheetId="7">'RES_es-ES'!$B$204</definedName>
    <definedName name="errmsg.MissingArg" localSheetId="8">'RES_fi-FI'!$B$204</definedName>
    <definedName name="errmsg.MissingArg" localSheetId="1">'RES_fr-FR'!$B$204</definedName>
    <definedName name="errmsg.MissingArg" localSheetId="9">'RES_hr-HR'!$B$204</definedName>
    <definedName name="errmsg.MissingArg" localSheetId="10">'RES_hu-HU'!$B$204</definedName>
    <definedName name="errmsg.MissingArg" localSheetId="11">'RES_it-IT'!$B$204</definedName>
    <definedName name="errmsg.MissingArg" localSheetId="12">'RES_ja-JP'!$B$204</definedName>
    <definedName name="errmsg.MissingArg" localSheetId="13">'RES_ko-KR'!$B$204</definedName>
    <definedName name="errmsg.MissingArg" localSheetId="14">'RES_lv-LV'!$B$204</definedName>
    <definedName name="errmsg.MissingArg" localSheetId="15">'RES_nb-NO'!$B$204</definedName>
    <definedName name="errmsg.MissingArg" localSheetId="16">'RES_nl-NL'!$B$204</definedName>
    <definedName name="errmsg.MissingArg" localSheetId="17">'RES_pl-PL'!$B$204</definedName>
    <definedName name="errmsg.MissingArg" localSheetId="18">'RES_pt-BR'!$B$204</definedName>
    <definedName name="errmsg.MissingArg" localSheetId="19">'RES_pt-PT'!$B$204</definedName>
    <definedName name="errmsg.MissingArg" localSheetId="20">'RES_ro-RO'!$B$204</definedName>
    <definedName name="errmsg.MissingArg" localSheetId="21">'RES_ru-RU'!$B$204</definedName>
    <definedName name="errmsg.MissingArg" localSheetId="22">'RES_sl-SI'!$B$204</definedName>
    <definedName name="errmsg.MissingArg" localSheetId="23">'RES_sv-SE'!$B$204</definedName>
    <definedName name="errmsg.MissingArg" localSheetId="24">'RES_tr-TR'!$B$204</definedName>
    <definedName name="errmsg.MissingArg" localSheetId="25">'RES_zh-CN'!$B$204</definedName>
    <definedName name="errmsg.MissingArg" localSheetId="26">'RES_zh-TW'!$B$204</definedName>
    <definedName name="errmsg.MustBeSameSheet" localSheetId="3">'RES_cs-CZ'!$B$205</definedName>
    <definedName name="errmsg.MustBeSameSheet" localSheetId="4">'RES_da-DK'!$B$205</definedName>
    <definedName name="errmsg.MustBeSameSheet" localSheetId="5">'RES_de-DE'!$B$205</definedName>
    <definedName name="errmsg.MustBeSameSheet" localSheetId="6">'RES_el-GR'!$B$205</definedName>
    <definedName name="errmsg.MustBeSameSheet" localSheetId="2">'RES_en-US'!$B$205</definedName>
    <definedName name="errmsg.MustBeSameSheet" localSheetId="7">'RES_es-ES'!$B$205</definedName>
    <definedName name="errmsg.MustBeSameSheet" localSheetId="8">'RES_fi-FI'!$B$205</definedName>
    <definedName name="errmsg.MustBeSameSheet" localSheetId="1">'RES_fr-FR'!$B$205</definedName>
    <definedName name="errmsg.MustBeSameSheet" localSheetId="9">'RES_hr-HR'!$B$205</definedName>
    <definedName name="errmsg.MustBeSameSheet" localSheetId="10">'RES_hu-HU'!$B$205</definedName>
    <definedName name="errmsg.MustBeSameSheet" localSheetId="11">'RES_it-IT'!$B$205</definedName>
    <definedName name="errmsg.MustBeSameSheet" localSheetId="12">'RES_ja-JP'!$B$205</definedName>
    <definedName name="errmsg.MustBeSameSheet" localSheetId="13">'RES_ko-KR'!$B$205</definedName>
    <definedName name="errmsg.MustBeSameSheet" localSheetId="14">'RES_lv-LV'!$B$205</definedName>
    <definedName name="errmsg.MustBeSameSheet" localSheetId="15">'RES_nb-NO'!$B$205</definedName>
    <definedName name="errmsg.MustBeSameSheet" localSheetId="16">'RES_nl-NL'!$B$205</definedName>
    <definedName name="errmsg.MustBeSameSheet" localSheetId="17">'RES_pl-PL'!$B$205</definedName>
    <definedName name="errmsg.MustBeSameSheet" localSheetId="18">'RES_pt-BR'!$B$205</definedName>
    <definedName name="errmsg.MustBeSameSheet" localSheetId="19">'RES_pt-PT'!$B$205</definedName>
    <definedName name="errmsg.MustBeSameSheet" localSheetId="20">'RES_ro-RO'!$B$205</definedName>
    <definedName name="errmsg.MustBeSameSheet" localSheetId="21">'RES_ru-RU'!$B$205</definedName>
    <definedName name="errmsg.MustBeSameSheet" localSheetId="22">'RES_sl-SI'!$B$205</definedName>
    <definedName name="errmsg.MustBeSameSheet" localSheetId="23">'RES_sv-SE'!$B$205</definedName>
    <definedName name="errmsg.MustBeSameSheet" localSheetId="24">'RES_tr-TR'!$B$205</definedName>
    <definedName name="errmsg.MustBeSameSheet" localSheetId="25">'RES_zh-CN'!$B$205</definedName>
    <definedName name="errmsg.MustBeSameSheet" localSheetId="26">'RES_zh-TW'!$B$205</definedName>
    <definedName name="errmsg.MustBeSglArea" localSheetId="3">'RES_cs-CZ'!$B$206</definedName>
    <definedName name="errmsg.MustBeSglArea" localSheetId="4">'RES_da-DK'!$B$206</definedName>
    <definedName name="errmsg.MustBeSglArea" localSheetId="5">'RES_de-DE'!$B$206</definedName>
    <definedName name="errmsg.MustBeSglArea" localSheetId="6">'RES_el-GR'!$B$206</definedName>
    <definedName name="errmsg.MustBeSglArea" localSheetId="2">'RES_en-US'!$B$206</definedName>
    <definedName name="errmsg.MustBeSglArea" localSheetId="7">'RES_es-ES'!$B$206</definedName>
    <definedName name="errmsg.MustBeSglArea" localSheetId="8">'RES_fi-FI'!$B$206</definedName>
    <definedName name="errmsg.MustBeSglArea" localSheetId="1">'RES_fr-FR'!$B$206</definedName>
    <definedName name="errmsg.MustBeSglArea" localSheetId="9">'RES_hr-HR'!$B$206</definedName>
    <definedName name="errmsg.MustBeSglArea" localSheetId="10">'RES_hu-HU'!$B$206</definedName>
    <definedName name="errmsg.MustBeSglArea" localSheetId="11">'RES_it-IT'!$B$206</definedName>
    <definedName name="errmsg.MustBeSglArea" localSheetId="12">'RES_ja-JP'!$B$206</definedName>
    <definedName name="errmsg.MustBeSglArea" localSheetId="13">'RES_ko-KR'!$B$206</definedName>
    <definedName name="errmsg.MustBeSglArea" localSheetId="14">'RES_lv-LV'!$B$206</definedName>
    <definedName name="errmsg.MustBeSglArea" localSheetId="15">'RES_nb-NO'!$B$206</definedName>
    <definedName name="errmsg.MustBeSglArea" localSheetId="16">'RES_nl-NL'!$B$206</definedName>
    <definedName name="errmsg.MustBeSglArea" localSheetId="17">'RES_pl-PL'!$B$206</definedName>
    <definedName name="errmsg.MustBeSglArea" localSheetId="18">'RES_pt-BR'!$B$206</definedName>
    <definedName name="errmsg.MustBeSglArea" localSheetId="19">'RES_pt-PT'!$B$206</definedName>
    <definedName name="errmsg.MustBeSglArea" localSheetId="20">'RES_ro-RO'!$B$206</definedName>
    <definedName name="errmsg.MustBeSglArea" localSheetId="21">'RES_ru-RU'!$B$206</definedName>
    <definedName name="errmsg.MustBeSglArea" localSheetId="22">'RES_sl-SI'!$B$206</definedName>
    <definedName name="errmsg.MustBeSglArea" localSheetId="23">'RES_sv-SE'!$B$206</definedName>
    <definedName name="errmsg.MustBeSglArea" localSheetId="24">'RES_tr-TR'!$B$206</definedName>
    <definedName name="errmsg.MustBeSglArea" localSheetId="25">'RES_zh-CN'!$B$206</definedName>
    <definedName name="errmsg.MustBeSglArea" localSheetId="26">'RES_zh-TW'!$B$206</definedName>
    <definedName name="errmsg.MustBeSglRowCol" localSheetId="3">'RES_cs-CZ'!$B$207</definedName>
    <definedName name="errmsg.MustBeSglRowCol" localSheetId="4">'RES_da-DK'!$B$207</definedName>
    <definedName name="errmsg.MustBeSglRowCol" localSheetId="5">'RES_de-DE'!$B$207</definedName>
    <definedName name="errmsg.MustBeSglRowCol" localSheetId="6">'RES_el-GR'!$B$207</definedName>
    <definedName name="errmsg.MustBeSglRowCol" localSheetId="2">'RES_en-US'!$B$207</definedName>
    <definedName name="errmsg.MustBeSglRowCol" localSheetId="7">'RES_es-ES'!$B$207</definedName>
    <definedName name="errmsg.MustBeSglRowCol" localSheetId="8">'RES_fi-FI'!$B$207</definedName>
    <definedName name="errmsg.MustBeSglRowCol" localSheetId="1">'RES_fr-FR'!$B$207</definedName>
    <definedName name="errmsg.MustBeSglRowCol" localSheetId="9">'RES_hr-HR'!$B$207</definedName>
    <definedName name="errmsg.MustBeSglRowCol" localSheetId="10">'RES_hu-HU'!$B$207</definedName>
    <definedName name="errmsg.MustBeSglRowCol" localSheetId="11">'RES_it-IT'!$B$207</definedName>
    <definedName name="errmsg.MustBeSglRowCol" localSheetId="12">'RES_ja-JP'!$B$207</definedName>
    <definedName name="errmsg.MustBeSglRowCol" localSheetId="13">'RES_ko-KR'!$B$207</definedName>
    <definedName name="errmsg.MustBeSglRowCol" localSheetId="14">'RES_lv-LV'!$B$207</definedName>
    <definedName name="errmsg.MustBeSglRowCol" localSheetId="15">'RES_nb-NO'!$B$207</definedName>
    <definedName name="errmsg.MustBeSglRowCol" localSheetId="16">'RES_nl-NL'!$B$207</definedName>
    <definedName name="errmsg.MustBeSglRowCol" localSheetId="17">'RES_pl-PL'!$B$207</definedName>
    <definedName name="errmsg.MustBeSglRowCol" localSheetId="18">'RES_pt-BR'!$B$207</definedName>
    <definedName name="errmsg.MustBeSglRowCol" localSheetId="19">'RES_pt-PT'!$B$207</definedName>
    <definedName name="errmsg.MustBeSglRowCol" localSheetId="20">'RES_ro-RO'!$B$207</definedName>
    <definedName name="errmsg.MustBeSglRowCol" localSheetId="21">'RES_ru-RU'!$B$207</definedName>
    <definedName name="errmsg.MustBeSglRowCol" localSheetId="22">'RES_sl-SI'!$B$207</definedName>
    <definedName name="errmsg.MustBeSglRowCol" localSheetId="23">'RES_sv-SE'!$B$207</definedName>
    <definedName name="errmsg.MustBeSglRowCol" localSheetId="24">'RES_tr-TR'!$B$207</definedName>
    <definedName name="errmsg.MustBeSglRowCol" localSheetId="25">'RES_zh-CN'!$B$207</definedName>
    <definedName name="errmsg.MustBeSglRowCol" localSheetId="26">'RES_zh-TW'!$B$207</definedName>
    <definedName name="errmsg.MustHaveSameDataPts" localSheetId="3">'RES_cs-CZ'!$B$208</definedName>
    <definedName name="errmsg.MustHaveSameDataPts" localSheetId="4">'RES_da-DK'!$B$208</definedName>
    <definedName name="errmsg.MustHaveSameDataPts" localSheetId="5">'RES_de-DE'!$B$208</definedName>
    <definedName name="errmsg.MustHaveSameDataPts" localSheetId="6">'RES_el-GR'!$B$208</definedName>
    <definedName name="errmsg.MustHaveSameDataPts" localSheetId="2">'RES_en-US'!$B$208</definedName>
    <definedName name="errmsg.MustHaveSameDataPts" localSheetId="7">'RES_es-ES'!$B$208</definedName>
    <definedName name="errmsg.MustHaveSameDataPts" localSheetId="8">'RES_fi-FI'!$B$208</definedName>
    <definedName name="errmsg.MustHaveSameDataPts" localSheetId="1">'RES_fr-FR'!$B$208</definedName>
    <definedName name="errmsg.MustHaveSameDataPts" localSheetId="9">'RES_hr-HR'!$B$208</definedName>
    <definedName name="errmsg.MustHaveSameDataPts" localSheetId="10">'RES_hu-HU'!$B$208</definedName>
    <definedName name="errmsg.MustHaveSameDataPts" localSheetId="11">'RES_it-IT'!$B$208</definedName>
    <definedName name="errmsg.MustHaveSameDataPts" localSheetId="12">'RES_ja-JP'!$B$208</definedName>
    <definedName name="errmsg.MustHaveSameDataPts" localSheetId="13">'RES_ko-KR'!$B$208</definedName>
    <definedName name="errmsg.MustHaveSameDataPts" localSheetId="14">'RES_lv-LV'!$B$208</definedName>
    <definedName name="errmsg.MustHaveSameDataPts" localSheetId="15">'RES_nb-NO'!$B$208</definedName>
    <definedName name="errmsg.MustHaveSameDataPts" localSheetId="16">'RES_nl-NL'!$B$208</definedName>
    <definedName name="errmsg.MustHaveSameDataPts" localSheetId="17">'RES_pl-PL'!$B$208</definedName>
    <definedName name="errmsg.MustHaveSameDataPts" localSheetId="18">'RES_pt-BR'!$B$208</definedName>
    <definedName name="errmsg.MustHaveSameDataPts" localSheetId="19">'RES_pt-PT'!$B$208</definedName>
    <definedName name="errmsg.MustHaveSameDataPts" localSheetId="20">'RES_ro-RO'!$B$208</definedName>
    <definedName name="errmsg.MustHaveSameDataPts" localSheetId="21">'RES_ru-RU'!$B$208</definedName>
    <definedName name="errmsg.MustHaveSameDataPts" localSheetId="22">'RES_sl-SI'!$B$208</definedName>
    <definedName name="errmsg.MustHaveSameDataPts" localSheetId="23">'RES_sv-SE'!$B$208</definedName>
    <definedName name="errmsg.MustHaveSameDataPts" localSheetId="24">'RES_tr-TR'!$B$208</definedName>
    <definedName name="errmsg.MustHaveSameDataPts" localSheetId="25">'RES_zh-CN'!$B$208</definedName>
    <definedName name="errmsg.MustHaveSameDataPts" localSheetId="26">'RES_zh-TW'!$B$208</definedName>
    <definedName name="errmsg.MVEXMinData" localSheetId="3">'RES_cs-CZ'!$B$209</definedName>
    <definedName name="errmsg.MVEXMinData" localSheetId="4">'RES_da-DK'!$B$209</definedName>
    <definedName name="errmsg.MVEXMinData" localSheetId="5">'RES_de-DE'!$B$209</definedName>
    <definedName name="errmsg.MVEXMinData" localSheetId="6">'RES_el-GR'!$B$209</definedName>
    <definedName name="errmsg.MVEXMinData" localSheetId="2">'RES_en-US'!$B$209</definedName>
    <definedName name="errmsg.MVEXMinData" localSheetId="7">'RES_es-ES'!$B$209</definedName>
    <definedName name="errmsg.MVEXMinData" localSheetId="8">'RES_fi-FI'!$B$209</definedName>
    <definedName name="errmsg.MVEXMinData" localSheetId="1">'RES_fr-FR'!$B$209</definedName>
    <definedName name="errmsg.MVEXMinData" localSheetId="9">'RES_hr-HR'!$B$209</definedName>
    <definedName name="errmsg.MVEXMinData" localSheetId="10">'RES_hu-HU'!$B$209</definedName>
    <definedName name="errmsg.MVEXMinData" localSheetId="11">'RES_it-IT'!$B$209</definedName>
    <definedName name="errmsg.MVEXMinData" localSheetId="12">'RES_ja-JP'!$B$209</definedName>
    <definedName name="errmsg.MVEXMinData" localSheetId="13">'RES_ko-KR'!$B$209</definedName>
    <definedName name="errmsg.MVEXMinData" localSheetId="14">'RES_lv-LV'!$B$209</definedName>
    <definedName name="errmsg.MVEXMinData" localSheetId="15">'RES_nb-NO'!$B$209</definedName>
    <definedName name="errmsg.MVEXMinData" localSheetId="16">'RES_nl-NL'!$B$209</definedName>
    <definedName name="errmsg.MVEXMinData" localSheetId="17">'RES_pl-PL'!$B$209</definedName>
    <definedName name="errmsg.MVEXMinData" localSheetId="18">'RES_pt-BR'!$B$209</definedName>
    <definedName name="errmsg.MVEXMinData" localSheetId="19">'RES_pt-PT'!$B$209</definedName>
    <definedName name="errmsg.MVEXMinData" localSheetId="20">'RES_ro-RO'!$B$209</definedName>
    <definedName name="errmsg.MVEXMinData" localSheetId="21">'RES_ru-RU'!$B$209</definedName>
    <definedName name="errmsg.MVEXMinData" localSheetId="22">'RES_sl-SI'!$B$209</definedName>
    <definedName name="errmsg.MVEXMinData" localSheetId="23">'RES_sv-SE'!$B$209</definedName>
    <definedName name="errmsg.MVEXMinData" localSheetId="24">'RES_tr-TR'!$B$209</definedName>
    <definedName name="errmsg.MVEXMinData" localSheetId="25">'RES_zh-CN'!$B$209</definedName>
    <definedName name="errmsg.MVEXMinData" localSheetId="26">'RES_zh-TW'!$B$209</definedName>
    <definedName name="errmsg.NA" localSheetId="3">'RES_cs-CZ'!$B$210</definedName>
    <definedName name="errmsg.NA" localSheetId="4">'RES_da-DK'!$B$210</definedName>
    <definedName name="errmsg.NA" localSheetId="5">'RES_de-DE'!$B$210</definedName>
    <definedName name="errmsg.NA" localSheetId="6">'RES_el-GR'!$B$210</definedName>
    <definedName name="errmsg.NA" localSheetId="2">'RES_en-US'!$B$210</definedName>
    <definedName name="errmsg.NA" localSheetId="7">'RES_es-ES'!$B$210</definedName>
    <definedName name="errmsg.NA" localSheetId="8">'RES_fi-FI'!$B$210</definedName>
    <definedName name="errmsg.NA" localSheetId="1">'RES_fr-FR'!$B$210</definedName>
    <definedName name="errmsg.NA" localSheetId="9">'RES_hr-HR'!$B$210</definedName>
    <definedName name="errmsg.NA" localSheetId="10">'RES_hu-HU'!$B$210</definedName>
    <definedName name="errmsg.NA" localSheetId="11">'RES_it-IT'!$B$210</definedName>
    <definedName name="errmsg.NA" localSheetId="12">'RES_ja-JP'!$B$210</definedName>
    <definedName name="errmsg.NA" localSheetId="13">'RES_ko-KR'!$B$210</definedName>
    <definedName name="errmsg.NA" localSheetId="14">'RES_lv-LV'!$B$210</definedName>
    <definedName name="errmsg.NA" localSheetId="15">'RES_nb-NO'!$B$210</definedName>
    <definedName name="errmsg.NA" localSheetId="16">'RES_nl-NL'!$B$210</definedName>
    <definedName name="errmsg.NA" localSheetId="17">'RES_pl-PL'!$B$210</definedName>
    <definedName name="errmsg.NA" localSheetId="18">'RES_pt-BR'!$B$210</definedName>
    <definedName name="errmsg.NA" localSheetId="19">'RES_pt-PT'!$B$210</definedName>
    <definedName name="errmsg.NA" localSheetId="20">'RES_ro-RO'!$B$210</definedName>
    <definedName name="errmsg.NA" localSheetId="21">'RES_ru-RU'!$B$210</definedName>
    <definedName name="errmsg.NA" localSheetId="22">'RES_sl-SI'!$B$210</definedName>
    <definedName name="errmsg.NA" localSheetId="23">'RES_sv-SE'!$B$210</definedName>
    <definedName name="errmsg.NA" localSheetId="24">'RES_tr-TR'!$B$210</definedName>
    <definedName name="errmsg.NA" localSheetId="25">'RES_zh-CN'!$B$210</definedName>
    <definedName name="errmsg.NA" localSheetId="26">'RES_zh-TW'!$B$210</definedName>
    <definedName name="errmsg.NewBkErr" localSheetId="3">'RES_cs-CZ'!$B$211</definedName>
    <definedName name="errmsg.NewBkErr" localSheetId="4">'RES_da-DK'!$B$211</definedName>
    <definedName name="errmsg.NewBkErr" localSheetId="5">'RES_de-DE'!$B$211</definedName>
    <definedName name="errmsg.NewBkErr" localSheetId="6">'RES_el-GR'!$B$211</definedName>
    <definedName name="errmsg.NewBkErr" localSheetId="2">'RES_en-US'!$B$211</definedName>
    <definedName name="errmsg.NewBkErr" localSheetId="7">'RES_es-ES'!$B$211</definedName>
    <definedName name="errmsg.NewBkErr" localSheetId="8">'RES_fi-FI'!$B$211</definedName>
    <definedName name="errmsg.NewBkErr" localSheetId="1">'RES_fr-FR'!$B$211</definedName>
    <definedName name="errmsg.NewBkErr" localSheetId="9">'RES_hr-HR'!$B$211</definedName>
    <definedName name="errmsg.NewBkErr" localSheetId="10">'RES_hu-HU'!$B$211</definedName>
    <definedName name="errmsg.NewBkErr" localSheetId="11">'RES_it-IT'!$B$211</definedName>
    <definedName name="errmsg.NewBkErr" localSheetId="12">'RES_ja-JP'!$B$211</definedName>
    <definedName name="errmsg.NewBkErr" localSheetId="13">'RES_ko-KR'!$B$211</definedName>
    <definedName name="errmsg.NewBkErr" localSheetId="14">'RES_lv-LV'!$B$211</definedName>
    <definedName name="errmsg.NewBkErr" localSheetId="15">'RES_nb-NO'!$B$211</definedName>
    <definedName name="errmsg.NewBkErr" localSheetId="16">'RES_nl-NL'!$B$211</definedName>
    <definedName name="errmsg.NewBkErr" localSheetId="17">'RES_pl-PL'!$B$211</definedName>
    <definedName name="errmsg.NewBkErr" localSheetId="18">'RES_pt-BR'!$B$211</definedName>
    <definedName name="errmsg.NewBkErr" localSheetId="19">'RES_pt-PT'!$B$211</definedName>
    <definedName name="errmsg.NewBkErr" localSheetId="20">'RES_ro-RO'!$B$211</definedName>
    <definedName name="errmsg.NewBkErr" localSheetId="21">'RES_ru-RU'!$B$211</definedName>
    <definedName name="errmsg.NewBkErr" localSheetId="22">'RES_sl-SI'!$B$211</definedName>
    <definedName name="errmsg.NewBkErr" localSheetId="23">'RES_sv-SE'!$B$211</definedName>
    <definedName name="errmsg.NewBkErr" localSheetId="24">'RES_tr-TR'!$B$211</definedName>
    <definedName name="errmsg.NewBkErr" localSheetId="25">'RES_zh-CN'!$B$211</definedName>
    <definedName name="errmsg.NewBkErr" localSheetId="26">'RES_zh-TW'!$B$211</definedName>
    <definedName name="errmsg.NewShtErr" localSheetId="3">'RES_cs-CZ'!$B$212</definedName>
    <definedName name="errmsg.NewShtErr" localSheetId="4">'RES_da-DK'!$B$212</definedName>
    <definedName name="errmsg.NewShtErr" localSheetId="5">'RES_de-DE'!$B$212</definedName>
    <definedName name="errmsg.NewShtErr" localSheetId="6">'RES_el-GR'!$B$212</definedName>
    <definedName name="errmsg.NewShtErr" localSheetId="2">'RES_en-US'!$B$212</definedName>
    <definedName name="errmsg.NewShtErr" localSheetId="7">'RES_es-ES'!$B$212</definedName>
    <definedName name="errmsg.NewShtErr" localSheetId="8">'RES_fi-FI'!$B$212</definedName>
    <definedName name="errmsg.NewShtErr" localSheetId="1">'RES_fr-FR'!$B$212</definedName>
    <definedName name="errmsg.NewShtErr" localSheetId="9">'RES_hr-HR'!$B$212</definedName>
    <definedName name="errmsg.NewShtErr" localSheetId="10">'RES_hu-HU'!$B$212</definedName>
    <definedName name="errmsg.NewShtErr" localSheetId="11">'RES_it-IT'!$B$212</definedName>
    <definedName name="errmsg.NewShtErr" localSheetId="12">'RES_ja-JP'!$B$212</definedName>
    <definedName name="errmsg.NewShtErr" localSheetId="13">'RES_ko-KR'!$B$212</definedName>
    <definedName name="errmsg.NewShtErr" localSheetId="14">'RES_lv-LV'!$B$212</definedName>
    <definedName name="errmsg.NewShtErr" localSheetId="15">'RES_nb-NO'!$B$212</definedName>
    <definedName name="errmsg.NewShtErr" localSheetId="16">'RES_nl-NL'!$B$212</definedName>
    <definedName name="errmsg.NewShtErr" localSheetId="17">'RES_pl-PL'!$B$212</definedName>
    <definedName name="errmsg.NewShtErr" localSheetId="18">'RES_pt-BR'!$B$212</definedName>
    <definedName name="errmsg.NewShtErr" localSheetId="19">'RES_pt-PT'!$B$212</definedName>
    <definedName name="errmsg.NewShtErr" localSheetId="20">'RES_ro-RO'!$B$212</definedName>
    <definedName name="errmsg.NewShtErr" localSheetId="21">'RES_ru-RU'!$B$212</definedName>
    <definedName name="errmsg.NewShtErr" localSheetId="22">'RES_sl-SI'!$B$212</definedName>
    <definedName name="errmsg.NewShtErr" localSheetId="23">'RES_sv-SE'!$B$212</definedName>
    <definedName name="errmsg.NewShtErr" localSheetId="24">'RES_tr-TR'!$B$212</definedName>
    <definedName name="errmsg.NewShtErr" localSheetId="25">'RES_zh-CN'!$B$212</definedName>
    <definedName name="errmsg.NewShtErr" localSheetId="26">'RES_zh-TW'!$B$212</definedName>
    <definedName name="errmsg.NoMainDlg" localSheetId="3">'RES_cs-CZ'!$B$213</definedName>
    <definedName name="errmsg.NoMainDlg" localSheetId="4">'RES_da-DK'!$B$213</definedName>
    <definedName name="errmsg.NoMainDlg" localSheetId="5">'RES_de-DE'!$B$213</definedName>
    <definedName name="errmsg.NoMainDlg" localSheetId="6">'RES_el-GR'!$B$213</definedName>
    <definedName name="errmsg.NoMainDlg" localSheetId="2">'RES_en-US'!$B$213</definedName>
    <definedName name="errmsg.NoMainDlg" localSheetId="7">'RES_es-ES'!$B$213</definedName>
    <definedName name="errmsg.NoMainDlg" localSheetId="8">'RES_fi-FI'!$B$213</definedName>
    <definedName name="errmsg.NoMainDlg" localSheetId="1">'RES_fr-FR'!$B$213</definedName>
    <definedName name="errmsg.NoMainDlg" localSheetId="9">'RES_hr-HR'!$B$213</definedName>
    <definedName name="errmsg.NoMainDlg" localSheetId="10">'RES_hu-HU'!$B$213</definedName>
    <definedName name="errmsg.NoMainDlg" localSheetId="11">'RES_it-IT'!$B$213</definedName>
    <definedName name="errmsg.NoMainDlg" localSheetId="12">'RES_ja-JP'!$B$213</definedName>
    <definedName name="errmsg.NoMainDlg" localSheetId="13">'RES_ko-KR'!$B$213</definedName>
    <definedName name="errmsg.NoMainDlg" localSheetId="14">'RES_lv-LV'!$B$213</definedName>
    <definedName name="errmsg.NoMainDlg" localSheetId="15">'RES_nb-NO'!$B$213</definedName>
    <definedName name="errmsg.NoMainDlg" localSheetId="16">'RES_nl-NL'!$B$213</definedName>
    <definedName name="errmsg.NoMainDlg" localSheetId="17">'RES_pl-PL'!$B$213</definedName>
    <definedName name="errmsg.NoMainDlg" localSheetId="18">'RES_pt-BR'!$B$213</definedName>
    <definedName name="errmsg.NoMainDlg" localSheetId="19">'RES_pt-PT'!$B$213</definedName>
    <definedName name="errmsg.NoMainDlg" localSheetId="20">'RES_ro-RO'!$B$213</definedName>
    <definedName name="errmsg.NoMainDlg" localSheetId="21">'RES_ru-RU'!$B$213</definedName>
    <definedName name="errmsg.NoMainDlg" localSheetId="22">'RES_sl-SI'!$B$213</definedName>
    <definedName name="errmsg.NoMainDlg" localSheetId="23">'RES_sv-SE'!$B$213</definedName>
    <definedName name="errmsg.NoMainDlg" localSheetId="24">'RES_tr-TR'!$B$213</definedName>
    <definedName name="errmsg.NoMainDlg" localSheetId="25">'RES_zh-CN'!$B$213</definedName>
    <definedName name="errmsg.NoMainDlg" localSheetId="26">'RES_zh-TW'!$B$213</definedName>
    <definedName name="errmsg.NonNumericInpRg" localSheetId="3">'RES_cs-CZ'!$B$215</definedName>
    <definedName name="errmsg.NonNumericInpRg" localSheetId="4">'RES_da-DK'!$B$215</definedName>
    <definedName name="errmsg.NonNumericInpRg" localSheetId="5">'RES_de-DE'!$B$215</definedName>
    <definedName name="errmsg.NonNumericInpRg" localSheetId="6">'RES_el-GR'!$B$215</definedName>
    <definedName name="errmsg.NonNumericInpRg" localSheetId="2">'RES_en-US'!$B$215</definedName>
    <definedName name="errmsg.NonNumericInpRg" localSheetId="7">'RES_es-ES'!$B$215</definedName>
    <definedName name="errmsg.NonNumericInpRg" localSheetId="8">'RES_fi-FI'!$B$215</definedName>
    <definedName name="errmsg.NonNumericInpRg" localSheetId="1">'RES_fr-FR'!$B$215</definedName>
    <definedName name="errmsg.NonNumericInpRg" localSheetId="9">'RES_hr-HR'!$B$215</definedName>
    <definedName name="errmsg.NonNumericInpRg" localSheetId="10">'RES_hu-HU'!$B$215</definedName>
    <definedName name="errmsg.NonNumericInpRg" localSheetId="11">'RES_it-IT'!$B$215</definedName>
    <definedName name="errmsg.NonNumericInpRg" localSheetId="12">'RES_ja-JP'!$B$215</definedName>
    <definedName name="errmsg.NonNumericInpRg" localSheetId="13">'RES_ko-KR'!$B$215</definedName>
    <definedName name="errmsg.NonNumericInpRg" localSheetId="14">'RES_lv-LV'!$B$215</definedName>
    <definedName name="errmsg.NonNumericInpRg" localSheetId="15">'RES_nb-NO'!$B$215</definedName>
    <definedName name="errmsg.NonNumericInpRg" localSheetId="16">'RES_nl-NL'!$B$215</definedName>
    <definedName name="errmsg.NonNumericInpRg" localSheetId="17">'RES_pl-PL'!$B$215</definedName>
    <definedName name="errmsg.NonNumericInpRg" localSheetId="18">'RES_pt-BR'!$B$215</definedName>
    <definedName name="errmsg.NonNumericInpRg" localSheetId="19">'RES_pt-PT'!$B$215</definedName>
    <definedName name="errmsg.NonNumericInpRg" localSheetId="20">'RES_ro-RO'!$B$215</definedName>
    <definedName name="errmsg.NonNumericInpRg" localSheetId="21">'RES_ru-RU'!$B$215</definedName>
    <definedName name="errmsg.NonNumericInpRg" localSheetId="22">'RES_sl-SI'!$B$215</definedName>
    <definedName name="errmsg.NonNumericInpRg" localSheetId="23">'RES_sv-SE'!$B$215</definedName>
    <definedName name="errmsg.NonNumericInpRg" localSheetId="24">'RES_tr-TR'!$B$215</definedName>
    <definedName name="errmsg.NonNumericInpRg" localSheetId="25">'RES_zh-CN'!$B$215</definedName>
    <definedName name="errmsg.NonNumericInpRg" localSheetId="26">'RES_zh-TW'!$B$215</definedName>
    <definedName name="errmsg.NoProcDlg" localSheetId="3">'RES_cs-CZ'!$B$214</definedName>
    <definedName name="errmsg.NoProcDlg" localSheetId="4">'RES_da-DK'!$B$214</definedName>
    <definedName name="errmsg.NoProcDlg" localSheetId="5">'RES_de-DE'!$B$214</definedName>
    <definedName name="errmsg.NoProcDlg" localSheetId="6">'RES_el-GR'!$B$214</definedName>
    <definedName name="errmsg.NoProcDlg" localSheetId="2">'RES_en-US'!$B$214</definedName>
    <definedName name="errmsg.NoProcDlg" localSheetId="7">'RES_es-ES'!$B$214</definedName>
    <definedName name="errmsg.NoProcDlg" localSheetId="8">'RES_fi-FI'!$B$214</definedName>
    <definedName name="errmsg.NoProcDlg" localSheetId="1">'RES_fr-FR'!$B$214</definedName>
    <definedName name="errmsg.NoProcDlg" localSheetId="9">'RES_hr-HR'!$B$214</definedName>
    <definedName name="errmsg.NoProcDlg" localSheetId="10">'RES_hu-HU'!$B$214</definedName>
    <definedName name="errmsg.NoProcDlg" localSheetId="11">'RES_it-IT'!$B$214</definedName>
    <definedName name="errmsg.NoProcDlg" localSheetId="12">'RES_ja-JP'!$B$214</definedName>
    <definedName name="errmsg.NoProcDlg" localSheetId="13">'RES_ko-KR'!$B$214</definedName>
    <definedName name="errmsg.NoProcDlg" localSheetId="14">'RES_lv-LV'!$B$214</definedName>
    <definedName name="errmsg.NoProcDlg" localSheetId="15">'RES_nb-NO'!$B$214</definedName>
    <definedName name="errmsg.NoProcDlg" localSheetId="16">'RES_nl-NL'!$B$214</definedName>
    <definedName name="errmsg.NoProcDlg" localSheetId="17">'RES_pl-PL'!$B$214</definedName>
    <definedName name="errmsg.NoProcDlg" localSheetId="18">'RES_pt-BR'!$B$214</definedName>
    <definedName name="errmsg.NoProcDlg" localSheetId="19">'RES_pt-PT'!$B$214</definedName>
    <definedName name="errmsg.NoProcDlg" localSheetId="20">'RES_ro-RO'!$B$214</definedName>
    <definedName name="errmsg.NoProcDlg" localSheetId="21">'RES_ru-RU'!$B$214</definedName>
    <definedName name="errmsg.NoProcDlg" localSheetId="22">'RES_sl-SI'!$B$214</definedName>
    <definedName name="errmsg.NoProcDlg" localSheetId="23">'RES_sv-SE'!$B$214</definedName>
    <definedName name="errmsg.NoProcDlg" localSheetId="24">'RES_tr-TR'!$B$214</definedName>
    <definedName name="errmsg.NoProcDlg" localSheetId="25">'RES_zh-CN'!$B$214</definedName>
    <definedName name="errmsg.NoProcDlg" localSheetId="26">'RES_zh-TW'!$B$214</definedName>
    <definedName name="errmsg.NormalMeanErr" localSheetId="3">'RES_cs-CZ'!$B$216</definedName>
    <definedName name="errmsg.NormalMeanErr" localSheetId="4">'RES_da-DK'!$B$216</definedName>
    <definedName name="errmsg.NormalMeanErr" localSheetId="5">'RES_de-DE'!$B$216</definedName>
    <definedName name="errmsg.NormalMeanErr" localSheetId="6">'RES_el-GR'!$B$216</definedName>
    <definedName name="errmsg.NormalMeanErr" localSheetId="2">'RES_en-US'!$B$216</definedName>
    <definedName name="errmsg.NormalMeanErr" localSheetId="7">'RES_es-ES'!$B$216</definedName>
    <definedName name="errmsg.NormalMeanErr" localSheetId="8">'RES_fi-FI'!$B$216</definedName>
    <definedName name="errmsg.NormalMeanErr" localSheetId="1">'RES_fr-FR'!$B$216</definedName>
    <definedName name="errmsg.NormalMeanErr" localSheetId="9">'RES_hr-HR'!$B$216</definedName>
    <definedName name="errmsg.NormalMeanErr" localSheetId="10">'RES_hu-HU'!$B$216</definedName>
    <definedName name="errmsg.NormalMeanErr" localSheetId="11">'RES_it-IT'!$B$216</definedName>
    <definedName name="errmsg.NormalMeanErr" localSheetId="12">'RES_ja-JP'!$B$216</definedName>
    <definedName name="errmsg.NormalMeanErr" localSheetId="13">'RES_ko-KR'!$B$216</definedName>
    <definedName name="errmsg.NormalMeanErr" localSheetId="14">'RES_lv-LV'!$B$216</definedName>
    <definedName name="errmsg.NormalMeanErr" localSheetId="15">'RES_nb-NO'!$B$216</definedName>
    <definedName name="errmsg.NormalMeanErr" localSheetId="16">'RES_nl-NL'!$B$216</definedName>
    <definedName name="errmsg.NormalMeanErr" localSheetId="17">'RES_pl-PL'!$B$216</definedName>
    <definedName name="errmsg.NormalMeanErr" localSheetId="18">'RES_pt-BR'!$B$216</definedName>
    <definedName name="errmsg.NormalMeanErr" localSheetId="19">'RES_pt-PT'!$B$216</definedName>
    <definedName name="errmsg.NormalMeanErr" localSheetId="20">'RES_ro-RO'!$B$216</definedName>
    <definedName name="errmsg.NormalMeanErr" localSheetId="21">'RES_ru-RU'!$B$216</definedName>
    <definedName name="errmsg.NormalMeanErr" localSheetId="22">'RES_sl-SI'!$B$216</definedName>
    <definedName name="errmsg.NormalMeanErr" localSheetId="23">'RES_sv-SE'!$B$216</definedName>
    <definedName name="errmsg.NormalMeanErr" localSheetId="24">'RES_tr-TR'!$B$216</definedName>
    <definedName name="errmsg.NormalMeanErr" localSheetId="25">'RES_zh-CN'!$B$216</definedName>
    <definedName name="errmsg.NormalMeanErr" localSheetId="26">'RES_zh-TW'!$B$216</definedName>
    <definedName name="errmsg.NormalStdDevErr" localSheetId="3">'RES_cs-CZ'!$B$217</definedName>
    <definedName name="errmsg.NormalStdDevErr" localSheetId="4">'RES_da-DK'!$B$217</definedName>
    <definedName name="errmsg.NormalStdDevErr" localSheetId="5">'RES_de-DE'!$B$217</definedName>
    <definedName name="errmsg.NormalStdDevErr" localSheetId="6">'RES_el-GR'!$B$217</definedName>
    <definedName name="errmsg.NormalStdDevErr" localSheetId="2">'RES_en-US'!$B$217</definedName>
    <definedName name="errmsg.NormalStdDevErr" localSheetId="7">'RES_es-ES'!$B$217</definedName>
    <definedName name="errmsg.NormalStdDevErr" localSheetId="8">'RES_fi-FI'!$B$217</definedName>
    <definedName name="errmsg.NormalStdDevErr" localSheetId="1">'RES_fr-FR'!$B$217</definedName>
    <definedName name="errmsg.NormalStdDevErr" localSheetId="9">'RES_hr-HR'!$B$217</definedName>
    <definedName name="errmsg.NormalStdDevErr" localSheetId="10">'RES_hu-HU'!$B$217</definedName>
    <definedName name="errmsg.NormalStdDevErr" localSheetId="11">'RES_it-IT'!$B$217</definedName>
    <definedName name="errmsg.NormalStdDevErr" localSheetId="12">'RES_ja-JP'!$B$217</definedName>
    <definedName name="errmsg.NormalStdDevErr" localSheetId="13">'RES_ko-KR'!$B$217</definedName>
    <definedName name="errmsg.NormalStdDevErr" localSheetId="14">'RES_lv-LV'!$B$217</definedName>
    <definedName name="errmsg.NormalStdDevErr" localSheetId="15">'RES_nb-NO'!$B$217</definedName>
    <definedName name="errmsg.NormalStdDevErr" localSheetId="16">'RES_nl-NL'!$B$217</definedName>
    <definedName name="errmsg.NormalStdDevErr" localSheetId="17">'RES_pl-PL'!$B$217</definedName>
    <definedName name="errmsg.NormalStdDevErr" localSheetId="18">'RES_pt-BR'!$B$217</definedName>
    <definedName name="errmsg.NormalStdDevErr" localSheetId="19">'RES_pt-PT'!$B$217</definedName>
    <definedName name="errmsg.NormalStdDevErr" localSheetId="20">'RES_ro-RO'!$B$217</definedName>
    <definedName name="errmsg.NormalStdDevErr" localSheetId="21">'RES_ru-RU'!$B$217</definedName>
    <definedName name="errmsg.NormalStdDevErr" localSheetId="22">'RES_sl-SI'!$B$217</definedName>
    <definedName name="errmsg.NormalStdDevErr" localSheetId="23">'RES_sv-SE'!$B$217</definedName>
    <definedName name="errmsg.NormalStdDevErr" localSheetId="24">'RES_tr-TR'!$B$217</definedName>
    <definedName name="errmsg.NormalStdDevErr" localSheetId="25">'RES_zh-CN'!$B$217</definedName>
    <definedName name="errmsg.NormalStdDevErr" localSheetId="26">'RES_zh-TW'!$B$217</definedName>
    <definedName name="errmsg.NumOfSampInvalid" localSheetId="3">'RES_cs-CZ'!$B$218</definedName>
    <definedName name="errmsg.NumOfSampInvalid" localSheetId="4">'RES_da-DK'!$B$218</definedName>
    <definedName name="errmsg.NumOfSampInvalid" localSheetId="5">'RES_de-DE'!$B$218</definedName>
    <definedName name="errmsg.NumOfSampInvalid" localSheetId="6">'RES_el-GR'!$B$218</definedName>
    <definedName name="errmsg.NumOfSampInvalid" localSheetId="2">'RES_en-US'!$B$218</definedName>
    <definedName name="errmsg.NumOfSampInvalid" localSheetId="7">'RES_es-ES'!$B$218</definedName>
    <definedName name="errmsg.NumOfSampInvalid" localSheetId="8">'RES_fi-FI'!$B$218</definedName>
    <definedName name="errmsg.NumOfSampInvalid" localSheetId="1">'RES_fr-FR'!$B$218</definedName>
    <definedName name="errmsg.NumOfSampInvalid" localSheetId="9">'RES_hr-HR'!$B$218</definedName>
    <definedName name="errmsg.NumOfSampInvalid" localSheetId="10">'RES_hu-HU'!$B$218</definedName>
    <definedName name="errmsg.NumOfSampInvalid" localSheetId="11">'RES_it-IT'!$B$218</definedName>
    <definedName name="errmsg.NumOfSampInvalid" localSheetId="12">'RES_ja-JP'!$B$218</definedName>
    <definedName name="errmsg.NumOfSampInvalid" localSheetId="13">'RES_ko-KR'!$B$218</definedName>
    <definedName name="errmsg.NumOfSampInvalid" localSheetId="14">'RES_lv-LV'!$B$218</definedName>
    <definedName name="errmsg.NumOfSampInvalid" localSheetId="15">'RES_nb-NO'!$B$218</definedName>
    <definedName name="errmsg.NumOfSampInvalid" localSheetId="16">'RES_nl-NL'!$B$218</definedName>
    <definedName name="errmsg.NumOfSampInvalid" localSheetId="17">'RES_pl-PL'!$B$218</definedName>
    <definedName name="errmsg.NumOfSampInvalid" localSheetId="18">'RES_pt-BR'!$B$218</definedName>
    <definedName name="errmsg.NumOfSampInvalid" localSheetId="19">'RES_pt-PT'!$B$218</definedName>
    <definedName name="errmsg.NumOfSampInvalid" localSheetId="20">'RES_ro-RO'!$B$218</definedName>
    <definedName name="errmsg.NumOfSampInvalid" localSheetId="21">'RES_ru-RU'!$B$218</definedName>
    <definedName name="errmsg.NumOfSampInvalid" localSheetId="22">'RES_sl-SI'!$B$218</definedName>
    <definedName name="errmsg.NumOfSampInvalid" localSheetId="23">'RES_sv-SE'!$B$218</definedName>
    <definedName name="errmsg.NumOfSampInvalid" localSheetId="24">'RES_tr-TR'!$B$218</definedName>
    <definedName name="errmsg.NumOfSampInvalid" localSheetId="25">'RES_zh-CN'!$B$218</definedName>
    <definedName name="errmsg.NumOfSampInvalid" localSheetId="26">'RES_zh-TW'!$B$218</definedName>
    <definedName name="errmsg.NumOfSampReq" localSheetId="3">'RES_cs-CZ'!$B$219</definedName>
    <definedName name="errmsg.NumOfSampReq" localSheetId="4">'RES_da-DK'!$B$219</definedName>
    <definedName name="errmsg.NumOfSampReq" localSheetId="5">'RES_de-DE'!$B$219</definedName>
    <definedName name="errmsg.NumOfSampReq" localSheetId="6">'RES_el-GR'!$B$219</definedName>
    <definedName name="errmsg.NumOfSampReq" localSheetId="2">'RES_en-US'!$B$219</definedName>
    <definedName name="errmsg.NumOfSampReq" localSheetId="7">'RES_es-ES'!$B$219</definedName>
    <definedName name="errmsg.NumOfSampReq" localSheetId="8">'RES_fi-FI'!$B$219</definedName>
    <definedName name="errmsg.NumOfSampReq" localSheetId="1">'RES_fr-FR'!$B$219</definedName>
    <definedName name="errmsg.NumOfSampReq" localSheetId="9">'RES_hr-HR'!$B$219</definedName>
    <definedName name="errmsg.NumOfSampReq" localSheetId="10">'RES_hu-HU'!$B$219</definedName>
    <definedName name="errmsg.NumOfSampReq" localSheetId="11">'RES_it-IT'!$B$219</definedName>
    <definedName name="errmsg.NumOfSampReq" localSheetId="12">'RES_ja-JP'!$B$219</definedName>
    <definedName name="errmsg.NumOfSampReq" localSheetId="13">'RES_ko-KR'!$B$219</definedName>
    <definedName name="errmsg.NumOfSampReq" localSheetId="14">'RES_lv-LV'!$B$219</definedName>
    <definedName name="errmsg.NumOfSampReq" localSheetId="15">'RES_nb-NO'!$B$219</definedName>
    <definedName name="errmsg.NumOfSampReq" localSheetId="16">'RES_nl-NL'!$B$219</definedName>
    <definedName name="errmsg.NumOfSampReq" localSheetId="17">'RES_pl-PL'!$B$219</definedName>
    <definedName name="errmsg.NumOfSampReq" localSheetId="18">'RES_pt-BR'!$B$219</definedName>
    <definedName name="errmsg.NumOfSampReq" localSheetId="19">'RES_pt-PT'!$B$219</definedName>
    <definedName name="errmsg.NumOfSampReq" localSheetId="20">'RES_ro-RO'!$B$219</definedName>
    <definedName name="errmsg.NumOfSampReq" localSheetId="21">'RES_ru-RU'!$B$219</definedName>
    <definedName name="errmsg.NumOfSampReq" localSheetId="22">'RES_sl-SI'!$B$219</definedName>
    <definedName name="errmsg.NumOfSampReq" localSheetId="23">'RES_sv-SE'!$B$219</definedName>
    <definedName name="errmsg.NumOfSampReq" localSheetId="24">'RES_tr-TR'!$B$219</definedName>
    <definedName name="errmsg.NumOfSampReq" localSheetId="25">'RES_zh-CN'!$B$219</definedName>
    <definedName name="errmsg.NumOfSampReq" localSheetId="26">'RES_zh-TW'!$B$219</definedName>
    <definedName name="errmsg.OffsetErr" localSheetId="3">'RES_cs-CZ'!$B$220</definedName>
    <definedName name="errmsg.OffsetErr" localSheetId="4">'RES_da-DK'!$B$220</definedName>
    <definedName name="errmsg.OffsetErr" localSheetId="5">'RES_de-DE'!$B$220</definedName>
    <definedName name="errmsg.OffsetErr" localSheetId="6">'RES_el-GR'!$B$220</definedName>
    <definedName name="errmsg.OffsetErr" localSheetId="2">'RES_en-US'!$B$220</definedName>
    <definedName name="errmsg.OffsetErr" localSheetId="7">'RES_es-ES'!$B$220</definedName>
    <definedName name="errmsg.OffsetErr" localSheetId="8">'RES_fi-FI'!$B$220</definedName>
    <definedName name="errmsg.OffsetErr" localSheetId="1">'RES_fr-FR'!$B$220</definedName>
    <definedName name="errmsg.OffsetErr" localSheetId="9">'RES_hr-HR'!$B$220</definedName>
    <definedName name="errmsg.OffsetErr" localSheetId="10">'RES_hu-HU'!$B$220</definedName>
    <definedName name="errmsg.OffsetErr" localSheetId="11">'RES_it-IT'!$B$220</definedName>
    <definedName name="errmsg.OffsetErr" localSheetId="12">'RES_ja-JP'!$B$220</definedName>
    <definedName name="errmsg.OffsetErr" localSheetId="13">'RES_ko-KR'!$B$220</definedName>
    <definedName name="errmsg.OffsetErr" localSheetId="14">'RES_lv-LV'!$B$220</definedName>
    <definedName name="errmsg.OffsetErr" localSheetId="15">'RES_nb-NO'!$B$220</definedName>
    <definedName name="errmsg.OffsetErr" localSheetId="16">'RES_nl-NL'!$B$220</definedName>
    <definedName name="errmsg.OffsetErr" localSheetId="17">'RES_pl-PL'!$B$220</definedName>
    <definedName name="errmsg.OffsetErr" localSheetId="18">'RES_pt-BR'!$B$220</definedName>
    <definedName name="errmsg.OffsetErr" localSheetId="19">'RES_pt-PT'!$B$220</definedName>
    <definedName name="errmsg.OffsetErr" localSheetId="20">'RES_ro-RO'!$B$220</definedName>
    <definedName name="errmsg.OffsetErr" localSheetId="21">'RES_ru-RU'!$B$220</definedName>
    <definedName name="errmsg.OffsetErr" localSheetId="22">'RES_sl-SI'!$B$220</definedName>
    <definedName name="errmsg.OffsetErr" localSheetId="23">'RES_sv-SE'!$B$220</definedName>
    <definedName name="errmsg.OffsetErr" localSheetId="24">'RES_tr-TR'!$B$220</definedName>
    <definedName name="errmsg.OffsetErr" localSheetId="25">'RES_zh-CN'!$B$220</definedName>
    <definedName name="errmsg.OffsetErr" localSheetId="26">'RES_zh-TW'!$B$220</definedName>
    <definedName name="errmsg.OpenResrcErr" localSheetId="3">'RES_cs-CZ'!$B$221</definedName>
    <definedName name="errmsg.OpenResrcErr" localSheetId="4">'RES_da-DK'!$B$221</definedName>
    <definedName name="errmsg.OpenResrcErr" localSheetId="5">'RES_de-DE'!$B$221</definedName>
    <definedName name="errmsg.OpenResrcErr" localSheetId="6">'RES_el-GR'!$B$221</definedName>
    <definedName name="errmsg.OpenResrcErr" localSheetId="2">'RES_en-US'!$B$221</definedName>
    <definedName name="errmsg.OpenResrcErr" localSheetId="7">'RES_es-ES'!$B$221</definedName>
    <definedName name="errmsg.OpenResrcErr" localSheetId="8">'RES_fi-FI'!$B$221</definedName>
    <definedName name="errmsg.OpenResrcErr" localSheetId="1">'RES_fr-FR'!$B$221</definedName>
    <definedName name="errmsg.OpenResrcErr" localSheetId="9">'RES_hr-HR'!$B$221</definedName>
    <definedName name="errmsg.OpenResrcErr" localSheetId="10">'RES_hu-HU'!$B$221</definedName>
    <definedName name="errmsg.OpenResrcErr" localSheetId="11">'RES_it-IT'!$B$221</definedName>
    <definedName name="errmsg.OpenResrcErr" localSheetId="12">'RES_ja-JP'!$B$221</definedName>
    <definedName name="errmsg.OpenResrcErr" localSheetId="13">'RES_ko-KR'!$B$221</definedName>
    <definedName name="errmsg.OpenResrcErr" localSheetId="14">'RES_lv-LV'!$B$221</definedName>
    <definedName name="errmsg.OpenResrcErr" localSheetId="15">'RES_nb-NO'!$B$221</definedName>
    <definedName name="errmsg.OpenResrcErr" localSheetId="16">'RES_nl-NL'!$B$221</definedName>
    <definedName name="errmsg.OpenResrcErr" localSheetId="17">'RES_pl-PL'!$B$221</definedName>
    <definedName name="errmsg.OpenResrcErr" localSheetId="18">'RES_pt-BR'!$B$221</definedName>
    <definedName name="errmsg.OpenResrcErr" localSheetId="19">'RES_pt-PT'!$B$221</definedName>
    <definedName name="errmsg.OpenResrcErr" localSheetId="20">'RES_ro-RO'!$B$221</definedName>
    <definedName name="errmsg.OpenResrcErr" localSheetId="21">'RES_ru-RU'!$B$221</definedName>
    <definedName name="errmsg.OpenResrcErr" localSheetId="22">'RES_sl-SI'!$B$221</definedName>
    <definedName name="errmsg.OpenResrcErr" localSheetId="23">'RES_sv-SE'!$B$221</definedName>
    <definedName name="errmsg.OpenResrcErr" localSheetId="24">'RES_tr-TR'!$B$221</definedName>
    <definedName name="errmsg.OpenResrcErr" localSheetId="25">'RES_zh-CN'!$B$221</definedName>
    <definedName name="errmsg.OpenResrcErr" localSheetId="26">'RES_zh-TW'!$B$221</definedName>
    <definedName name="errmsg.OutOptErr" localSheetId="3">'RES_cs-CZ'!$B$222</definedName>
    <definedName name="errmsg.OutOptErr" localSheetId="4">'RES_da-DK'!$B$222</definedName>
    <definedName name="errmsg.OutOptErr" localSheetId="5">'RES_de-DE'!$B$222</definedName>
    <definedName name="errmsg.OutOptErr" localSheetId="6">'RES_el-GR'!$B$222</definedName>
    <definedName name="errmsg.OutOptErr" localSheetId="2">'RES_en-US'!$B$222</definedName>
    <definedName name="errmsg.OutOptErr" localSheetId="7">'RES_es-ES'!$B$222</definedName>
    <definedName name="errmsg.OutOptErr" localSheetId="8">'RES_fi-FI'!$B$222</definedName>
    <definedName name="errmsg.OutOptErr" localSheetId="1">'RES_fr-FR'!$B$222</definedName>
    <definedName name="errmsg.OutOptErr" localSheetId="9">'RES_hr-HR'!$B$222</definedName>
    <definedName name="errmsg.OutOptErr" localSheetId="10">'RES_hu-HU'!$B$222</definedName>
    <definedName name="errmsg.OutOptErr" localSheetId="11">'RES_it-IT'!$B$222</definedName>
    <definedName name="errmsg.OutOptErr" localSheetId="12">'RES_ja-JP'!$B$222</definedName>
    <definedName name="errmsg.OutOptErr" localSheetId="13">'RES_ko-KR'!$B$222</definedName>
    <definedName name="errmsg.OutOptErr" localSheetId="14">'RES_lv-LV'!$B$222</definedName>
    <definedName name="errmsg.OutOptErr" localSheetId="15">'RES_nb-NO'!$B$222</definedName>
    <definedName name="errmsg.OutOptErr" localSheetId="16">'RES_nl-NL'!$B$222</definedName>
    <definedName name="errmsg.OutOptErr" localSheetId="17">'RES_pl-PL'!$B$222</definedName>
    <definedName name="errmsg.OutOptErr" localSheetId="18">'RES_pt-BR'!$B$222</definedName>
    <definedName name="errmsg.OutOptErr" localSheetId="19">'RES_pt-PT'!$B$222</definedName>
    <definedName name="errmsg.OutOptErr" localSheetId="20">'RES_ro-RO'!$B$222</definedName>
    <definedName name="errmsg.OutOptErr" localSheetId="21">'RES_ru-RU'!$B$222</definedName>
    <definedName name="errmsg.OutOptErr" localSheetId="22">'RES_sl-SI'!$B$222</definedName>
    <definedName name="errmsg.OutOptErr" localSheetId="23">'RES_sv-SE'!$B$222</definedName>
    <definedName name="errmsg.OutOptErr" localSheetId="24">'RES_tr-TR'!$B$222</definedName>
    <definedName name="errmsg.OutOptErr" localSheetId="25">'RES_zh-CN'!$B$222</definedName>
    <definedName name="errmsg.OutOptErr" localSheetId="26">'RES_zh-TW'!$B$222</definedName>
    <definedName name="errmsg.OutRgMustBeRef" localSheetId="3">'RES_cs-CZ'!$B$223</definedName>
    <definedName name="errmsg.OutRgMustBeRef" localSheetId="4">'RES_da-DK'!$B$223</definedName>
    <definedName name="errmsg.OutRgMustBeRef" localSheetId="5">'RES_de-DE'!$B$223</definedName>
    <definedName name="errmsg.OutRgMustBeRef" localSheetId="6">'RES_el-GR'!$B$223</definedName>
    <definedName name="errmsg.OutRgMustBeRef" localSheetId="2">'RES_en-US'!$B$223</definedName>
    <definedName name="errmsg.OutRgMustBeRef" localSheetId="7">'RES_es-ES'!$B$223</definedName>
    <definedName name="errmsg.OutRgMustBeRef" localSheetId="8">'RES_fi-FI'!$B$223</definedName>
    <definedName name="errmsg.OutRgMustBeRef" localSheetId="1">'RES_fr-FR'!$B$223</definedName>
    <definedName name="errmsg.OutRgMustBeRef" localSheetId="9">'RES_hr-HR'!$B$223</definedName>
    <definedName name="errmsg.OutRgMustBeRef" localSheetId="10">'RES_hu-HU'!$B$223</definedName>
    <definedName name="errmsg.OutRgMustBeRef" localSheetId="11">'RES_it-IT'!$B$223</definedName>
    <definedName name="errmsg.OutRgMustBeRef" localSheetId="12">'RES_ja-JP'!$B$223</definedName>
    <definedName name="errmsg.OutRgMustBeRef" localSheetId="13">'RES_ko-KR'!$B$223</definedName>
    <definedName name="errmsg.OutRgMustBeRef" localSheetId="14">'RES_lv-LV'!$B$223</definedName>
    <definedName name="errmsg.OutRgMustBeRef" localSheetId="15">'RES_nb-NO'!$B$223</definedName>
    <definedName name="errmsg.OutRgMustBeRef" localSheetId="16">'RES_nl-NL'!$B$223</definedName>
    <definedName name="errmsg.OutRgMustBeRef" localSheetId="17">'RES_pl-PL'!$B$223</definedName>
    <definedName name="errmsg.OutRgMustBeRef" localSheetId="18">'RES_pt-BR'!$B$223</definedName>
    <definedName name="errmsg.OutRgMustBeRef" localSheetId="19">'RES_pt-PT'!$B$223</definedName>
    <definedName name="errmsg.OutRgMustBeRef" localSheetId="20">'RES_ro-RO'!$B$223</definedName>
    <definedName name="errmsg.OutRgMustBeRef" localSheetId="21">'RES_ru-RU'!$B$223</definedName>
    <definedName name="errmsg.OutRgMustBeRef" localSheetId="22">'RES_sl-SI'!$B$223</definedName>
    <definedName name="errmsg.OutRgMustBeRef" localSheetId="23">'RES_sv-SE'!$B$223</definedName>
    <definedName name="errmsg.OutRgMustBeRef" localSheetId="24">'RES_tr-TR'!$B$223</definedName>
    <definedName name="errmsg.OutRgMustBeRef" localSheetId="25">'RES_zh-CN'!$B$223</definedName>
    <definedName name="errmsg.OutRgMustBeRef" localSheetId="26">'RES_zh-TW'!$B$223</definedName>
    <definedName name="errmsg.OutRgRequired" localSheetId="3">'RES_cs-CZ'!$B$224</definedName>
    <definedName name="errmsg.OutRgRequired" localSheetId="4">'RES_da-DK'!$B$224</definedName>
    <definedName name="errmsg.OutRgRequired" localSheetId="5">'RES_de-DE'!$B$224</definedName>
    <definedName name="errmsg.OutRgRequired" localSheetId="6">'RES_el-GR'!$B$224</definedName>
    <definedName name="errmsg.OutRgRequired" localSheetId="2">'RES_en-US'!$B$224</definedName>
    <definedName name="errmsg.OutRgRequired" localSheetId="7">'RES_es-ES'!$B$224</definedName>
    <definedName name="errmsg.OutRgRequired" localSheetId="8">'RES_fi-FI'!$B$224</definedName>
    <definedName name="errmsg.OutRgRequired" localSheetId="1">'RES_fr-FR'!$B$224</definedName>
    <definedName name="errmsg.OutRgRequired" localSheetId="9">'RES_hr-HR'!$B$224</definedName>
    <definedName name="errmsg.OutRgRequired" localSheetId="10">'RES_hu-HU'!$B$224</definedName>
    <definedName name="errmsg.OutRgRequired" localSheetId="11">'RES_it-IT'!$B$224</definedName>
    <definedName name="errmsg.OutRgRequired" localSheetId="12">'RES_ja-JP'!$B$224</definedName>
    <definedName name="errmsg.OutRgRequired" localSheetId="13">'RES_ko-KR'!$B$224</definedName>
    <definedName name="errmsg.OutRgRequired" localSheetId="14">'RES_lv-LV'!$B$224</definedName>
    <definedName name="errmsg.OutRgRequired" localSheetId="15">'RES_nb-NO'!$B$224</definedName>
    <definedName name="errmsg.OutRgRequired" localSheetId="16">'RES_nl-NL'!$B$224</definedName>
    <definedName name="errmsg.OutRgRequired" localSheetId="17">'RES_pl-PL'!$B$224</definedName>
    <definedName name="errmsg.OutRgRequired" localSheetId="18">'RES_pt-BR'!$B$224</definedName>
    <definedName name="errmsg.OutRgRequired" localSheetId="19">'RES_pt-PT'!$B$224</definedName>
    <definedName name="errmsg.OutRgRequired" localSheetId="20">'RES_ro-RO'!$B$224</definedName>
    <definedName name="errmsg.OutRgRequired" localSheetId="21">'RES_ru-RU'!$B$224</definedName>
    <definedName name="errmsg.OutRgRequired" localSheetId="22">'RES_sl-SI'!$B$224</definedName>
    <definedName name="errmsg.OutRgRequired" localSheetId="23">'RES_sv-SE'!$B$224</definedName>
    <definedName name="errmsg.OutRgRequired" localSheetId="24">'RES_tr-TR'!$B$224</definedName>
    <definedName name="errmsg.OutRgRequired" localSheetId="25">'RES_zh-CN'!$B$224</definedName>
    <definedName name="errmsg.OutRgRequired" localSheetId="26">'RES_zh-TW'!$B$224</definedName>
    <definedName name="errmsg.OverEdgeErr" localSheetId="3">'RES_cs-CZ'!$B$225</definedName>
    <definedName name="errmsg.OverEdgeErr" localSheetId="4">'RES_da-DK'!$B$225</definedName>
    <definedName name="errmsg.OverEdgeErr" localSheetId="5">'RES_de-DE'!$B$225</definedName>
    <definedName name="errmsg.OverEdgeErr" localSheetId="6">'RES_el-GR'!$B$225</definedName>
    <definedName name="errmsg.OverEdgeErr" localSheetId="2">'RES_en-US'!$B$225</definedName>
    <definedName name="errmsg.OverEdgeErr" localSheetId="7">'RES_es-ES'!$B$225</definedName>
    <definedName name="errmsg.OverEdgeErr" localSheetId="8">'RES_fi-FI'!$B$225</definedName>
    <definedName name="errmsg.OverEdgeErr" localSheetId="1">'RES_fr-FR'!$B$225</definedName>
    <definedName name="errmsg.OverEdgeErr" localSheetId="9">'RES_hr-HR'!$B$225</definedName>
    <definedName name="errmsg.OverEdgeErr" localSheetId="10">'RES_hu-HU'!$B$225</definedName>
    <definedName name="errmsg.OverEdgeErr" localSheetId="11">'RES_it-IT'!$B$225</definedName>
    <definedName name="errmsg.OverEdgeErr" localSheetId="12">'RES_ja-JP'!$B$225</definedName>
    <definedName name="errmsg.OverEdgeErr" localSheetId="13">'RES_ko-KR'!$B$225</definedName>
    <definedName name="errmsg.OverEdgeErr" localSheetId="14">'RES_lv-LV'!$B$225</definedName>
    <definedName name="errmsg.OverEdgeErr" localSheetId="15">'RES_nb-NO'!$B$225</definedName>
    <definedName name="errmsg.OverEdgeErr" localSheetId="16">'RES_nl-NL'!$B$225</definedName>
    <definedName name="errmsg.OverEdgeErr" localSheetId="17">'RES_pl-PL'!$B$225</definedName>
    <definedName name="errmsg.OverEdgeErr" localSheetId="18">'RES_pt-BR'!$B$225</definedName>
    <definedName name="errmsg.OverEdgeErr" localSheetId="19">'RES_pt-PT'!$B$225</definedName>
    <definedName name="errmsg.OverEdgeErr" localSheetId="20">'RES_ro-RO'!$B$225</definedName>
    <definedName name="errmsg.OverEdgeErr" localSheetId="21">'RES_ru-RU'!$B$225</definedName>
    <definedName name="errmsg.OverEdgeErr" localSheetId="22">'RES_sl-SI'!$B$225</definedName>
    <definedName name="errmsg.OverEdgeErr" localSheetId="23">'RES_sv-SE'!$B$225</definedName>
    <definedName name="errmsg.OverEdgeErr" localSheetId="24">'RES_tr-TR'!$B$225</definedName>
    <definedName name="errmsg.OverEdgeErr" localSheetId="25">'RES_zh-CN'!$B$225</definedName>
    <definedName name="errmsg.OverEdgeErr" localSheetId="26">'RES_zh-TW'!$B$225</definedName>
    <definedName name="errmsg.Overwrite" localSheetId="3">'RES_cs-CZ'!$B$226</definedName>
    <definedName name="errmsg.Overwrite" localSheetId="4">'RES_da-DK'!$B$226</definedName>
    <definedName name="errmsg.Overwrite" localSheetId="5">'RES_de-DE'!$B$226</definedName>
    <definedName name="errmsg.Overwrite" localSheetId="6">'RES_el-GR'!$B$226</definedName>
    <definedName name="errmsg.Overwrite" localSheetId="2">'RES_en-US'!$B$226</definedName>
    <definedName name="errmsg.Overwrite" localSheetId="7">'RES_es-ES'!$B$226</definedName>
    <definedName name="errmsg.Overwrite" localSheetId="8">'RES_fi-FI'!$B$226</definedName>
    <definedName name="errmsg.Overwrite" localSheetId="1">'RES_fr-FR'!$B$226</definedName>
    <definedName name="errmsg.Overwrite" localSheetId="9">'RES_hr-HR'!$B$226</definedName>
    <definedName name="errmsg.Overwrite" localSheetId="10">'RES_hu-HU'!$B$226</definedName>
    <definedName name="errmsg.Overwrite" localSheetId="11">'RES_it-IT'!$B$226</definedName>
    <definedName name="errmsg.Overwrite" localSheetId="12">'RES_ja-JP'!$B$226</definedName>
    <definedName name="errmsg.Overwrite" localSheetId="13">'RES_ko-KR'!$B$226</definedName>
    <definedName name="errmsg.Overwrite" localSheetId="14">'RES_lv-LV'!$B$226</definedName>
    <definedName name="errmsg.Overwrite" localSheetId="15">'RES_nb-NO'!$B$226</definedName>
    <definedName name="errmsg.Overwrite" localSheetId="16">'RES_nl-NL'!$B$226</definedName>
    <definedName name="errmsg.Overwrite" localSheetId="17">'RES_pl-PL'!$B$226</definedName>
    <definedName name="errmsg.Overwrite" localSheetId="18">'RES_pt-BR'!$B$226</definedName>
    <definedName name="errmsg.Overwrite" localSheetId="19">'RES_pt-PT'!$B$226</definedName>
    <definedName name="errmsg.Overwrite" localSheetId="20">'RES_ro-RO'!$B$226</definedName>
    <definedName name="errmsg.Overwrite" localSheetId="21">'RES_ru-RU'!$B$226</definedName>
    <definedName name="errmsg.Overwrite" localSheetId="22">'RES_sl-SI'!$B$226</definedName>
    <definedName name="errmsg.Overwrite" localSheetId="23">'RES_sv-SE'!$B$226</definedName>
    <definedName name="errmsg.Overwrite" localSheetId="24">'RES_tr-TR'!$B$226</definedName>
    <definedName name="errmsg.Overwrite" localSheetId="25">'RES_zh-CN'!$B$226</definedName>
    <definedName name="errmsg.Overwrite" localSheetId="26">'RES_zh-TW'!$B$226</definedName>
    <definedName name="errmsg.PatternedComb" localSheetId="3">'RES_cs-CZ'!$B$227</definedName>
    <definedName name="errmsg.PatternedComb" localSheetId="4">'RES_da-DK'!$B$227</definedName>
    <definedName name="errmsg.PatternedComb" localSheetId="5">'RES_de-DE'!$B$227</definedName>
    <definedName name="errmsg.PatternedComb" localSheetId="6">'RES_el-GR'!$B$227</definedName>
    <definedName name="errmsg.PatternedComb" localSheetId="2">'RES_en-US'!$B$227</definedName>
    <definedName name="errmsg.PatternedComb" localSheetId="7">'RES_es-ES'!$B$227</definedName>
    <definedName name="errmsg.PatternedComb" localSheetId="8">'RES_fi-FI'!$B$227</definedName>
    <definedName name="errmsg.PatternedComb" localSheetId="1">'RES_fr-FR'!$B$227</definedName>
    <definedName name="errmsg.PatternedComb" localSheetId="9">'RES_hr-HR'!$B$227</definedName>
    <definedName name="errmsg.PatternedComb" localSheetId="10">'RES_hu-HU'!$B$227</definedName>
    <definedName name="errmsg.PatternedComb" localSheetId="11">'RES_it-IT'!$B$227</definedName>
    <definedName name="errmsg.PatternedComb" localSheetId="12">'RES_ja-JP'!$B$227</definedName>
    <definedName name="errmsg.PatternedComb" localSheetId="13">'RES_ko-KR'!$B$227</definedName>
    <definedName name="errmsg.PatternedComb" localSheetId="14">'RES_lv-LV'!$B$227</definedName>
    <definedName name="errmsg.PatternedComb" localSheetId="15">'RES_nb-NO'!$B$227</definedName>
    <definedName name="errmsg.PatternedComb" localSheetId="16">'RES_nl-NL'!$B$227</definedName>
    <definedName name="errmsg.PatternedComb" localSheetId="17">'RES_pl-PL'!$B$227</definedName>
    <definedName name="errmsg.PatternedComb" localSheetId="18">'RES_pt-BR'!$B$227</definedName>
    <definedName name="errmsg.PatternedComb" localSheetId="19">'RES_pt-PT'!$B$227</definedName>
    <definedName name="errmsg.PatternedComb" localSheetId="20">'RES_ro-RO'!$B$227</definedName>
    <definedName name="errmsg.PatternedComb" localSheetId="21">'RES_ru-RU'!$B$227</definedName>
    <definedName name="errmsg.PatternedComb" localSheetId="22">'RES_sl-SI'!$B$227</definedName>
    <definedName name="errmsg.PatternedComb" localSheetId="23">'RES_sv-SE'!$B$227</definedName>
    <definedName name="errmsg.PatternedComb" localSheetId="24">'RES_tr-TR'!$B$227</definedName>
    <definedName name="errmsg.PatternedComb" localSheetId="25">'RES_zh-CN'!$B$227</definedName>
    <definedName name="errmsg.PatternedComb" localSheetId="26">'RES_zh-TW'!$B$227</definedName>
    <definedName name="errmsg.PatternedFrErr" localSheetId="3">'RES_cs-CZ'!$B$228</definedName>
    <definedName name="errmsg.PatternedFrErr" localSheetId="4">'RES_da-DK'!$B$228</definedName>
    <definedName name="errmsg.PatternedFrErr" localSheetId="5">'RES_de-DE'!$B$228</definedName>
    <definedName name="errmsg.PatternedFrErr" localSheetId="6">'RES_el-GR'!$B$228</definedName>
    <definedName name="errmsg.PatternedFrErr" localSheetId="2">'RES_en-US'!$B$228</definedName>
    <definedName name="errmsg.PatternedFrErr" localSheetId="7">'RES_es-ES'!$B$228</definedName>
    <definedName name="errmsg.PatternedFrErr" localSheetId="8">'RES_fi-FI'!$B$228</definedName>
    <definedName name="errmsg.PatternedFrErr" localSheetId="1">'RES_fr-FR'!$B$228</definedName>
    <definedName name="errmsg.PatternedFrErr" localSheetId="9">'RES_hr-HR'!$B$228</definedName>
    <definedName name="errmsg.PatternedFrErr" localSheetId="10">'RES_hu-HU'!$B$228</definedName>
    <definedName name="errmsg.PatternedFrErr" localSheetId="11">'RES_it-IT'!$B$228</definedName>
    <definedName name="errmsg.PatternedFrErr" localSheetId="12">'RES_ja-JP'!$B$228</definedName>
    <definedName name="errmsg.PatternedFrErr" localSheetId="13">'RES_ko-KR'!$B$228</definedName>
    <definedName name="errmsg.PatternedFrErr" localSheetId="14">'RES_lv-LV'!$B$228</definedName>
    <definedName name="errmsg.PatternedFrErr" localSheetId="15">'RES_nb-NO'!$B$228</definedName>
    <definedName name="errmsg.PatternedFrErr" localSheetId="16">'RES_nl-NL'!$B$228</definedName>
    <definedName name="errmsg.PatternedFrErr" localSheetId="17">'RES_pl-PL'!$B$228</definedName>
    <definedName name="errmsg.PatternedFrErr" localSheetId="18">'RES_pt-BR'!$B$228</definedName>
    <definedName name="errmsg.PatternedFrErr" localSheetId="19">'RES_pt-PT'!$B$228</definedName>
    <definedName name="errmsg.PatternedFrErr" localSheetId="20">'RES_ro-RO'!$B$228</definedName>
    <definedName name="errmsg.PatternedFrErr" localSheetId="21">'RES_ru-RU'!$B$228</definedName>
    <definedName name="errmsg.PatternedFrErr" localSheetId="22">'RES_sl-SI'!$B$228</definedName>
    <definedName name="errmsg.PatternedFrErr" localSheetId="23">'RES_sv-SE'!$B$228</definedName>
    <definedName name="errmsg.PatternedFrErr" localSheetId="24">'RES_tr-TR'!$B$228</definedName>
    <definedName name="errmsg.PatternedFrErr" localSheetId="25">'RES_zh-CN'!$B$228</definedName>
    <definedName name="errmsg.PatternedFrErr" localSheetId="26">'RES_zh-TW'!$B$228</definedName>
    <definedName name="errmsg.PatternedRepNumErr" localSheetId="3">'RES_cs-CZ'!$B$231</definedName>
    <definedName name="errmsg.PatternedRepNumErr" localSheetId="4">'RES_da-DK'!$B$231</definedName>
    <definedName name="errmsg.PatternedRepNumErr" localSheetId="5">'RES_de-DE'!$B$231</definedName>
    <definedName name="errmsg.PatternedRepNumErr" localSheetId="6">'RES_el-GR'!$B$231</definedName>
    <definedName name="errmsg.PatternedRepNumErr" localSheetId="2">'RES_en-US'!$B$231</definedName>
    <definedName name="errmsg.PatternedRepNumErr" localSheetId="7">'RES_es-ES'!$B$231</definedName>
    <definedName name="errmsg.PatternedRepNumErr" localSheetId="8">'RES_fi-FI'!$B$231</definedName>
    <definedName name="errmsg.PatternedRepNumErr" localSheetId="1">'RES_fr-FR'!$B$231</definedName>
    <definedName name="errmsg.PatternedRepNumErr" localSheetId="9">'RES_hr-HR'!$B$231</definedName>
    <definedName name="errmsg.PatternedRepNumErr" localSheetId="10">'RES_hu-HU'!$B$231</definedName>
    <definedName name="errmsg.PatternedRepNumErr" localSheetId="11">'RES_it-IT'!$B$231</definedName>
    <definedName name="errmsg.PatternedRepNumErr" localSheetId="12">'RES_ja-JP'!$B$231</definedName>
    <definedName name="errmsg.PatternedRepNumErr" localSheetId="13">'RES_ko-KR'!$B$231</definedName>
    <definedName name="errmsg.PatternedRepNumErr" localSheetId="14">'RES_lv-LV'!$B$231</definedName>
    <definedName name="errmsg.PatternedRepNumErr" localSheetId="15">'RES_nb-NO'!$B$231</definedName>
    <definedName name="errmsg.PatternedRepNumErr" localSheetId="16">'RES_nl-NL'!$B$231</definedName>
    <definedName name="errmsg.PatternedRepNumErr" localSheetId="17">'RES_pl-PL'!$B$231</definedName>
    <definedName name="errmsg.PatternedRepNumErr" localSheetId="18">'RES_pt-BR'!$B$231</definedName>
    <definedName name="errmsg.PatternedRepNumErr" localSheetId="19">'RES_pt-PT'!$B$231</definedName>
    <definedName name="errmsg.PatternedRepNumErr" localSheetId="20">'RES_ro-RO'!$B$231</definedName>
    <definedName name="errmsg.PatternedRepNumErr" localSheetId="21">'RES_ru-RU'!$B$231</definedName>
    <definedName name="errmsg.PatternedRepNumErr" localSheetId="22">'RES_sl-SI'!$B$231</definedName>
    <definedName name="errmsg.PatternedRepNumErr" localSheetId="23">'RES_sv-SE'!$B$231</definedName>
    <definedName name="errmsg.PatternedRepNumErr" localSheetId="24">'RES_tr-TR'!$B$231</definedName>
    <definedName name="errmsg.PatternedRepNumErr" localSheetId="25">'RES_zh-CN'!$B$231</definedName>
    <definedName name="errmsg.PatternedRepNumErr" localSheetId="26">'RES_zh-TW'!$B$231</definedName>
    <definedName name="errmsg.PatternedRepSeqErr" localSheetId="3">'RES_cs-CZ'!$B$232</definedName>
    <definedName name="errmsg.PatternedRepSeqErr" localSheetId="4">'RES_da-DK'!$B$232</definedName>
    <definedName name="errmsg.PatternedRepSeqErr" localSheetId="5">'RES_de-DE'!$B$232</definedName>
    <definedName name="errmsg.PatternedRepSeqErr" localSheetId="6">'RES_el-GR'!$B$232</definedName>
    <definedName name="errmsg.PatternedRepSeqErr" localSheetId="2">'RES_en-US'!$B$232</definedName>
    <definedName name="errmsg.PatternedRepSeqErr" localSheetId="7">'RES_es-ES'!$B$232</definedName>
    <definedName name="errmsg.PatternedRepSeqErr" localSheetId="8">'RES_fi-FI'!$B$232</definedName>
    <definedName name="errmsg.PatternedRepSeqErr" localSheetId="1">'RES_fr-FR'!$B$232</definedName>
    <definedName name="errmsg.PatternedRepSeqErr" localSheetId="9">'RES_hr-HR'!$B$232</definedName>
    <definedName name="errmsg.PatternedRepSeqErr" localSheetId="10">'RES_hu-HU'!$B$232</definedName>
    <definedName name="errmsg.PatternedRepSeqErr" localSheetId="11">'RES_it-IT'!$B$232</definedName>
    <definedName name="errmsg.PatternedRepSeqErr" localSheetId="12">'RES_ja-JP'!$B$232</definedName>
    <definedName name="errmsg.PatternedRepSeqErr" localSheetId="13">'RES_ko-KR'!$B$232</definedName>
    <definedName name="errmsg.PatternedRepSeqErr" localSheetId="14">'RES_lv-LV'!$B$232</definedName>
    <definedName name="errmsg.PatternedRepSeqErr" localSheetId="15">'RES_nb-NO'!$B$232</definedName>
    <definedName name="errmsg.PatternedRepSeqErr" localSheetId="16">'RES_nl-NL'!$B$232</definedName>
    <definedName name="errmsg.PatternedRepSeqErr" localSheetId="17">'RES_pl-PL'!$B$232</definedName>
    <definedName name="errmsg.PatternedRepSeqErr" localSheetId="18">'RES_pt-BR'!$B$232</definedName>
    <definedName name="errmsg.PatternedRepSeqErr" localSheetId="19">'RES_pt-PT'!$B$232</definedName>
    <definedName name="errmsg.PatternedRepSeqErr" localSheetId="20">'RES_ro-RO'!$B$232</definedName>
    <definedName name="errmsg.PatternedRepSeqErr" localSheetId="21">'RES_ru-RU'!$B$232</definedName>
    <definedName name="errmsg.PatternedRepSeqErr" localSheetId="22">'RES_sl-SI'!$B$232</definedName>
    <definedName name="errmsg.PatternedRepSeqErr" localSheetId="23">'RES_sv-SE'!$B$232</definedName>
    <definedName name="errmsg.PatternedRepSeqErr" localSheetId="24">'RES_tr-TR'!$B$232</definedName>
    <definedName name="errmsg.PatternedRepSeqErr" localSheetId="25">'RES_zh-CN'!$B$232</definedName>
    <definedName name="errmsg.PatternedRepSeqErr" localSheetId="26">'RES_zh-TW'!$B$232</definedName>
    <definedName name="errmsg.PatternedStepErr" localSheetId="3">'RES_cs-CZ'!$B$229</definedName>
    <definedName name="errmsg.PatternedStepErr" localSheetId="4">'RES_da-DK'!$B$229</definedName>
    <definedName name="errmsg.PatternedStepErr" localSheetId="5">'RES_de-DE'!$B$229</definedName>
    <definedName name="errmsg.PatternedStepErr" localSheetId="6">'RES_el-GR'!$B$229</definedName>
    <definedName name="errmsg.PatternedStepErr" localSheetId="2">'RES_en-US'!$B$229</definedName>
    <definedName name="errmsg.PatternedStepErr" localSheetId="7">'RES_es-ES'!$B$229</definedName>
    <definedName name="errmsg.PatternedStepErr" localSheetId="8">'RES_fi-FI'!$B$229</definedName>
    <definedName name="errmsg.PatternedStepErr" localSheetId="1">'RES_fr-FR'!$B$229</definedName>
    <definedName name="errmsg.PatternedStepErr" localSheetId="9">'RES_hr-HR'!$B$229</definedName>
    <definedName name="errmsg.PatternedStepErr" localSheetId="10">'RES_hu-HU'!$B$229</definedName>
    <definedName name="errmsg.PatternedStepErr" localSheetId="11">'RES_it-IT'!$B$229</definedName>
    <definedName name="errmsg.PatternedStepErr" localSheetId="12">'RES_ja-JP'!$B$229</definedName>
    <definedName name="errmsg.PatternedStepErr" localSheetId="13">'RES_ko-KR'!$B$229</definedName>
    <definedName name="errmsg.PatternedStepErr" localSheetId="14">'RES_lv-LV'!$B$229</definedName>
    <definedName name="errmsg.PatternedStepErr" localSheetId="15">'RES_nb-NO'!$B$229</definedName>
    <definedName name="errmsg.PatternedStepErr" localSheetId="16">'RES_nl-NL'!$B$229</definedName>
    <definedName name="errmsg.PatternedStepErr" localSheetId="17">'RES_pl-PL'!$B$229</definedName>
    <definedName name="errmsg.PatternedStepErr" localSheetId="18">'RES_pt-BR'!$B$229</definedName>
    <definedName name="errmsg.PatternedStepErr" localSheetId="19">'RES_pt-PT'!$B$229</definedName>
    <definedName name="errmsg.PatternedStepErr" localSheetId="20">'RES_ro-RO'!$B$229</definedName>
    <definedName name="errmsg.PatternedStepErr" localSheetId="21">'RES_ru-RU'!$B$229</definedName>
    <definedName name="errmsg.PatternedStepErr" localSheetId="22">'RES_sl-SI'!$B$229</definedName>
    <definedName name="errmsg.PatternedStepErr" localSheetId="23">'RES_sv-SE'!$B$229</definedName>
    <definedName name="errmsg.PatternedStepErr" localSheetId="24">'RES_tr-TR'!$B$229</definedName>
    <definedName name="errmsg.PatternedStepErr" localSheetId="25">'RES_zh-CN'!$B$229</definedName>
    <definedName name="errmsg.PatternedStepErr" localSheetId="26">'RES_zh-TW'!$B$229</definedName>
    <definedName name="errmsg.PatternedToErr" localSheetId="3">'RES_cs-CZ'!$B$230</definedName>
    <definedName name="errmsg.PatternedToErr" localSheetId="4">'RES_da-DK'!$B$230</definedName>
    <definedName name="errmsg.PatternedToErr" localSheetId="5">'RES_de-DE'!$B$230</definedName>
    <definedName name="errmsg.PatternedToErr" localSheetId="6">'RES_el-GR'!$B$230</definedName>
    <definedName name="errmsg.PatternedToErr" localSheetId="2">'RES_en-US'!$B$230</definedName>
    <definedName name="errmsg.PatternedToErr" localSheetId="7">'RES_es-ES'!$B$230</definedName>
    <definedName name="errmsg.PatternedToErr" localSheetId="8">'RES_fi-FI'!$B$230</definedName>
    <definedName name="errmsg.PatternedToErr" localSheetId="1">'RES_fr-FR'!$B$230</definedName>
    <definedName name="errmsg.PatternedToErr" localSheetId="9">'RES_hr-HR'!$B$230</definedName>
    <definedName name="errmsg.PatternedToErr" localSheetId="10">'RES_hu-HU'!$B$230</definedName>
    <definedName name="errmsg.PatternedToErr" localSheetId="11">'RES_it-IT'!$B$230</definedName>
    <definedName name="errmsg.PatternedToErr" localSheetId="12">'RES_ja-JP'!$B$230</definedName>
    <definedName name="errmsg.PatternedToErr" localSheetId="13">'RES_ko-KR'!$B$230</definedName>
    <definedName name="errmsg.PatternedToErr" localSheetId="14">'RES_lv-LV'!$B$230</definedName>
    <definedName name="errmsg.PatternedToErr" localSheetId="15">'RES_nb-NO'!$B$230</definedName>
    <definedName name="errmsg.PatternedToErr" localSheetId="16">'RES_nl-NL'!$B$230</definedName>
    <definedName name="errmsg.PatternedToErr" localSheetId="17">'RES_pl-PL'!$B$230</definedName>
    <definedName name="errmsg.PatternedToErr" localSheetId="18">'RES_pt-BR'!$B$230</definedName>
    <definedName name="errmsg.PatternedToErr" localSheetId="19">'RES_pt-PT'!$B$230</definedName>
    <definedName name="errmsg.PatternedToErr" localSheetId="20">'RES_ro-RO'!$B$230</definedName>
    <definedName name="errmsg.PatternedToErr" localSheetId="21">'RES_ru-RU'!$B$230</definedName>
    <definedName name="errmsg.PatternedToErr" localSheetId="22">'RES_sl-SI'!$B$230</definedName>
    <definedName name="errmsg.PatternedToErr" localSheetId="23">'RES_sv-SE'!$B$230</definedName>
    <definedName name="errmsg.PatternedToErr" localSheetId="24">'RES_tr-TR'!$B$230</definedName>
    <definedName name="errmsg.PatternedToErr" localSheetId="25">'RES_zh-CN'!$B$230</definedName>
    <definedName name="errmsg.PatternedToErr" localSheetId="26">'RES_zh-TW'!$B$230</definedName>
    <definedName name="errmsg.PeriodInvalid" localSheetId="3">'RES_cs-CZ'!$B$233</definedName>
    <definedName name="errmsg.PeriodInvalid" localSheetId="4">'RES_da-DK'!$B$233</definedName>
    <definedName name="errmsg.PeriodInvalid" localSheetId="5">'RES_de-DE'!$B$233</definedName>
    <definedName name="errmsg.PeriodInvalid" localSheetId="6">'RES_el-GR'!$B$233</definedName>
    <definedName name="errmsg.PeriodInvalid" localSheetId="2">'RES_en-US'!$B$233</definedName>
    <definedName name="errmsg.PeriodInvalid" localSheetId="7">'RES_es-ES'!$B$233</definedName>
    <definedName name="errmsg.PeriodInvalid" localSheetId="8">'RES_fi-FI'!$B$233</definedName>
    <definedName name="errmsg.PeriodInvalid" localSheetId="1">'RES_fr-FR'!$B$233</definedName>
    <definedName name="errmsg.PeriodInvalid" localSheetId="9">'RES_hr-HR'!$B$233</definedName>
    <definedName name="errmsg.PeriodInvalid" localSheetId="10">'RES_hu-HU'!$B$233</definedName>
    <definedName name="errmsg.PeriodInvalid" localSheetId="11">'RES_it-IT'!$B$233</definedName>
    <definedName name="errmsg.PeriodInvalid" localSheetId="12">'RES_ja-JP'!$B$233</definedName>
    <definedName name="errmsg.PeriodInvalid" localSheetId="13">'RES_ko-KR'!$B$233</definedName>
    <definedName name="errmsg.PeriodInvalid" localSheetId="14">'RES_lv-LV'!$B$233</definedName>
    <definedName name="errmsg.PeriodInvalid" localSheetId="15">'RES_nb-NO'!$B$233</definedName>
    <definedName name="errmsg.PeriodInvalid" localSheetId="16">'RES_nl-NL'!$B$233</definedName>
    <definedName name="errmsg.PeriodInvalid" localSheetId="17">'RES_pl-PL'!$B$233</definedName>
    <definedName name="errmsg.PeriodInvalid" localSheetId="18">'RES_pt-BR'!$B$233</definedName>
    <definedName name="errmsg.PeriodInvalid" localSheetId="19">'RES_pt-PT'!$B$233</definedName>
    <definedName name="errmsg.PeriodInvalid" localSheetId="20">'RES_ro-RO'!$B$233</definedName>
    <definedName name="errmsg.PeriodInvalid" localSheetId="21">'RES_ru-RU'!$B$233</definedName>
    <definedName name="errmsg.PeriodInvalid" localSheetId="22">'RES_sl-SI'!$B$233</definedName>
    <definedName name="errmsg.PeriodInvalid" localSheetId="23">'RES_sv-SE'!$B$233</definedName>
    <definedName name="errmsg.PeriodInvalid" localSheetId="24">'RES_tr-TR'!$B$233</definedName>
    <definedName name="errmsg.PeriodInvalid" localSheetId="25">'RES_zh-CN'!$B$233</definedName>
    <definedName name="errmsg.PeriodInvalid" localSheetId="26">'RES_zh-TW'!$B$233</definedName>
    <definedName name="errmsg.PeriodReq" localSheetId="3">'RES_cs-CZ'!$B$234</definedName>
    <definedName name="errmsg.PeriodReq" localSheetId="4">'RES_da-DK'!$B$234</definedName>
    <definedName name="errmsg.PeriodReq" localSheetId="5">'RES_de-DE'!$B$234</definedName>
    <definedName name="errmsg.PeriodReq" localSheetId="6">'RES_el-GR'!$B$234</definedName>
    <definedName name="errmsg.PeriodReq" localSheetId="2">'RES_en-US'!$B$234</definedName>
    <definedName name="errmsg.PeriodReq" localSheetId="7">'RES_es-ES'!$B$234</definedName>
    <definedName name="errmsg.PeriodReq" localSheetId="8">'RES_fi-FI'!$B$234</definedName>
    <definedName name="errmsg.PeriodReq" localSheetId="1">'RES_fr-FR'!$B$234</definedName>
    <definedName name="errmsg.PeriodReq" localSheetId="9">'RES_hr-HR'!$B$234</definedName>
    <definedName name="errmsg.PeriodReq" localSheetId="10">'RES_hu-HU'!$B$234</definedName>
    <definedName name="errmsg.PeriodReq" localSheetId="11">'RES_it-IT'!$B$234</definedName>
    <definedName name="errmsg.PeriodReq" localSheetId="12">'RES_ja-JP'!$B$234</definedName>
    <definedName name="errmsg.PeriodReq" localSheetId="13">'RES_ko-KR'!$B$234</definedName>
    <definedName name="errmsg.PeriodReq" localSheetId="14">'RES_lv-LV'!$B$234</definedName>
    <definedName name="errmsg.PeriodReq" localSheetId="15">'RES_nb-NO'!$B$234</definedName>
    <definedName name="errmsg.PeriodReq" localSheetId="16">'RES_nl-NL'!$B$234</definedName>
    <definedName name="errmsg.PeriodReq" localSheetId="17">'RES_pl-PL'!$B$234</definedName>
    <definedName name="errmsg.PeriodReq" localSheetId="18">'RES_pt-BR'!$B$234</definedName>
    <definedName name="errmsg.PeriodReq" localSheetId="19">'RES_pt-PT'!$B$234</definedName>
    <definedName name="errmsg.PeriodReq" localSheetId="20">'RES_ro-RO'!$B$234</definedName>
    <definedName name="errmsg.PeriodReq" localSheetId="21">'RES_ru-RU'!$B$234</definedName>
    <definedName name="errmsg.PeriodReq" localSheetId="22">'RES_sl-SI'!$B$234</definedName>
    <definedName name="errmsg.PeriodReq" localSheetId="23">'RES_sv-SE'!$B$234</definedName>
    <definedName name="errmsg.PeriodReq" localSheetId="24">'RES_tr-TR'!$B$234</definedName>
    <definedName name="errmsg.PeriodReq" localSheetId="25">'RES_zh-CN'!$B$234</definedName>
    <definedName name="errmsg.PeriodReq" localSheetId="26">'RES_zh-TW'!$B$234</definedName>
    <definedName name="errmsg.PeriodTooBig" localSheetId="3">'RES_cs-CZ'!$B$235</definedName>
    <definedName name="errmsg.PeriodTooBig" localSheetId="4">'RES_da-DK'!$B$235</definedName>
    <definedName name="errmsg.PeriodTooBig" localSheetId="5">'RES_de-DE'!$B$235</definedName>
    <definedName name="errmsg.PeriodTooBig" localSheetId="6">'RES_el-GR'!$B$235</definedName>
    <definedName name="errmsg.PeriodTooBig" localSheetId="2">'RES_en-US'!$B$235</definedName>
    <definedName name="errmsg.PeriodTooBig" localSheetId="7">'RES_es-ES'!$B$235</definedName>
    <definedName name="errmsg.PeriodTooBig" localSheetId="8">'RES_fi-FI'!$B$235</definedName>
    <definedName name="errmsg.PeriodTooBig" localSheetId="1">'RES_fr-FR'!$B$235</definedName>
    <definedName name="errmsg.PeriodTooBig" localSheetId="9">'RES_hr-HR'!$B$235</definedName>
    <definedName name="errmsg.PeriodTooBig" localSheetId="10">'RES_hu-HU'!$B$235</definedName>
    <definedName name="errmsg.PeriodTooBig" localSheetId="11">'RES_it-IT'!$B$235</definedName>
    <definedName name="errmsg.PeriodTooBig" localSheetId="12">'RES_ja-JP'!$B$235</definedName>
    <definedName name="errmsg.PeriodTooBig" localSheetId="13">'RES_ko-KR'!$B$235</definedName>
    <definedName name="errmsg.PeriodTooBig" localSheetId="14">'RES_lv-LV'!$B$235</definedName>
    <definedName name="errmsg.PeriodTooBig" localSheetId="15">'RES_nb-NO'!$B$235</definedName>
    <definedName name="errmsg.PeriodTooBig" localSheetId="16">'RES_nl-NL'!$B$235</definedName>
    <definedName name="errmsg.PeriodTooBig" localSheetId="17">'RES_pl-PL'!$B$235</definedName>
    <definedName name="errmsg.PeriodTooBig" localSheetId="18">'RES_pt-BR'!$B$235</definedName>
    <definedName name="errmsg.PeriodTooBig" localSheetId="19">'RES_pt-PT'!$B$235</definedName>
    <definedName name="errmsg.PeriodTooBig" localSheetId="20">'RES_ro-RO'!$B$235</definedName>
    <definedName name="errmsg.PeriodTooBig" localSheetId="21">'RES_ru-RU'!$B$235</definedName>
    <definedName name="errmsg.PeriodTooBig" localSheetId="22">'RES_sl-SI'!$B$235</definedName>
    <definedName name="errmsg.PeriodTooBig" localSheetId="23">'RES_sv-SE'!$B$235</definedName>
    <definedName name="errmsg.PeriodTooBig" localSheetId="24">'RES_tr-TR'!$B$235</definedName>
    <definedName name="errmsg.PeriodTooBig" localSheetId="25">'RES_zh-CN'!$B$235</definedName>
    <definedName name="errmsg.PeriodTooBig" localSheetId="26">'RES_zh-TW'!$B$235</definedName>
    <definedName name="errmsg.PoissonLamdaErr" localSheetId="3">'RES_cs-CZ'!$B$236</definedName>
    <definedName name="errmsg.PoissonLamdaErr" localSheetId="4">'RES_da-DK'!$B$236</definedName>
    <definedName name="errmsg.PoissonLamdaErr" localSheetId="5">'RES_de-DE'!$B$236</definedName>
    <definedName name="errmsg.PoissonLamdaErr" localSheetId="6">'RES_el-GR'!$B$236</definedName>
    <definedName name="errmsg.PoissonLamdaErr" localSheetId="2">'RES_en-US'!$B$236</definedName>
    <definedName name="errmsg.PoissonLamdaErr" localSheetId="7">'RES_es-ES'!$B$236</definedName>
    <definedName name="errmsg.PoissonLamdaErr" localSheetId="8">'RES_fi-FI'!$B$236</definedName>
    <definedName name="errmsg.PoissonLamdaErr" localSheetId="1">'RES_fr-FR'!$B$236</definedName>
    <definedName name="errmsg.PoissonLamdaErr" localSheetId="9">'RES_hr-HR'!$B$236</definedName>
    <definedName name="errmsg.PoissonLamdaErr" localSheetId="10">'RES_hu-HU'!$B$236</definedName>
    <definedName name="errmsg.PoissonLamdaErr" localSheetId="11">'RES_it-IT'!$B$236</definedName>
    <definedName name="errmsg.PoissonLamdaErr" localSheetId="12">'RES_ja-JP'!$B$236</definedName>
    <definedName name="errmsg.PoissonLamdaErr" localSheetId="13">'RES_ko-KR'!$B$236</definedName>
    <definedName name="errmsg.PoissonLamdaErr" localSheetId="14">'RES_lv-LV'!$B$236</definedName>
    <definedName name="errmsg.PoissonLamdaErr" localSheetId="15">'RES_nb-NO'!$B$236</definedName>
    <definedName name="errmsg.PoissonLamdaErr" localSheetId="16">'RES_nl-NL'!$B$236</definedName>
    <definedName name="errmsg.PoissonLamdaErr" localSheetId="17">'RES_pl-PL'!$B$236</definedName>
    <definedName name="errmsg.PoissonLamdaErr" localSheetId="18">'RES_pt-BR'!$B$236</definedName>
    <definedName name="errmsg.PoissonLamdaErr" localSheetId="19">'RES_pt-PT'!$B$236</definedName>
    <definedName name="errmsg.PoissonLamdaErr" localSheetId="20">'RES_ro-RO'!$B$236</definedName>
    <definedName name="errmsg.PoissonLamdaErr" localSheetId="21">'RES_ru-RU'!$B$236</definedName>
    <definedName name="errmsg.PoissonLamdaErr" localSheetId="22">'RES_sl-SI'!$B$236</definedName>
    <definedName name="errmsg.PoissonLamdaErr" localSheetId="23">'RES_sv-SE'!$B$236</definedName>
    <definedName name="errmsg.PoissonLamdaErr" localSheetId="24">'RES_tr-TR'!$B$236</definedName>
    <definedName name="errmsg.PoissonLamdaErr" localSheetId="25">'RES_zh-CN'!$B$236</definedName>
    <definedName name="errmsg.PoissonLamdaErr" localSheetId="26">'RES_zh-TW'!$B$236</definedName>
    <definedName name="errmsg.RandDistTypeReq" localSheetId="3">'RES_cs-CZ'!$B$237</definedName>
    <definedName name="errmsg.RandDistTypeReq" localSheetId="4">'RES_da-DK'!$B$237</definedName>
    <definedName name="errmsg.RandDistTypeReq" localSheetId="5">'RES_de-DE'!$B$237</definedName>
    <definedName name="errmsg.RandDistTypeReq" localSheetId="6">'RES_el-GR'!$B$237</definedName>
    <definedName name="errmsg.RandDistTypeReq" localSheetId="2">'RES_en-US'!$B$237</definedName>
    <definedName name="errmsg.RandDistTypeReq" localSheetId="7">'RES_es-ES'!$B$237</definedName>
    <definedName name="errmsg.RandDistTypeReq" localSheetId="8">'RES_fi-FI'!$B$237</definedName>
    <definedName name="errmsg.RandDistTypeReq" localSheetId="1">'RES_fr-FR'!$B$237</definedName>
    <definedName name="errmsg.RandDistTypeReq" localSheetId="9">'RES_hr-HR'!$B$237</definedName>
    <definedName name="errmsg.RandDistTypeReq" localSheetId="10">'RES_hu-HU'!$B$237</definedName>
    <definedName name="errmsg.RandDistTypeReq" localSheetId="11">'RES_it-IT'!$B$237</definedName>
    <definedName name="errmsg.RandDistTypeReq" localSheetId="12">'RES_ja-JP'!$B$237</definedName>
    <definedName name="errmsg.RandDistTypeReq" localSheetId="13">'RES_ko-KR'!$B$237</definedName>
    <definedName name="errmsg.RandDistTypeReq" localSheetId="14">'RES_lv-LV'!$B$237</definedName>
    <definedName name="errmsg.RandDistTypeReq" localSheetId="15">'RES_nb-NO'!$B$237</definedName>
    <definedName name="errmsg.RandDistTypeReq" localSheetId="16">'RES_nl-NL'!$B$237</definedName>
    <definedName name="errmsg.RandDistTypeReq" localSheetId="17">'RES_pl-PL'!$B$237</definedName>
    <definedName name="errmsg.RandDistTypeReq" localSheetId="18">'RES_pt-BR'!$B$237</definedName>
    <definedName name="errmsg.RandDistTypeReq" localSheetId="19">'RES_pt-PT'!$B$237</definedName>
    <definedName name="errmsg.RandDistTypeReq" localSheetId="20">'RES_ro-RO'!$B$237</definedName>
    <definedName name="errmsg.RandDistTypeReq" localSheetId="21">'RES_ru-RU'!$B$237</definedName>
    <definedName name="errmsg.RandDistTypeReq" localSheetId="22">'RES_sl-SI'!$B$237</definedName>
    <definedName name="errmsg.RandDistTypeReq" localSheetId="23">'RES_sv-SE'!$B$237</definedName>
    <definedName name="errmsg.RandDistTypeReq" localSheetId="24">'RES_tr-TR'!$B$237</definedName>
    <definedName name="errmsg.RandDistTypeReq" localSheetId="25">'RES_zh-CN'!$B$237</definedName>
    <definedName name="errmsg.RandDistTypeReq" localSheetId="26">'RES_zh-TW'!$B$237</definedName>
    <definedName name="errmsg.RandNumMustBeInt" localSheetId="3">'RES_cs-CZ'!$B$238</definedName>
    <definedName name="errmsg.RandNumMustBeInt" localSheetId="4">'RES_da-DK'!$B$238</definedName>
    <definedName name="errmsg.RandNumMustBeInt" localSheetId="5">'RES_de-DE'!$B$238</definedName>
    <definedName name="errmsg.RandNumMustBeInt" localSheetId="6">'RES_el-GR'!$B$238</definedName>
    <definedName name="errmsg.RandNumMustBeInt" localSheetId="2">'RES_en-US'!$B$238</definedName>
    <definedName name="errmsg.RandNumMustBeInt" localSheetId="7">'RES_es-ES'!$B$238</definedName>
    <definedName name="errmsg.RandNumMustBeInt" localSheetId="8">'RES_fi-FI'!$B$238</definedName>
    <definedName name="errmsg.RandNumMustBeInt" localSheetId="1">'RES_fr-FR'!$B$238</definedName>
    <definedName name="errmsg.RandNumMustBeInt" localSheetId="9">'RES_hr-HR'!$B$238</definedName>
    <definedName name="errmsg.RandNumMustBeInt" localSheetId="10">'RES_hu-HU'!$B$238</definedName>
    <definedName name="errmsg.RandNumMustBeInt" localSheetId="11">'RES_it-IT'!$B$238</definedName>
    <definedName name="errmsg.RandNumMustBeInt" localSheetId="12">'RES_ja-JP'!$B$238</definedName>
    <definedName name="errmsg.RandNumMustBeInt" localSheetId="13">'RES_ko-KR'!$B$238</definedName>
    <definedName name="errmsg.RandNumMustBeInt" localSheetId="14">'RES_lv-LV'!$B$238</definedName>
    <definedName name="errmsg.RandNumMustBeInt" localSheetId="15">'RES_nb-NO'!$B$238</definedName>
    <definedName name="errmsg.RandNumMustBeInt" localSheetId="16">'RES_nl-NL'!$B$238</definedName>
    <definedName name="errmsg.RandNumMustBeInt" localSheetId="17">'RES_pl-PL'!$B$238</definedName>
    <definedName name="errmsg.RandNumMustBeInt" localSheetId="18">'RES_pt-BR'!$B$238</definedName>
    <definedName name="errmsg.RandNumMustBeInt" localSheetId="19">'RES_pt-PT'!$B$238</definedName>
    <definedName name="errmsg.RandNumMustBeInt" localSheetId="20">'RES_ro-RO'!$B$238</definedName>
    <definedName name="errmsg.RandNumMustBeInt" localSheetId="21">'RES_ru-RU'!$B$238</definedName>
    <definedName name="errmsg.RandNumMustBeInt" localSheetId="22">'RES_sl-SI'!$B$238</definedName>
    <definedName name="errmsg.RandNumMustBeInt" localSheetId="23">'RES_sv-SE'!$B$238</definedName>
    <definedName name="errmsg.RandNumMustBeInt" localSheetId="24">'RES_tr-TR'!$B$238</definedName>
    <definedName name="errmsg.RandNumMustBeInt" localSheetId="25">'RES_zh-CN'!$B$238</definedName>
    <definedName name="errmsg.RandNumMustBeInt" localSheetId="26">'RES_zh-TW'!$B$238</definedName>
    <definedName name="errmsg.RandValNotExist" localSheetId="3">'RES_cs-CZ'!$B$239</definedName>
    <definedName name="errmsg.RandValNotExist" localSheetId="4">'RES_da-DK'!$B$239</definedName>
    <definedName name="errmsg.RandValNotExist" localSheetId="5">'RES_de-DE'!$B$239</definedName>
    <definedName name="errmsg.RandValNotExist" localSheetId="6">'RES_el-GR'!$B$239</definedName>
    <definedName name="errmsg.RandValNotExist" localSheetId="2">'RES_en-US'!$B$239</definedName>
    <definedName name="errmsg.RandValNotExist" localSheetId="7">'RES_es-ES'!$B$239</definedName>
    <definedName name="errmsg.RandValNotExist" localSheetId="8">'RES_fi-FI'!$B$239</definedName>
    <definedName name="errmsg.RandValNotExist" localSheetId="1">'RES_fr-FR'!$B$239</definedName>
    <definedName name="errmsg.RandValNotExist" localSheetId="9">'RES_hr-HR'!$B$239</definedName>
    <definedName name="errmsg.RandValNotExist" localSheetId="10">'RES_hu-HU'!$B$239</definedName>
    <definedName name="errmsg.RandValNotExist" localSheetId="11">'RES_it-IT'!$B$239</definedName>
    <definedName name="errmsg.RandValNotExist" localSheetId="12">'RES_ja-JP'!$B$239</definedName>
    <definedName name="errmsg.RandValNotExist" localSheetId="13">'RES_ko-KR'!$B$239</definedName>
    <definedName name="errmsg.RandValNotExist" localSheetId="14">'RES_lv-LV'!$B$239</definedName>
    <definedName name="errmsg.RandValNotExist" localSheetId="15">'RES_nb-NO'!$B$239</definedName>
    <definedName name="errmsg.RandValNotExist" localSheetId="16">'RES_nl-NL'!$B$239</definedName>
    <definedName name="errmsg.RandValNotExist" localSheetId="17">'RES_pl-PL'!$B$239</definedName>
    <definedName name="errmsg.RandValNotExist" localSheetId="18">'RES_pt-BR'!$B$239</definedName>
    <definedName name="errmsg.RandValNotExist" localSheetId="19">'RES_pt-PT'!$B$239</definedName>
    <definedName name="errmsg.RandValNotExist" localSheetId="20">'RES_ro-RO'!$B$239</definedName>
    <definedName name="errmsg.RandValNotExist" localSheetId="21">'RES_ru-RU'!$B$239</definedName>
    <definedName name="errmsg.RandValNotExist" localSheetId="22">'RES_sl-SI'!$B$239</definedName>
    <definedName name="errmsg.RandValNotExist" localSheetId="23">'RES_sv-SE'!$B$239</definedName>
    <definedName name="errmsg.RandValNotExist" localSheetId="24">'RES_tr-TR'!$B$239</definedName>
    <definedName name="errmsg.RandValNotExist" localSheetId="25">'RES_zh-CN'!$B$239</definedName>
    <definedName name="errmsg.RandValNotExist" localSheetId="26">'RES_zh-TW'!$B$239</definedName>
    <definedName name="errmsg.RandVarMustBeInt" localSheetId="3">'RES_cs-CZ'!$B$240</definedName>
    <definedName name="errmsg.RandVarMustBeInt" localSheetId="4">'RES_da-DK'!$B$240</definedName>
    <definedName name="errmsg.RandVarMustBeInt" localSheetId="5">'RES_de-DE'!$B$240</definedName>
    <definedName name="errmsg.RandVarMustBeInt" localSheetId="6">'RES_el-GR'!$B$240</definedName>
    <definedName name="errmsg.RandVarMustBeInt" localSheetId="2">'RES_en-US'!$B$240</definedName>
    <definedName name="errmsg.RandVarMustBeInt" localSheetId="7">'RES_es-ES'!$B$240</definedName>
    <definedName name="errmsg.RandVarMustBeInt" localSheetId="8">'RES_fi-FI'!$B$240</definedName>
    <definedName name="errmsg.RandVarMustBeInt" localSheetId="1">'RES_fr-FR'!$B$240</definedName>
    <definedName name="errmsg.RandVarMustBeInt" localSheetId="9">'RES_hr-HR'!$B$240</definedName>
    <definedName name="errmsg.RandVarMustBeInt" localSheetId="10">'RES_hu-HU'!$B$240</definedName>
    <definedName name="errmsg.RandVarMustBeInt" localSheetId="11">'RES_it-IT'!$B$240</definedName>
    <definedName name="errmsg.RandVarMustBeInt" localSheetId="12">'RES_ja-JP'!$B$240</definedName>
    <definedName name="errmsg.RandVarMustBeInt" localSheetId="13">'RES_ko-KR'!$B$240</definedName>
    <definedName name="errmsg.RandVarMustBeInt" localSheetId="14">'RES_lv-LV'!$B$240</definedName>
    <definedName name="errmsg.RandVarMustBeInt" localSheetId="15">'RES_nb-NO'!$B$240</definedName>
    <definedName name="errmsg.RandVarMustBeInt" localSheetId="16">'RES_nl-NL'!$B$240</definedName>
    <definedName name="errmsg.RandVarMustBeInt" localSheetId="17">'RES_pl-PL'!$B$240</definedName>
    <definedName name="errmsg.RandVarMustBeInt" localSheetId="18">'RES_pt-BR'!$B$240</definedName>
    <definedName name="errmsg.RandVarMustBeInt" localSheetId="19">'RES_pt-PT'!$B$240</definedName>
    <definedName name="errmsg.RandVarMustBeInt" localSheetId="20">'RES_ro-RO'!$B$240</definedName>
    <definedName name="errmsg.RandVarMustBeInt" localSheetId="21">'RES_ru-RU'!$B$240</definedName>
    <definedName name="errmsg.RandVarMustBeInt" localSheetId="22">'RES_sl-SI'!$B$240</definedName>
    <definedName name="errmsg.RandVarMustBeInt" localSheetId="23">'RES_sv-SE'!$B$240</definedName>
    <definedName name="errmsg.RandVarMustBeInt" localSheetId="24">'RES_tr-TR'!$B$240</definedName>
    <definedName name="errmsg.RandVarMustBeInt" localSheetId="25">'RES_zh-CN'!$B$240</definedName>
    <definedName name="errmsg.RandVarMustBeInt" localSheetId="26">'RES_zh-TW'!$B$240</definedName>
    <definedName name="errmsg.RequiredStatOpt" localSheetId="3">'RES_cs-CZ'!$B$241</definedName>
    <definedName name="errmsg.RequiredStatOpt" localSheetId="4">'RES_da-DK'!$B$241</definedName>
    <definedName name="errmsg.RequiredStatOpt" localSheetId="5">'RES_de-DE'!$B$241</definedName>
    <definedName name="errmsg.RequiredStatOpt" localSheetId="6">'RES_el-GR'!$B$241</definedName>
    <definedName name="errmsg.RequiredStatOpt" localSheetId="2">'RES_en-US'!$B$241</definedName>
    <definedName name="errmsg.RequiredStatOpt" localSheetId="7">'RES_es-ES'!$B$241</definedName>
    <definedName name="errmsg.RequiredStatOpt" localSheetId="8">'RES_fi-FI'!$B$241</definedName>
    <definedName name="errmsg.RequiredStatOpt" localSheetId="1">'RES_fr-FR'!$B$241</definedName>
    <definedName name="errmsg.RequiredStatOpt" localSheetId="9">'RES_hr-HR'!$B$241</definedName>
    <definedName name="errmsg.RequiredStatOpt" localSheetId="10">'RES_hu-HU'!$B$241</definedName>
    <definedName name="errmsg.RequiredStatOpt" localSheetId="11">'RES_it-IT'!$B$241</definedName>
    <definedName name="errmsg.RequiredStatOpt" localSheetId="12">'RES_ja-JP'!$B$241</definedName>
    <definedName name="errmsg.RequiredStatOpt" localSheetId="13">'RES_ko-KR'!$B$241</definedName>
    <definedName name="errmsg.RequiredStatOpt" localSheetId="14">'RES_lv-LV'!$B$241</definedName>
    <definedName name="errmsg.RequiredStatOpt" localSheetId="15">'RES_nb-NO'!$B$241</definedName>
    <definedName name="errmsg.RequiredStatOpt" localSheetId="16">'RES_nl-NL'!$B$241</definedName>
    <definedName name="errmsg.RequiredStatOpt" localSheetId="17">'RES_pl-PL'!$B$241</definedName>
    <definedName name="errmsg.RequiredStatOpt" localSheetId="18">'RES_pt-BR'!$B$241</definedName>
    <definedName name="errmsg.RequiredStatOpt" localSheetId="19">'RES_pt-PT'!$B$241</definedName>
    <definedName name="errmsg.RequiredStatOpt" localSheetId="20">'RES_ro-RO'!$B$241</definedName>
    <definedName name="errmsg.RequiredStatOpt" localSheetId="21">'RES_ru-RU'!$B$241</definedName>
    <definedName name="errmsg.RequiredStatOpt" localSheetId="22">'RES_sl-SI'!$B$241</definedName>
    <definedName name="errmsg.RequiredStatOpt" localSheetId="23">'RES_sv-SE'!$B$241</definedName>
    <definedName name="errmsg.RequiredStatOpt" localSheetId="24">'RES_tr-TR'!$B$241</definedName>
    <definedName name="errmsg.RequiredStatOpt" localSheetId="25">'RES_zh-CN'!$B$241</definedName>
    <definedName name="errmsg.RequiredStatOpt" localSheetId="26">'RES_zh-TW'!$B$241</definedName>
    <definedName name="errmsg.RowsPerSampleInt" localSheetId="3">'RES_cs-CZ'!$B$243</definedName>
    <definedName name="errmsg.RowsPerSampleInt" localSheetId="4">'RES_da-DK'!$B$243</definedName>
    <definedName name="errmsg.RowsPerSampleInt" localSheetId="5">'RES_de-DE'!$B$243</definedName>
    <definedName name="errmsg.RowsPerSampleInt" localSheetId="6">'RES_el-GR'!$B$243</definedName>
    <definedName name="errmsg.RowsPerSampleInt" localSheetId="2">'RES_en-US'!$B$243</definedName>
    <definedName name="errmsg.RowsPerSampleInt" localSheetId="7">'RES_es-ES'!$B$243</definedName>
    <definedName name="errmsg.RowsPerSampleInt" localSheetId="8">'RES_fi-FI'!$B$243</definedName>
    <definedName name="errmsg.RowsPerSampleInt" localSheetId="1">'RES_fr-FR'!$B$243</definedName>
    <definedName name="errmsg.RowsPerSampleInt" localSheetId="9">'RES_hr-HR'!$B$243</definedName>
    <definedName name="errmsg.RowsPerSampleInt" localSheetId="10">'RES_hu-HU'!$B$243</definedName>
    <definedName name="errmsg.RowsPerSampleInt" localSheetId="11">'RES_it-IT'!$B$243</definedName>
    <definedName name="errmsg.RowsPerSampleInt" localSheetId="12">'RES_ja-JP'!$B$243</definedName>
    <definedName name="errmsg.RowsPerSampleInt" localSheetId="13">'RES_ko-KR'!$B$243</definedName>
    <definedName name="errmsg.RowsPerSampleInt" localSheetId="14">'RES_lv-LV'!$B$243</definedName>
    <definedName name="errmsg.RowsPerSampleInt" localSheetId="15">'RES_nb-NO'!$B$243</definedName>
    <definedName name="errmsg.RowsPerSampleInt" localSheetId="16">'RES_nl-NL'!$B$243</definedName>
    <definedName name="errmsg.RowsPerSampleInt" localSheetId="17">'RES_pl-PL'!$B$243</definedName>
    <definedName name="errmsg.RowsPerSampleInt" localSheetId="18">'RES_pt-BR'!$B$243</definedName>
    <definedName name="errmsg.RowsPerSampleInt" localSheetId="19">'RES_pt-PT'!$B$243</definedName>
    <definedName name="errmsg.RowsPerSampleInt" localSheetId="20">'RES_ro-RO'!$B$243</definedName>
    <definedName name="errmsg.RowsPerSampleInt" localSheetId="21">'RES_ru-RU'!$B$243</definedName>
    <definedName name="errmsg.RowsPerSampleInt" localSheetId="22">'RES_sl-SI'!$B$243</definedName>
    <definedName name="errmsg.RowsPerSampleInt" localSheetId="23">'RES_sv-SE'!$B$243</definedName>
    <definedName name="errmsg.RowsPerSampleInt" localSheetId="24">'RES_tr-TR'!$B$243</definedName>
    <definedName name="errmsg.RowsPerSampleInt" localSheetId="25">'RES_zh-CN'!$B$243</definedName>
    <definedName name="errmsg.RowsPerSampleInt" localSheetId="26">'RES_zh-TW'!$B$243</definedName>
    <definedName name="errmsg.RowsPerSampleRequired" localSheetId="3">'RES_cs-CZ'!$B$242</definedName>
    <definedName name="errmsg.RowsPerSampleRequired" localSheetId="4">'RES_da-DK'!$B$242</definedName>
    <definedName name="errmsg.RowsPerSampleRequired" localSheetId="5">'RES_de-DE'!$B$242</definedName>
    <definedName name="errmsg.RowsPerSampleRequired" localSheetId="6">'RES_el-GR'!$B$242</definedName>
    <definedName name="errmsg.RowsPerSampleRequired" localSheetId="2">'RES_en-US'!$B$242</definedName>
    <definedName name="errmsg.RowsPerSampleRequired" localSheetId="7">'RES_es-ES'!$B$242</definedName>
    <definedName name="errmsg.RowsPerSampleRequired" localSheetId="8">'RES_fi-FI'!$B$242</definedName>
    <definedName name="errmsg.RowsPerSampleRequired" localSheetId="1">'RES_fr-FR'!$B$242</definedName>
    <definedName name="errmsg.RowsPerSampleRequired" localSheetId="9">'RES_hr-HR'!$B$242</definedName>
    <definedName name="errmsg.RowsPerSampleRequired" localSheetId="10">'RES_hu-HU'!$B$242</definedName>
    <definedName name="errmsg.RowsPerSampleRequired" localSheetId="11">'RES_it-IT'!$B$242</definedName>
    <definedName name="errmsg.RowsPerSampleRequired" localSheetId="12">'RES_ja-JP'!$B$242</definedName>
    <definedName name="errmsg.RowsPerSampleRequired" localSheetId="13">'RES_ko-KR'!$B$242</definedName>
    <definedName name="errmsg.RowsPerSampleRequired" localSheetId="14">'RES_lv-LV'!$B$242</definedName>
    <definedName name="errmsg.RowsPerSampleRequired" localSheetId="15">'RES_nb-NO'!$B$242</definedName>
    <definedName name="errmsg.RowsPerSampleRequired" localSheetId="16">'RES_nl-NL'!$B$242</definedName>
    <definedName name="errmsg.RowsPerSampleRequired" localSheetId="17">'RES_pl-PL'!$B$242</definedName>
    <definedName name="errmsg.RowsPerSampleRequired" localSheetId="18">'RES_pt-BR'!$B$242</definedName>
    <definedName name="errmsg.RowsPerSampleRequired" localSheetId="19">'RES_pt-PT'!$B$242</definedName>
    <definedName name="errmsg.RowsPerSampleRequired" localSheetId="20">'RES_ro-RO'!$B$242</definedName>
    <definedName name="errmsg.RowsPerSampleRequired" localSheetId="21">'RES_ru-RU'!$B$242</definedName>
    <definedName name="errmsg.RowsPerSampleRequired" localSheetId="22">'RES_sl-SI'!$B$242</definedName>
    <definedName name="errmsg.RowsPerSampleRequired" localSheetId="23">'RES_sv-SE'!$B$242</definedName>
    <definedName name="errmsg.RowsPerSampleRequired" localSheetId="24">'RES_tr-TR'!$B$242</definedName>
    <definedName name="errmsg.RowsPerSampleRequired" localSheetId="25">'RES_zh-CN'!$B$242</definedName>
    <definedName name="errmsg.RowsPerSampleRequired" localSheetId="26">'RES_zh-TW'!$B$242</definedName>
    <definedName name="errmsg.SameRowsPerSample" localSheetId="3">'RES_cs-CZ'!$B$244</definedName>
    <definedName name="errmsg.SameRowsPerSample" localSheetId="4">'RES_da-DK'!$B$244</definedName>
    <definedName name="errmsg.SameRowsPerSample" localSheetId="5">'RES_de-DE'!$B$244</definedName>
    <definedName name="errmsg.SameRowsPerSample" localSheetId="6">'RES_el-GR'!$B$244</definedName>
    <definedName name="errmsg.SameRowsPerSample" localSheetId="2">'RES_en-US'!$B$244</definedName>
    <definedName name="errmsg.SameRowsPerSample" localSheetId="7">'RES_es-ES'!$B$244</definedName>
    <definedName name="errmsg.SameRowsPerSample" localSheetId="8">'RES_fi-FI'!$B$244</definedName>
    <definedName name="errmsg.SameRowsPerSample" localSheetId="1">'RES_fr-FR'!$B$244</definedName>
    <definedName name="errmsg.SameRowsPerSample" localSheetId="9">'RES_hr-HR'!$B$244</definedName>
    <definedName name="errmsg.SameRowsPerSample" localSheetId="10">'RES_hu-HU'!$B$244</definedName>
    <definedName name="errmsg.SameRowsPerSample" localSheetId="11">'RES_it-IT'!$B$244</definedName>
    <definedName name="errmsg.SameRowsPerSample" localSheetId="12">'RES_ja-JP'!$B$244</definedName>
    <definedName name="errmsg.SameRowsPerSample" localSheetId="13">'RES_ko-KR'!$B$244</definedName>
    <definedName name="errmsg.SameRowsPerSample" localSheetId="14">'RES_lv-LV'!$B$244</definedName>
    <definedName name="errmsg.SameRowsPerSample" localSheetId="15">'RES_nb-NO'!$B$244</definedName>
    <definedName name="errmsg.SameRowsPerSample" localSheetId="16">'RES_nl-NL'!$B$244</definedName>
    <definedName name="errmsg.SameRowsPerSample" localSheetId="17">'RES_pl-PL'!$B$244</definedName>
    <definedName name="errmsg.SameRowsPerSample" localSheetId="18">'RES_pt-BR'!$B$244</definedName>
    <definedName name="errmsg.SameRowsPerSample" localSheetId="19">'RES_pt-PT'!$B$244</definedName>
    <definedName name="errmsg.SameRowsPerSample" localSheetId="20">'RES_ro-RO'!$B$244</definedName>
    <definedName name="errmsg.SameRowsPerSample" localSheetId="21">'RES_ru-RU'!$B$244</definedName>
    <definedName name="errmsg.SameRowsPerSample" localSheetId="22">'RES_sl-SI'!$B$244</definedName>
    <definedName name="errmsg.SameRowsPerSample" localSheetId="23">'RES_sv-SE'!$B$244</definedName>
    <definedName name="errmsg.SameRowsPerSample" localSheetId="24">'RES_tr-TR'!$B$244</definedName>
    <definedName name="errmsg.SameRowsPerSample" localSheetId="25">'RES_zh-CN'!$B$244</definedName>
    <definedName name="errmsg.SameRowsPerSample" localSheetId="26">'RES_zh-TW'!$B$244</definedName>
    <definedName name="errmsg.SameXYSamples" localSheetId="3">'RES_cs-CZ'!$B$245</definedName>
    <definedName name="errmsg.SameXYSamples" localSheetId="4">'RES_da-DK'!$B$245</definedName>
    <definedName name="errmsg.SameXYSamples" localSheetId="5">'RES_de-DE'!$B$245</definedName>
    <definedName name="errmsg.SameXYSamples" localSheetId="6">'RES_el-GR'!$B$245</definedName>
    <definedName name="errmsg.SameXYSamples" localSheetId="2">'RES_en-US'!$B$245</definedName>
    <definedName name="errmsg.SameXYSamples" localSheetId="7">'RES_es-ES'!$B$245</definedName>
    <definedName name="errmsg.SameXYSamples" localSheetId="8">'RES_fi-FI'!$B$245</definedName>
    <definedName name="errmsg.SameXYSamples" localSheetId="1">'RES_fr-FR'!$B$245</definedName>
    <definedName name="errmsg.SameXYSamples" localSheetId="9">'RES_hr-HR'!$B$245</definedName>
    <definedName name="errmsg.SameXYSamples" localSheetId="10">'RES_hu-HU'!$B$245</definedName>
    <definedName name="errmsg.SameXYSamples" localSheetId="11">'RES_it-IT'!$B$245</definedName>
    <definedName name="errmsg.SameXYSamples" localSheetId="12">'RES_ja-JP'!$B$245</definedName>
    <definedName name="errmsg.SameXYSamples" localSheetId="13">'RES_ko-KR'!$B$245</definedName>
    <definedName name="errmsg.SameXYSamples" localSheetId="14">'RES_lv-LV'!$B$245</definedName>
    <definedName name="errmsg.SameXYSamples" localSheetId="15">'RES_nb-NO'!$B$245</definedName>
    <definedName name="errmsg.SameXYSamples" localSheetId="16">'RES_nl-NL'!$B$245</definedName>
    <definedName name="errmsg.SameXYSamples" localSheetId="17">'RES_pl-PL'!$B$245</definedName>
    <definedName name="errmsg.SameXYSamples" localSheetId="18">'RES_pt-BR'!$B$245</definedName>
    <definedName name="errmsg.SameXYSamples" localSheetId="19">'RES_pt-PT'!$B$245</definedName>
    <definedName name="errmsg.SameXYSamples" localSheetId="20">'RES_ro-RO'!$B$245</definedName>
    <definedName name="errmsg.SameXYSamples" localSheetId="21">'RES_ru-RU'!$B$245</definedName>
    <definedName name="errmsg.SameXYSamples" localSheetId="22">'RES_sl-SI'!$B$245</definedName>
    <definedName name="errmsg.SameXYSamples" localSheetId="23">'RES_sv-SE'!$B$245</definedName>
    <definedName name="errmsg.SameXYSamples" localSheetId="24">'RES_tr-TR'!$B$245</definedName>
    <definedName name="errmsg.SameXYSamples" localSheetId="25">'RES_zh-CN'!$B$245</definedName>
    <definedName name="errmsg.SameXYSamples" localSheetId="26">'RES_zh-TW'!$B$245</definedName>
    <definedName name="errmsg.SampMethodInvalid" localSheetId="3">'RES_cs-CZ'!$B$246</definedName>
    <definedName name="errmsg.SampMethodInvalid" localSheetId="4">'RES_da-DK'!$B$246</definedName>
    <definedName name="errmsg.SampMethodInvalid" localSheetId="5">'RES_de-DE'!$B$246</definedName>
    <definedName name="errmsg.SampMethodInvalid" localSheetId="6">'RES_el-GR'!$B$246</definedName>
    <definedName name="errmsg.SampMethodInvalid" localSheetId="2">'RES_en-US'!$B$246</definedName>
    <definedName name="errmsg.SampMethodInvalid" localSheetId="7">'RES_es-ES'!$B$246</definedName>
    <definedName name="errmsg.SampMethodInvalid" localSheetId="8">'RES_fi-FI'!$B$246</definedName>
    <definedName name="errmsg.SampMethodInvalid" localSheetId="1">'RES_fr-FR'!$B$246</definedName>
    <definedName name="errmsg.SampMethodInvalid" localSheetId="9">'RES_hr-HR'!$B$246</definedName>
    <definedName name="errmsg.SampMethodInvalid" localSheetId="10">'RES_hu-HU'!$B$246</definedName>
    <definedName name="errmsg.SampMethodInvalid" localSheetId="11">'RES_it-IT'!$B$246</definedName>
    <definedName name="errmsg.SampMethodInvalid" localSheetId="12">'RES_ja-JP'!$B$246</definedName>
    <definedName name="errmsg.SampMethodInvalid" localSheetId="13">'RES_ko-KR'!$B$246</definedName>
    <definedName name="errmsg.SampMethodInvalid" localSheetId="14">'RES_lv-LV'!$B$246</definedName>
    <definedName name="errmsg.SampMethodInvalid" localSheetId="15">'RES_nb-NO'!$B$246</definedName>
    <definedName name="errmsg.SampMethodInvalid" localSheetId="16">'RES_nl-NL'!$B$246</definedName>
    <definedName name="errmsg.SampMethodInvalid" localSheetId="17">'RES_pl-PL'!$B$246</definedName>
    <definedName name="errmsg.SampMethodInvalid" localSheetId="18">'RES_pt-BR'!$B$246</definedName>
    <definedName name="errmsg.SampMethodInvalid" localSheetId="19">'RES_pt-PT'!$B$246</definedName>
    <definedName name="errmsg.SampMethodInvalid" localSheetId="20">'RES_ro-RO'!$B$246</definedName>
    <definedName name="errmsg.SampMethodInvalid" localSheetId="21">'RES_ru-RU'!$B$246</definedName>
    <definedName name="errmsg.SampMethodInvalid" localSheetId="22">'RES_sl-SI'!$B$246</definedName>
    <definedName name="errmsg.SampMethodInvalid" localSheetId="23">'RES_sv-SE'!$B$246</definedName>
    <definedName name="errmsg.SampMethodInvalid" localSheetId="24">'RES_tr-TR'!$B$246</definedName>
    <definedName name="errmsg.SampMethodInvalid" localSheetId="25">'RES_zh-CN'!$B$246</definedName>
    <definedName name="errmsg.SampMethodInvalid" localSheetId="26">'RES_zh-TW'!$B$246</definedName>
    <definedName name="errmsg.SampMethodReq" localSheetId="3">'RES_cs-CZ'!$B$247</definedName>
    <definedName name="errmsg.SampMethodReq" localSheetId="4">'RES_da-DK'!$B$247</definedName>
    <definedName name="errmsg.SampMethodReq" localSheetId="5">'RES_de-DE'!$B$247</definedName>
    <definedName name="errmsg.SampMethodReq" localSheetId="6">'RES_el-GR'!$B$247</definedName>
    <definedName name="errmsg.SampMethodReq" localSheetId="2">'RES_en-US'!$B$247</definedName>
    <definedName name="errmsg.SampMethodReq" localSheetId="7">'RES_es-ES'!$B$247</definedName>
    <definedName name="errmsg.SampMethodReq" localSheetId="8">'RES_fi-FI'!$B$247</definedName>
    <definedName name="errmsg.SampMethodReq" localSheetId="1">'RES_fr-FR'!$B$247</definedName>
    <definedName name="errmsg.SampMethodReq" localSheetId="9">'RES_hr-HR'!$B$247</definedName>
    <definedName name="errmsg.SampMethodReq" localSheetId="10">'RES_hu-HU'!$B$247</definedName>
    <definedName name="errmsg.SampMethodReq" localSheetId="11">'RES_it-IT'!$B$247</definedName>
    <definedName name="errmsg.SampMethodReq" localSheetId="12">'RES_ja-JP'!$B$247</definedName>
    <definedName name="errmsg.SampMethodReq" localSheetId="13">'RES_ko-KR'!$B$247</definedName>
    <definedName name="errmsg.SampMethodReq" localSheetId="14">'RES_lv-LV'!$B$247</definedName>
    <definedName name="errmsg.SampMethodReq" localSheetId="15">'RES_nb-NO'!$B$247</definedName>
    <definedName name="errmsg.SampMethodReq" localSheetId="16">'RES_nl-NL'!$B$247</definedName>
    <definedName name="errmsg.SampMethodReq" localSheetId="17">'RES_pl-PL'!$B$247</definedName>
    <definedName name="errmsg.SampMethodReq" localSheetId="18">'RES_pt-BR'!$B$247</definedName>
    <definedName name="errmsg.SampMethodReq" localSheetId="19">'RES_pt-PT'!$B$247</definedName>
    <definedName name="errmsg.SampMethodReq" localSheetId="20">'RES_ro-RO'!$B$247</definedName>
    <definedName name="errmsg.SampMethodReq" localSheetId="21">'RES_ru-RU'!$B$247</definedName>
    <definedName name="errmsg.SampMethodReq" localSheetId="22">'RES_sl-SI'!$B$247</definedName>
    <definedName name="errmsg.SampMethodReq" localSheetId="23">'RES_sv-SE'!$B$247</definedName>
    <definedName name="errmsg.SampMethodReq" localSheetId="24">'RES_tr-TR'!$B$247</definedName>
    <definedName name="errmsg.SampMethodReq" localSheetId="25">'RES_zh-CN'!$B$247</definedName>
    <definedName name="errmsg.SampMethodReq" localSheetId="26">'RES_zh-TW'!$B$247</definedName>
    <definedName name="errmsg.SeedInvalid" localSheetId="3">'RES_cs-CZ'!$B$248</definedName>
    <definedName name="errmsg.SeedInvalid" localSheetId="4">'RES_da-DK'!$B$248</definedName>
    <definedName name="errmsg.SeedInvalid" localSheetId="5">'RES_de-DE'!$B$248</definedName>
    <definedName name="errmsg.SeedInvalid" localSheetId="6">'RES_el-GR'!$B$248</definedName>
    <definedName name="errmsg.SeedInvalid" localSheetId="2">'RES_en-US'!$B$248</definedName>
    <definedName name="errmsg.SeedInvalid" localSheetId="7">'RES_es-ES'!$B$248</definedName>
    <definedName name="errmsg.SeedInvalid" localSheetId="8">'RES_fi-FI'!$B$248</definedName>
    <definedName name="errmsg.SeedInvalid" localSheetId="1">'RES_fr-FR'!$B$248</definedName>
    <definedName name="errmsg.SeedInvalid" localSheetId="9">'RES_hr-HR'!$B$248</definedName>
    <definedName name="errmsg.SeedInvalid" localSheetId="10">'RES_hu-HU'!$B$248</definedName>
    <definedName name="errmsg.SeedInvalid" localSheetId="11">'RES_it-IT'!$B$248</definedName>
    <definedName name="errmsg.SeedInvalid" localSheetId="12">'RES_ja-JP'!$B$248</definedName>
    <definedName name="errmsg.SeedInvalid" localSheetId="13">'RES_ko-KR'!$B$248</definedName>
    <definedName name="errmsg.SeedInvalid" localSheetId="14">'RES_lv-LV'!$B$248</definedName>
    <definedName name="errmsg.SeedInvalid" localSheetId="15">'RES_nb-NO'!$B$248</definedName>
    <definedName name="errmsg.SeedInvalid" localSheetId="16">'RES_nl-NL'!$B$248</definedName>
    <definedName name="errmsg.SeedInvalid" localSheetId="17">'RES_pl-PL'!$B$248</definedName>
    <definedName name="errmsg.SeedInvalid" localSheetId="18">'RES_pt-BR'!$B$248</definedName>
    <definedName name="errmsg.SeedInvalid" localSheetId="19">'RES_pt-PT'!$B$248</definedName>
    <definedName name="errmsg.SeedInvalid" localSheetId="20">'RES_ro-RO'!$B$248</definedName>
    <definedName name="errmsg.SeedInvalid" localSheetId="21">'RES_ru-RU'!$B$248</definedName>
    <definedName name="errmsg.SeedInvalid" localSheetId="22">'RES_sl-SI'!$B$248</definedName>
    <definedName name="errmsg.SeedInvalid" localSheetId="23">'RES_sv-SE'!$B$248</definedName>
    <definedName name="errmsg.SeedInvalid" localSheetId="24">'RES_tr-TR'!$B$248</definedName>
    <definedName name="errmsg.SeedInvalid" localSheetId="25">'RES_zh-CN'!$B$248</definedName>
    <definedName name="errmsg.SeedInvalid" localSheetId="26">'RES_zh-TW'!$B$248</definedName>
    <definedName name="errmsg.ShareCantChart" localSheetId="3">'RES_cs-CZ'!$B$274</definedName>
    <definedName name="errmsg.ShareCantChart" localSheetId="4">'RES_da-DK'!$B$274</definedName>
    <definedName name="errmsg.ShareCantChart" localSheetId="5">'RES_de-DE'!$B$274</definedName>
    <definedName name="errmsg.ShareCantChart" localSheetId="6">'RES_el-GR'!$B$274</definedName>
    <definedName name="errmsg.ShareCantChart" localSheetId="2">'RES_en-US'!$B$274</definedName>
    <definedName name="errmsg.ShareCantChart" localSheetId="7">'RES_es-ES'!$B$274</definedName>
    <definedName name="errmsg.ShareCantChart" localSheetId="8">'RES_fi-FI'!$B$274</definedName>
    <definedName name="errmsg.ShareCantChart" localSheetId="1">'RES_fr-FR'!$B$274</definedName>
    <definedName name="errmsg.ShareCantChart" localSheetId="9">'RES_hr-HR'!$B$274</definedName>
    <definedName name="errmsg.ShareCantChart" localSheetId="10">'RES_hu-HU'!$B$274</definedName>
    <definedName name="errmsg.ShareCantChart" localSheetId="11">'RES_it-IT'!$B$274</definedName>
    <definedName name="errmsg.ShareCantChart" localSheetId="12">'RES_ja-JP'!$B$274</definedName>
    <definedName name="errmsg.ShareCantChart" localSheetId="13">'RES_ko-KR'!$B$274</definedName>
    <definedName name="errmsg.ShareCantChart" localSheetId="14">'RES_lv-LV'!$B$274</definedName>
    <definedName name="errmsg.ShareCantChart" localSheetId="15">'RES_nb-NO'!$B$274</definedName>
    <definedName name="errmsg.ShareCantChart" localSheetId="16">'RES_nl-NL'!$B$274</definedName>
    <definedName name="errmsg.ShareCantChart" localSheetId="17">'RES_pl-PL'!$B$274</definedName>
    <definedName name="errmsg.ShareCantChart" localSheetId="18">'RES_pt-BR'!$B$274</definedName>
    <definedName name="errmsg.ShareCantChart" localSheetId="19">'RES_pt-PT'!$B$274</definedName>
    <definedName name="errmsg.ShareCantChart" localSheetId="20">'RES_ro-RO'!$B$274</definedName>
    <definedName name="errmsg.ShareCantChart" localSheetId="21">'RES_ru-RU'!$B$274</definedName>
    <definedName name="errmsg.ShareCantChart" localSheetId="22">'RES_sl-SI'!$B$274</definedName>
    <definedName name="errmsg.ShareCantChart" localSheetId="23">'RES_sv-SE'!$B$274</definedName>
    <definedName name="errmsg.ShareCantChart" localSheetId="24">'RES_tr-TR'!$B$274</definedName>
    <definedName name="errmsg.ShareCantChart" localSheetId="25">'RES_zh-CN'!$B$274</definedName>
    <definedName name="errmsg.ShareCantChart" localSheetId="26">'RES_zh-TW'!$B$274</definedName>
    <definedName name="errmsg.SheetProtected" localSheetId="3">'RES_cs-CZ'!$B$249</definedName>
    <definedName name="errmsg.SheetProtected" localSheetId="4">'RES_da-DK'!$B$249</definedName>
    <definedName name="errmsg.SheetProtected" localSheetId="5">'RES_de-DE'!$B$249</definedName>
    <definedName name="errmsg.SheetProtected" localSheetId="6">'RES_el-GR'!$B$249</definedName>
    <definedName name="errmsg.SheetProtected" localSheetId="2">'RES_en-US'!$B$249</definedName>
    <definedName name="errmsg.SheetProtected" localSheetId="7">'RES_es-ES'!$B$249</definedName>
    <definedName name="errmsg.SheetProtected" localSheetId="8">'RES_fi-FI'!$B$249</definedName>
    <definedName name="errmsg.SheetProtected" localSheetId="1">'RES_fr-FR'!$B$249</definedName>
    <definedName name="errmsg.SheetProtected" localSheetId="9">'RES_hr-HR'!$B$249</definedName>
    <definedName name="errmsg.SheetProtected" localSheetId="10">'RES_hu-HU'!$B$249</definedName>
    <definedName name="errmsg.SheetProtected" localSheetId="11">'RES_it-IT'!$B$249</definedName>
    <definedName name="errmsg.SheetProtected" localSheetId="12">'RES_ja-JP'!$B$249</definedName>
    <definedName name="errmsg.SheetProtected" localSheetId="13">'RES_ko-KR'!$B$249</definedName>
    <definedName name="errmsg.SheetProtected" localSheetId="14">'RES_lv-LV'!$B$249</definedName>
    <definedName name="errmsg.SheetProtected" localSheetId="15">'RES_nb-NO'!$B$249</definedName>
    <definedName name="errmsg.SheetProtected" localSheetId="16">'RES_nl-NL'!$B$249</definedName>
    <definedName name="errmsg.SheetProtected" localSheetId="17">'RES_pl-PL'!$B$249</definedName>
    <definedName name="errmsg.SheetProtected" localSheetId="18">'RES_pt-BR'!$B$249</definedName>
    <definedName name="errmsg.SheetProtected" localSheetId="19">'RES_pt-PT'!$B$249</definedName>
    <definedName name="errmsg.SheetProtected" localSheetId="20">'RES_ro-RO'!$B$249</definedName>
    <definedName name="errmsg.SheetProtected" localSheetId="21">'RES_ru-RU'!$B$249</definedName>
    <definedName name="errmsg.SheetProtected" localSheetId="22">'RES_sl-SI'!$B$249</definedName>
    <definedName name="errmsg.SheetProtected" localSheetId="23">'RES_sv-SE'!$B$249</definedName>
    <definedName name="errmsg.SheetProtected" localSheetId="24">'RES_tr-TR'!$B$249</definedName>
    <definedName name="errmsg.SheetProtected" localSheetId="25">'RES_zh-CN'!$B$249</definedName>
    <definedName name="errmsg.SheetProtected" localSheetId="26">'RES_zh-TW'!$B$249</definedName>
    <definedName name="errmsg.UniformBoundErr" localSheetId="3">'RES_cs-CZ'!$B$250</definedName>
    <definedName name="errmsg.UniformBoundErr" localSheetId="4">'RES_da-DK'!$B$250</definedName>
    <definedName name="errmsg.UniformBoundErr" localSheetId="5">'RES_de-DE'!$B$250</definedName>
    <definedName name="errmsg.UniformBoundErr" localSheetId="6">'RES_el-GR'!$B$250</definedName>
    <definedName name="errmsg.UniformBoundErr" localSheetId="2">'RES_en-US'!$B$250</definedName>
    <definedName name="errmsg.UniformBoundErr" localSheetId="7">'RES_es-ES'!$B$250</definedName>
    <definedName name="errmsg.UniformBoundErr" localSheetId="8">'RES_fi-FI'!$B$250</definedName>
    <definedName name="errmsg.UniformBoundErr" localSheetId="1">'RES_fr-FR'!$B$250</definedName>
    <definedName name="errmsg.UniformBoundErr" localSheetId="9">'RES_hr-HR'!$B$250</definedName>
    <definedName name="errmsg.UniformBoundErr" localSheetId="10">'RES_hu-HU'!$B$250</definedName>
    <definedName name="errmsg.UniformBoundErr" localSheetId="11">'RES_it-IT'!$B$250</definedName>
    <definedName name="errmsg.UniformBoundErr" localSheetId="12">'RES_ja-JP'!$B$250</definedName>
    <definedName name="errmsg.UniformBoundErr" localSheetId="13">'RES_ko-KR'!$B$250</definedName>
    <definedName name="errmsg.UniformBoundErr" localSheetId="14">'RES_lv-LV'!$B$250</definedName>
    <definedName name="errmsg.UniformBoundErr" localSheetId="15">'RES_nb-NO'!$B$250</definedName>
    <definedName name="errmsg.UniformBoundErr" localSheetId="16">'RES_nl-NL'!$B$250</definedName>
    <definedName name="errmsg.UniformBoundErr" localSheetId="17">'RES_pl-PL'!$B$250</definedName>
    <definedName name="errmsg.UniformBoundErr" localSheetId="18">'RES_pt-BR'!$B$250</definedName>
    <definedName name="errmsg.UniformBoundErr" localSheetId="19">'RES_pt-PT'!$B$250</definedName>
    <definedName name="errmsg.UniformBoundErr" localSheetId="20">'RES_ro-RO'!$B$250</definedName>
    <definedName name="errmsg.UniformBoundErr" localSheetId="21">'RES_ru-RU'!$B$250</definedName>
    <definedName name="errmsg.UniformBoundErr" localSheetId="22">'RES_sl-SI'!$B$250</definedName>
    <definedName name="errmsg.UniformBoundErr" localSheetId="23">'RES_sv-SE'!$B$250</definedName>
    <definedName name="errmsg.UniformBoundErr" localSheetId="24">'RES_tr-TR'!$B$250</definedName>
    <definedName name="errmsg.UniformBoundErr" localSheetId="25">'RES_zh-CN'!$B$250</definedName>
    <definedName name="errmsg.UniformBoundErr" localSheetId="26">'RES_zh-TW'!$B$250</definedName>
    <definedName name="errmsg.VarPairedShape" localSheetId="3">'RES_cs-CZ'!$B$251</definedName>
    <definedName name="errmsg.VarPairedShape" localSheetId="4">'RES_da-DK'!$B$251</definedName>
    <definedName name="errmsg.VarPairedShape" localSheetId="5">'RES_de-DE'!$B$251</definedName>
    <definedName name="errmsg.VarPairedShape" localSheetId="6">'RES_el-GR'!$B$251</definedName>
    <definedName name="errmsg.VarPairedShape" localSheetId="2">'RES_en-US'!$B$251</definedName>
    <definedName name="errmsg.VarPairedShape" localSheetId="7">'RES_es-ES'!$B$251</definedName>
    <definedName name="errmsg.VarPairedShape" localSheetId="8">'RES_fi-FI'!$B$251</definedName>
    <definedName name="errmsg.VarPairedShape" localSheetId="1">'RES_fr-FR'!$B$251</definedName>
    <definedName name="errmsg.VarPairedShape" localSheetId="9">'RES_hr-HR'!$B$251</definedName>
    <definedName name="errmsg.VarPairedShape" localSheetId="10">'RES_hu-HU'!$B$251</definedName>
    <definedName name="errmsg.VarPairedShape" localSheetId="11">'RES_it-IT'!$B$251</definedName>
    <definedName name="errmsg.VarPairedShape" localSheetId="12">'RES_ja-JP'!$B$251</definedName>
    <definedName name="errmsg.VarPairedShape" localSheetId="13">'RES_ko-KR'!$B$251</definedName>
    <definedName name="errmsg.VarPairedShape" localSheetId="14">'RES_lv-LV'!$B$251</definedName>
    <definedName name="errmsg.VarPairedShape" localSheetId="15">'RES_nb-NO'!$B$251</definedName>
    <definedName name="errmsg.VarPairedShape" localSheetId="16">'RES_nl-NL'!$B$251</definedName>
    <definedName name="errmsg.VarPairedShape" localSheetId="17">'RES_pl-PL'!$B$251</definedName>
    <definedName name="errmsg.VarPairedShape" localSheetId="18">'RES_pt-BR'!$B$251</definedName>
    <definedName name="errmsg.VarPairedShape" localSheetId="19">'RES_pt-PT'!$B$251</definedName>
    <definedName name="errmsg.VarPairedShape" localSheetId="20">'RES_ro-RO'!$B$251</definedName>
    <definedName name="errmsg.VarPairedShape" localSheetId="21">'RES_ru-RU'!$B$251</definedName>
    <definedName name="errmsg.VarPairedShape" localSheetId="22">'RES_sl-SI'!$B$251</definedName>
    <definedName name="errmsg.VarPairedShape" localSheetId="23">'RES_sv-SE'!$B$251</definedName>
    <definedName name="errmsg.VarPairedShape" localSheetId="24">'RES_tr-TR'!$B$251</definedName>
    <definedName name="errmsg.VarPairedShape" localSheetId="25">'RES_zh-CN'!$B$251</definedName>
    <definedName name="errmsg.VarPairedShape" localSheetId="26">'RES_zh-TW'!$B$251</definedName>
    <definedName name="errmsg.VarPairedSize" localSheetId="3">'RES_cs-CZ'!$B$252</definedName>
    <definedName name="errmsg.VarPairedSize" localSheetId="4">'RES_da-DK'!$B$252</definedName>
    <definedName name="errmsg.VarPairedSize" localSheetId="5">'RES_de-DE'!$B$252</definedName>
    <definedName name="errmsg.VarPairedSize" localSheetId="6">'RES_el-GR'!$B$252</definedName>
    <definedName name="errmsg.VarPairedSize" localSheetId="2">'RES_en-US'!$B$252</definedName>
    <definedName name="errmsg.VarPairedSize" localSheetId="7">'RES_es-ES'!$B$252</definedName>
    <definedName name="errmsg.VarPairedSize" localSheetId="8">'RES_fi-FI'!$B$252</definedName>
    <definedName name="errmsg.VarPairedSize" localSheetId="1">'RES_fr-FR'!$B$252</definedName>
    <definedName name="errmsg.VarPairedSize" localSheetId="9">'RES_hr-HR'!$B$252</definedName>
    <definedName name="errmsg.VarPairedSize" localSheetId="10">'RES_hu-HU'!$B$252</definedName>
    <definedName name="errmsg.VarPairedSize" localSheetId="11">'RES_it-IT'!$B$252</definedName>
    <definedName name="errmsg.VarPairedSize" localSheetId="12">'RES_ja-JP'!$B$252</definedName>
    <definedName name="errmsg.VarPairedSize" localSheetId="13">'RES_ko-KR'!$B$252</definedName>
    <definedName name="errmsg.VarPairedSize" localSheetId="14">'RES_lv-LV'!$B$252</definedName>
    <definedName name="errmsg.VarPairedSize" localSheetId="15">'RES_nb-NO'!$B$252</definedName>
    <definedName name="errmsg.VarPairedSize" localSheetId="16">'RES_nl-NL'!$B$252</definedName>
    <definedName name="errmsg.VarPairedSize" localSheetId="17">'RES_pl-PL'!$B$252</definedName>
    <definedName name="errmsg.VarPairedSize" localSheetId="18">'RES_pt-BR'!$B$252</definedName>
    <definedName name="errmsg.VarPairedSize" localSheetId="19">'RES_pt-PT'!$B$252</definedName>
    <definedName name="errmsg.VarPairedSize" localSheetId="20">'RES_ro-RO'!$B$252</definedName>
    <definedName name="errmsg.VarPairedSize" localSheetId="21">'RES_ru-RU'!$B$252</definedName>
    <definedName name="errmsg.VarPairedSize" localSheetId="22">'RES_sl-SI'!$B$252</definedName>
    <definedName name="errmsg.VarPairedSize" localSheetId="23">'RES_sv-SE'!$B$252</definedName>
    <definedName name="errmsg.VarPairedSize" localSheetId="24">'RES_tr-TR'!$B$252</definedName>
    <definedName name="errmsg.VarPairedSize" localSheetId="25">'RES_zh-CN'!$B$252</definedName>
    <definedName name="errmsg.VarPairedSize" localSheetId="26">'RES_zh-TW'!$B$252</definedName>
    <definedName name="errmsg.VarRg12Overlap" localSheetId="3">'RES_cs-CZ'!$B$256</definedName>
    <definedName name="errmsg.VarRg12Overlap" localSheetId="4">'RES_da-DK'!$B$256</definedName>
    <definedName name="errmsg.VarRg12Overlap" localSheetId="5">'RES_de-DE'!$B$256</definedName>
    <definedName name="errmsg.VarRg12Overlap" localSheetId="6">'RES_el-GR'!$B$256</definedName>
    <definedName name="errmsg.VarRg12Overlap" localSheetId="2">'RES_en-US'!$B$256</definedName>
    <definedName name="errmsg.VarRg12Overlap" localSheetId="7">'RES_es-ES'!$B$256</definedName>
    <definedName name="errmsg.VarRg12Overlap" localSheetId="8">'RES_fi-FI'!$B$256</definedName>
    <definedName name="errmsg.VarRg12Overlap" localSheetId="1">'RES_fr-FR'!$B$256</definedName>
    <definedName name="errmsg.VarRg12Overlap" localSheetId="9">'RES_hr-HR'!$B$256</definedName>
    <definedName name="errmsg.VarRg12Overlap" localSheetId="10">'RES_hu-HU'!$B$256</definedName>
    <definedName name="errmsg.VarRg12Overlap" localSheetId="11">'RES_it-IT'!$B$256</definedName>
    <definedName name="errmsg.VarRg12Overlap" localSheetId="12">'RES_ja-JP'!$B$256</definedName>
    <definedName name="errmsg.VarRg12Overlap" localSheetId="13">'RES_ko-KR'!$B$256</definedName>
    <definedName name="errmsg.VarRg12Overlap" localSheetId="14">'RES_lv-LV'!$B$256</definedName>
    <definedName name="errmsg.VarRg12Overlap" localSheetId="15">'RES_nb-NO'!$B$256</definedName>
    <definedName name="errmsg.VarRg12Overlap" localSheetId="16">'RES_nl-NL'!$B$256</definedName>
    <definedName name="errmsg.VarRg12Overlap" localSheetId="17">'RES_pl-PL'!$B$256</definedName>
    <definedName name="errmsg.VarRg12Overlap" localSheetId="18">'RES_pt-BR'!$B$256</definedName>
    <definedName name="errmsg.VarRg12Overlap" localSheetId="19">'RES_pt-PT'!$B$256</definedName>
    <definedName name="errmsg.VarRg12Overlap" localSheetId="20">'RES_ro-RO'!$B$256</definedName>
    <definedName name="errmsg.VarRg12Overlap" localSheetId="21">'RES_ru-RU'!$B$256</definedName>
    <definedName name="errmsg.VarRg12Overlap" localSheetId="22">'RES_sl-SI'!$B$256</definedName>
    <definedName name="errmsg.VarRg12Overlap" localSheetId="23">'RES_sv-SE'!$B$256</definedName>
    <definedName name="errmsg.VarRg12Overlap" localSheetId="24">'RES_tr-TR'!$B$256</definedName>
    <definedName name="errmsg.VarRg12Overlap" localSheetId="25">'RES_zh-CN'!$B$256</definedName>
    <definedName name="errmsg.VarRg12Overlap" localSheetId="26">'RES_zh-TW'!$B$256</definedName>
    <definedName name="errmsg.VarRg1MustBeRef" localSheetId="3">'RES_cs-CZ'!$B$254</definedName>
    <definedName name="errmsg.VarRg1MustBeRef" localSheetId="4">'RES_da-DK'!$B$254</definedName>
    <definedName name="errmsg.VarRg1MustBeRef" localSheetId="5">'RES_de-DE'!$B$254</definedName>
    <definedName name="errmsg.VarRg1MustBeRef" localSheetId="6">'RES_el-GR'!$B$254</definedName>
    <definedName name="errmsg.VarRg1MustBeRef" localSheetId="2">'RES_en-US'!$B$254</definedName>
    <definedName name="errmsg.VarRg1MustBeRef" localSheetId="7">'RES_es-ES'!$B$254</definedName>
    <definedName name="errmsg.VarRg1MustBeRef" localSheetId="8">'RES_fi-FI'!$B$254</definedName>
    <definedName name="errmsg.VarRg1MustBeRef" localSheetId="1">'RES_fr-FR'!$B$254</definedName>
    <definedName name="errmsg.VarRg1MustBeRef" localSheetId="9">'RES_hr-HR'!$B$254</definedName>
    <definedName name="errmsg.VarRg1MustBeRef" localSheetId="10">'RES_hu-HU'!$B$254</definedName>
    <definedName name="errmsg.VarRg1MustBeRef" localSheetId="11">'RES_it-IT'!$B$254</definedName>
    <definedName name="errmsg.VarRg1MustBeRef" localSheetId="12">'RES_ja-JP'!$B$254</definedName>
    <definedName name="errmsg.VarRg1MustBeRef" localSheetId="13">'RES_ko-KR'!$B$254</definedName>
    <definedName name="errmsg.VarRg1MustBeRef" localSheetId="14">'RES_lv-LV'!$B$254</definedName>
    <definedName name="errmsg.VarRg1MustBeRef" localSheetId="15">'RES_nb-NO'!$B$254</definedName>
    <definedName name="errmsg.VarRg1MustBeRef" localSheetId="16">'RES_nl-NL'!$B$254</definedName>
    <definedName name="errmsg.VarRg1MustBeRef" localSheetId="17">'RES_pl-PL'!$B$254</definedName>
    <definedName name="errmsg.VarRg1MustBeRef" localSheetId="18">'RES_pt-BR'!$B$254</definedName>
    <definedName name="errmsg.VarRg1MustBeRef" localSheetId="19">'RES_pt-PT'!$B$254</definedName>
    <definedName name="errmsg.VarRg1MustBeRef" localSheetId="20">'RES_ro-RO'!$B$254</definedName>
    <definedName name="errmsg.VarRg1MustBeRef" localSheetId="21">'RES_ru-RU'!$B$254</definedName>
    <definedName name="errmsg.VarRg1MustBeRef" localSheetId="22">'RES_sl-SI'!$B$254</definedName>
    <definedName name="errmsg.VarRg1MustBeRef" localSheetId="23">'RES_sv-SE'!$B$254</definedName>
    <definedName name="errmsg.VarRg1MustBeRef" localSheetId="24">'RES_tr-TR'!$B$254</definedName>
    <definedName name="errmsg.VarRg1MustBeRef" localSheetId="25">'RES_zh-CN'!$B$254</definedName>
    <definedName name="errmsg.VarRg1MustBeRef" localSheetId="26">'RES_zh-TW'!$B$254</definedName>
    <definedName name="errmsg.VarRg1OutOverlap" localSheetId="3">'RES_cs-CZ'!$B$257</definedName>
    <definedName name="errmsg.VarRg1OutOverlap" localSheetId="4">'RES_da-DK'!$B$257</definedName>
    <definedName name="errmsg.VarRg1OutOverlap" localSheetId="5">'RES_de-DE'!$B$257</definedName>
    <definedName name="errmsg.VarRg1OutOverlap" localSheetId="6">'RES_el-GR'!$B$257</definedName>
    <definedName name="errmsg.VarRg1OutOverlap" localSheetId="2">'RES_en-US'!$B$257</definedName>
    <definedName name="errmsg.VarRg1OutOverlap" localSheetId="7">'RES_es-ES'!$B$257</definedName>
    <definedName name="errmsg.VarRg1OutOverlap" localSheetId="8">'RES_fi-FI'!$B$257</definedName>
    <definedName name="errmsg.VarRg1OutOverlap" localSheetId="1">'RES_fr-FR'!$B$257</definedName>
    <definedName name="errmsg.VarRg1OutOverlap" localSheetId="9">'RES_hr-HR'!$B$257</definedName>
    <definedName name="errmsg.VarRg1OutOverlap" localSheetId="10">'RES_hu-HU'!$B$257</definedName>
    <definedName name="errmsg.VarRg1OutOverlap" localSheetId="11">'RES_it-IT'!$B$257</definedName>
    <definedName name="errmsg.VarRg1OutOverlap" localSheetId="12">'RES_ja-JP'!$B$257</definedName>
    <definedName name="errmsg.VarRg1OutOverlap" localSheetId="13">'RES_ko-KR'!$B$257</definedName>
    <definedName name="errmsg.VarRg1OutOverlap" localSheetId="14">'RES_lv-LV'!$B$257</definedName>
    <definedName name="errmsg.VarRg1OutOverlap" localSheetId="15">'RES_nb-NO'!$B$257</definedName>
    <definedName name="errmsg.VarRg1OutOverlap" localSheetId="16">'RES_nl-NL'!$B$257</definedName>
    <definedName name="errmsg.VarRg1OutOverlap" localSheetId="17">'RES_pl-PL'!$B$257</definedName>
    <definedName name="errmsg.VarRg1OutOverlap" localSheetId="18">'RES_pt-BR'!$B$257</definedName>
    <definedName name="errmsg.VarRg1OutOverlap" localSheetId="19">'RES_pt-PT'!$B$257</definedName>
    <definedName name="errmsg.VarRg1OutOverlap" localSheetId="20">'RES_ro-RO'!$B$257</definedName>
    <definedName name="errmsg.VarRg1OutOverlap" localSheetId="21">'RES_ru-RU'!$B$257</definedName>
    <definedName name="errmsg.VarRg1OutOverlap" localSheetId="22">'RES_sl-SI'!$B$257</definedName>
    <definedName name="errmsg.VarRg1OutOverlap" localSheetId="23">'RES_sv-SE'!$B$257</definedName>
    <definedName name="errmsg.VarRg1OutOverlap" localSheetId="24">'RES_tr-TR'!$B$257</definedName>
    <definedName name="errmsg.VarRg1OutOverlap" localSheetId="25">'RES_zh-CN'!$B$257</definedName>
    <definedName name="errmsg.VarRg1OutOverlap" localSheetId="26">'RES_zh-TW'!$B$257</definedName>
    <definedName name="errmsg.VarRg1Req" localSheetId="3">'RES_cs-CZ'!$B$255</definedName>
    <definedName name="errmsg.VarRg1Req" localSheetId="4">'RES_da-DK'!$B$255</definedName>
    <definedName name="errmsg.VarRg1Req" localSheetId="5">'RES_de-DE'!$B$255</definedName>
    <definedName name="errmsg.VarRg1Req" localSheetId="6">'RES_el-GR'!$B$255</definedName>
    <definedName name="errmsg.VarRg1Req" localSheetId="2">'RES_en-US'!$B$255</definedName>
    <definedName name="errmsg.VarRg1Req" localSheetId="7">'RES_es-ES'!$B$255</definedName>
    <definedName name="errmsg.VarRg1Req" localSheetId="8">'RES_fi-FI'!$B$255</definedName>
    <definedName name="errmsg.VarRg1Req" localSheetId="1">'RES_fr-FR'!$B$255</definedName>
    <definedName name="errmsg.VarRg1Req" localSheetId="9">'RES_hr-HR'!$B$255</definedName>
    <definedName name="errmsg.VarRg1Req" localSheetId="10">'RES_hu-HU'!$B$255</definedName>
    <definedName name="errmsg.VarRg1Req" localSheetId="11">'RES_it-IT'!$B$255</definedName>
    <definedName name="errmsg.VarRg1Req" localSheetId="12">'RES_ja-JP'!$B$255</definedName>
    <definedName name="errmsg.VarRg1Req" localSheetId="13">'RES_ko-KR'!$B$255</definedName>
    <definedName name="errmsg.VarRg1Req" localSheetId="14">'RES_lv-LV'!$B$255</definedName>
    <definedName name="errmsg.VarRg1Req" localSheetId="15">'RES_nb-NO'!$B$255</definedName>
    <definedName name="errmsg.VarRg1Req" localSheetId="16">'RES_nl-NL'!$B$255</definedName>
    <definedName name="errmsg.VarRg1Req" localSheetId="17">'RES_pl-PL'!$B$255</definedName>
    <definedName name="errmsg.VarRg1Req" localSheetId="18">'RES_pt-BR'!$B$255</definedName>
    <definedName name="errmsg.VarRg1Req" localSheetId="19">'RES_pt-PT'!$B$255</definedName>
    <definedName name="errmsg.VarRg1Req" localSheetId="20">'RES_ro-RO'!$B$255</definedName>
    <definedName name="errmsg.VarRg1Req" localSheetId="21">'RES_ru-RU'!$B$255</definedName>
    <definedName name="errmsg.VarRg1Req" localSheetId="22">'RES_sl-SI'!$B$255</definedName>
    <definedName name="errmsg.VarRg1Req" localSheetId="23">'RES_sv-SE'!$B$255</definedName>
    <definedName name="errmsg.VarRg1Req" localSheetId="24">'RES_tr-TR'!$B$255</definedName>
    <definedName name="errmsg.VarRg1Req" localSheetId="25">'RES_zh-CN'!$B$255</definedName>
    <definedName name="errmsg.VarRg1Req" localSheetId="26">'RES_zh-TW'!$B$255</definedName>
    <definedName name="errmsg.VarRg2MustBeRef" localSheetId="3">'RES_cs-CZ'!$B$258</definedName>
    <definedName name="errmsg.VarRg2MustBeRef" localSheetId="4">'RES_da-DK'!$B$258</definedName>
    <definedName name="errmsg.VarRg2MustBeRef" localSheetId="5">'RES_de-DE'!$B$258</definedName>
    <definedName name="errmsg.VarRg2MustBeRef" localSheetId="6">'RES_el-GR'!$B$258</definedName>
    <definedName name="errmsg.VarRg2MustBeRef" localSheetId="2">'RES_en-US'!$B$258</definedName>
    <definedName name="errmsg.VarRg2MustBeRef" localSheetId="7">'RES_es-ES'!$B$258</definedName>
    <definedName name="errmsg.VarRg2MustBeRef" localSheetId="8">'RES_fi-FI'!$B$258</definedName>
    <definedName name="errmsg.VarRg2MustBeRef" localSheetId="1">'RES_fr-FR'!$B$258</definedName>
    <definedName name="errmsg.VarRg2MustBeRef" localSheetId="9">'RES_hr-HR'!$B$258</definedName>
    <definedName name="errmsg.VarRg2MustBeRef" localSheetId="10">'RES_hu-HU'!$B$258</definedName>
    <definedName name="errmsg.VarRg2MustBeRef" localSheetId="11">'RES_it-IT'!$B$258</definedName>
    <definedName name="errmsg.VarRg2MustBeRef" localSheetId="12">'RES_ja-JP'!$B$258</definedName>
    <definedName name="errmsg.VarRg2MustBeRef" localSheetId="13">'RES_ko-KR'!$B$258</definedName>
    <definedName name="errmsg.VarRg2MustBeRef" localSheetId="14">'RES_lv-LV'!$B$258</definedName>
    <definedName name="errmsg.VarRg2MustBeRef" localSheetId="15">'RES_nb-NO'!$B$258</definedName>
    <definedName name="errmsg.VarRg2MustBeRef" localSheetId="16">'RES_nl-NL'!$B$258</definedName>
    <definedName name="errmsg.VarRg2MustBeRef" localSheetId="17">'RES_pl-PL'!$B$258</definedName>
    <definedName name="errmsg.VarRg2MustBeRef" localSheetId="18">'RES_pt-BR'!$B$258</definedName>
    <definedName name="errmsg.VarRg2MustBeRef" localSheetId="19">'RES_pt-PT'!$B$258</definedName>
    <definedName name="errmsg.VarRg2MustBeRef" localSheetId="20">'RES_ro-RO'!$B$258</definedName>
    <definedName name="errmsg.VarRg2MustBeRef" localSheetId="21">'RES_ru-RU'!$B$258</definedName>
    <definedName name="errmsg.VarRg2MustBeRef" localSheetId="22">'RES_sl-SI'!$B$258</definedName>
    <definedName name="errmsg.VarRg2MustBeRef" localSheetId="23">'RES_sv-SE'!$B$258</definedName>
    <definedName name="errmsg.VarRg2MustBeRef" localSheetId="24">'RES_tr-TR'!$B$258</definedName>
    <definedName name="errmsg.VarRg2MustBeRef" localSheetId="25">'RES_zh-CN'!$B$258</definedName>
    <definedName name="errmsg.VarRg2MustBeRef" localSheetId="26">'RES_zh-TW'!$B$258</definedName>
    <definedName name="errmsg.VarRg2OutOverlap" localSheetId="3">'RES_cs-CZ'!$B$260</definedName>
    <definedName name="errmsg.VarRg2OutOverlap" localSheetId="4">'RES_da-DK'!$B$260</definedName>
    <definedName name="errmsg.VarRg2OutOverlap" localSheetId="5">'RES_de-DE'!$B$260</definedName>
    <definedName name="errmsg.VarRg2OutOverlap" localSheetId="6">'RES_el-GR'!$B$260</definedName>
    <definedName name="errmsg.VarRg2OutOverlap" localSheetId="2">'RES_en-US'!$B$260</definedName>
    <definedName name="errmsg.VarRg2OutOverlap" localSheetId="7">'RES_es-ES'!$B$260</definedName>
    <definedName name="errmsg.VarRg2OutOverlap" localSheetId="8">'RES_fi-FI'!$B$260</definedName>
    <definedName name="errmsg.VarRg2OutOverlap" localSheetId="1">'RES_fr-FR'!$B$260</definedName>
    <definedName name="errmsg.VarRg2OutOverlap" localSheetId="9">'RES_hr-HR'!$B$260</definedName>
    <definedName name="errmsg.VarRg2OutOverlap" localSheetId="10">'RES_hu-HU'!$B$260</definedName>
    <definedName name="errmsg.VarRg2OutOverlap" localSheetId="11">'RES_it-IT'!$B$260</definedName>
    <definedName name="errmsg.VarRg2OutOverlap" localSheetId="12">'RES_ja-JP'!$B$260</definedName>
    <definedName name="errmsg.VarRg2OutOverlap" localSheetId="13">'RES_ko-KR'!$B$260</definedName>
    <definedName name="errmsg.VarRg2OutOverlap" localSheetId="14">'RES_lv-LV'!$B$260</definedName>
    <definedName name="errmsg.VarRg2OutOverlap" localSheetId="15">'RES_nb-NO'!$B$260</definedName>
    <definedName name="errmsg.VarRg2OutOverlap" localSheetId="16">'RES_nl-NL'!$B$260</definedName>
    <definedName name="errmsg.VarRg2OutOverlap" localSheetId="17">'RES_pl-PL'!$B$260</definedName>
    <definedName name="errmsg.VarRg2OutOverlap" localSheetId="18">'RES_pt-BR'!$B$260</definedName>
    <definedName name="errmsg.VarRg2OutOverlap" localSheetId="19">'RES_pt-PT'!$B$260</definedName>
    <definedName name="errmsg.VarRg2OutOverlap" localSheetId="20">'RES_ro-RO'!$B$260</definedName>
    <definedName name="errmsg.VarRg2OutOverlap" localSheetId="21">'RES_ru-RU'!$B$260</definedName>
    <definedName name="errmsg.VarRg2OutOverlap" localSheetId="22">'RES_sl-SI'!$B$260</definedName>
    <definedName name="errmsg.VarRg2OutOverlap" localSheetId="23">'RES_sv-SE'!$B$260</definedName>
    <definedName name="errmsg.VarRg2OutOverlap" localSheetId="24">'RES_tr-TR'!$B$260</definedName>
    <definedName name="errmsg.VarRg2OutOverlap" localSheetId="25">'RES_zh-CN'!$B$260</definedName>
    <definedName name="errmsg.VarRg2OutOverlap" localSheetId="26">'RES_zh-TW'!$B$260</definedName>
    <definedName name="errmsg.VarRg2Req" localSheetId="3">'RES_cs-CZ'!$B$259</definedName>
    <definedName name="errmsg.VarRg2Req" localSheetId="4">'RES_da-DK'!$B$259</definedName>
    <definedName name="errmsg.VarRg2Req" localSheetId="5">'RES_de-DE'!$B$259</definedName>
    <definedName name="errmsg.VarRg2Req" localSheetId="6">'RES_el-GR'!$B$259</definedName>
    <definedName name="errmsg.VarRg2Req" localSheetId="2">'RES_en-US'!$B$259</definedName>
    <definedName name="errmsg.VarRg2Req" localSheetId="7">'RES_es-ES'!$B$259</definedName>
    <definedName name="errmsg.VarRg2Req" localSheetId="8">'RES_fi-FI'!$B$259</definedName>
    <definedName name="errmsg.VarRg2Req" localSheetId="1">'RES_fr-FR'!$B$259</definedName>
    <definedName name="errmsg.VarRg2Req" localSheetId="9">'RES_hr-HR'!$B$259</definedName>
    <definedName name="errmsg.VarRg2Req" localSheetId="10">'RES_hu-HU'!$B$259</definedName>
    <definedName name="errmsg.VarRg2Req" localSheetId="11">'RES_it-IT'!$B$259</definedName>
    <definedName name="errmsg.VarRg2Req" localSheetId="12">'RES_ja-JP'!$B$259</definedName>
    <definedName name="errmsg.VarRg2Req" localSheetId="13">'RES_ko-KR'!$B$259</definedName>
    <definedName name="errmsg.VarRg2Req" localSheetId="14">'RES_lv-LV'!$B$259</definedName>
    <definedName name="errmsg.VarRg2Req" localSheetId="15">'RES_nb-NO'!$B$259</definedName>
    <definedName name="errmsg.VarRg2Req" localSheetId="16">'RES_nl-NL'!$B$259</definedName>
    <definedName name="errmsg.VarRg2Req" localSheetId="17">'RES_pl-PL'!$B$259</definedName>
    <definedName name="errmsg.VarRg2Req" localSheetId="18">'RES_pt-BR'!$B$259</definedName>
    <definedName name="errmsg.VarRg2Req" localSheetId="19">'RES_pt-PT'!$B$259</definedName>
    <definedName name="errmsg.VarRg2Req" localSheetId="20">'RES_ro-RO'!$B$259</definedName>
    <definedName name="errmsg.VarRg2Req" localSheetId="21">'RES_ru-RU'!$B$259</definedName>
    <definedName name="errmsg.VarRg2Req" localSheetId="22">'RES_sl-SI'!$B$259</definedName>
    <definedName name="errmsg.VarRg2Req" localSheetId="23">'RES_sv-SE'!$B$259</definedName>
    <definedName name="errmsg.VarRg2Req" localSheetId="24">'RES_tr-TR'!$B$259</definedName>
    <definedName name="errmsg.VarRg2Req" localSheetId="25">'RES_zh-CN'!$B$259</definedName>
    <definedName name="errmsg.VarRg2Req" localSheetId="26">'RES_zh-TW'!$B$259</definedName>
    <definedName name="errmsg.VarRgTooSmall" localSheetId="3">'RES_cs-CZ'!$B$253</definedName>
    <definedName name="errmsg.VarRgTooSmall" localSheetId="4">'RES_da-DK'!$B$253</definedName>
    <definedName name="errmsg.VarRgTooSmall" localSheetId="5">'RES_de-DE'!$B$253</definedName>
    <definedName name="errmsg.VarRgTooSmall" localSheetId="6">'RES_el-GR'!$B$253</definedName>
    <definedName name="errmsg.VarRgTooSmall" localSheetId="2">'RES_en-US'!$B$253</definedName>
    <definedName name="errmsg.VarRgTooSmall" localSheetId="7">'RES_es-ES'!$B$253</definedName>
    <definedName name="errmsg.VarRgTooSmall" localSheetId="8">'RES_fi-FI'!$B$253</definedName>
    <definedName name="errmsg.VarRgTooSmall" localSheetId="1">'RES_fr-FR'!$B$253</definedName>
    <definedName name="errmsg.VarRgTooSmall" localSheetId="9">'RES_hr-HR'!$B$253</definedName>
    <definedName name="errmsg.VarRgTooSmall" localSheetId="10">'RES_hu-HU'!$B$253</definedName>
    <definedName name="errmsg.VarRgTooSmall" localSheetId="11">'RES_it-IT'!$B$253</definedName>
    <definedName name="errmsg.VarRgTooSmall" localSheetId="12">'RES_ja-JP'!$B$253</definedName>
    <definedName name="errmsg.VarRgTooSmall" localSheetId="13">'RES_ko-KR'!$B$253</definedName>
    <definedName name="errmsg.VarRgTooSmall" localSheetId="14">'RES_lv-LV'!$B$253</definedName>
    <definedName name="errmsg.VarRgTooSmall" localSheetId="15">'RES_nb-NO'!$B$253</definedName>
    <definedName name="errmsg.VarRgTooSmall" localSheetId="16">'RES_nl-NL'!$B$253</definedName>
    <definedName name="errmsg.VarRgTooSmall" localSheetId="17">'RES_pl-PL'!$B$253</definedName>
    <definedName name="errmsg.VarRgTooSmall" localSheetId="18">'RES_pt-BR'!$B$253</definedName>
    <definedName name="errmsg.VarRgTooSmall" localSheetId="19">'RES_pt-PT'!$B$253</definedName>
    <definedName name="errmsg.VarRgTooSmall" localSheetId="20">'RES_ro-RO'!$B$253</definedName>
    <definedName name="errmsg.VarRgTooSmall" localSheetId="21">'RES_ru-RU'!$B$253</definedName>
    <definedName name="errmsg.VarRgTooSmall" localSheetId="22">'RES_sl-SI'!$B$253</definedName>
    <definedName name="errmsg.VarRgTooSmall" localSheetId="23">'RES_sv-SE'!$B$253</definedName>
    <definedName name="errmsg.VarRgTooSmall" localSheetId="24">'RES_tr-TR'!$B$253</definedName>
    <definedName name="errmsg.VarRgTooSmall" localSheetId="25">'RES_zh-CN'!$B$253</definedName>
    <definedName name="errmsg.VarRgTooSmall" localSheetId="26">'RES_zh-TW'!$B$253</definedName>
    <definedName name="errmsg.WrongDistType" localSheetId="3">'RES_cs-CZ'!$B$261</definedName>
    <definedName name="errmsg.WrongDistType" localSheetId="4">'RES_da-DK'!$B$261</definedName>
    <definedName name="errmsg.WrongDistType" localSheetId="5">'RES_de-DE'!$B$261</definedName>
    <definedName name="errmsg.WrongDistType" localSheetId="6">'RES_el-GR'!$B$261</definedName>
    <definedName name="errmsg.WrongDistType" localSheetId="2">'RES_en-US'!$B$261</definedName>
    <definedName name="errmsg.WrongDistType" localSheetId="7">'RES_es-ES'!$B$261</definedName>
    <definedName name="errmsg.WrongDistType" localSheetId="8">'RES_fi-FI'!$B$261</definedName>
    <definedName name="errmsg.WrongDistType" localSheetId="1">'RES_fr-FR'!$B$261</definedName>
    <definedName name="errmsg.WrongDistType" localSheetId="9">'RES_hr-HR'!$B$261</definedName>
    <definedName name="errmsg.WrongDistType" localSheetId="10">'RES_hu-HU'!$B$261</definedName>
    <definedName name="errmsg.WrongDistType" localSheetId="11">'RES_it-IT'!$B$261</definedName>
    <definedName name="errmsg.WrongDistType" localSheetId="12">'RES_ja-JP'!$B$261</definedName>
    <definedName name="errmsg.WrongDistType" localSheetId="13">'RES_ko-KR'!$B$261</definedName>
    <definedName name="errmsg.WrongDistType" localSheetId="14">'RES_lv-LV'!$B$261</definedName>
    <definedName name="errmsg.WrongDistType" localSheetId="15">'RES_nb-NO'!$B$261</definedName>
    <definedName name="errmsg.WrongDistType" localSheetId="16">'RES_nl-NL'!$B$261</definedName>
    <definedName name="errmsg.WrongDistType" localSheetId="17">'RES_pl-PL'!$B$261</definedName>
    <definedName name="errmsg.WrongDistType" localSheetId="18">'RES_pt-BR'!$B$261</definedName>
    <definedName name="errmsg.WrongDistType" localSheetId="19">'RES_pt-PT'!$B$261</definedName>
    <definedName name="errmsg.WrongDistType" localSheetId="20">'RES_ro-RO'!$B$261</definedName>
    <definedName name="errmsg.WrongDistType" localSheetId="21">'RES_ru-RU'!$B$261</definedName>
    <definedName name="errmsg.WrongDistType" localSheetId="22">'RES_sl-SI'!$B$261</definedName>
    <definedName name="errmsg.WrongDistType" localSheetId="23">'RES_sv-SE'!$B$261</definedName>
    <definedName name="errmsg.WrongDistType" localSheetId="24">'RES_tr-TR'!$B$261</definedName>
    <definedName name="errmsg.WrongDistType" localSheetId="25">'RES_zh-CN'!$B$261</definedName>
    <definedName name="errmsg.WrongDistType" localSheetId="26">'RES_zh-TW'!$B$261</definedName>
    <definedName name="errmsg.XOutOverlap" localSheetId="3">'RES_cs-CZ'!$B$262</definedName>
    <definedName name="errmsg.XOutOverlap" localSheetId="4">'RES_da-DK'!$B$262</definedName>
    <definedName name="errmsg.XOutOverlap" localSheetId="5">'RES_de-DE'!$B$262</definedName>
    <definedName name="errmsg.XOutOverlap" localSheetId="6">'RES_el-GR'!$B$262</definedName>
    <definedName name="errmsg.XOutOverlap" localSheetId="2">'RES_en-US'!$B$262</definedName>
    <definedName name="errmsg.XOutOverlap" localSheetId="7">'RES_es-ES'!$B$262</definedName>
    <definedName name="errmsg.XOutOverlap" localSheetId="8">'RES_fi-FI'!$B$262</definedName>
    <definedName name="errmsg.XOutOverlap" localSheetId="1">'RES_fr-FR'!$B$262</definedName>
    <definedName name="errmsg.XOutOverlap" localSheetId="9">'RES_hr-HR'!$B$262</definedName>
    <definedName name="errmsg.XOutOverlap" localSheetId="10">'RES_hu-HU'!$B$262</definedName>
    <definedName name="errmsg.XOutOverlap" localSheetId="11">'RES_it-IT'!$B$262</definedName>
    <definedName name="errmsg.XOutOverlap" localSheetId="12">'RES_ja-JP'!$B$262</definedName>
    <definedName name="errmsg.XOutOverlap" localSheetId="13">'RES_ko-KR'!$B$262</definedName>
    <definedName name="errmsg.XOutOverlap" localSheetId="14">'RES_lv-LV'!$B$262</definedName>
    <definedName name="errmsg.XOutOverlap" localSheetId="15">'RES_nb-NO'!$B$262</definedName>
    <definedName name="errmsg.XOutOverlap" localSheetId="16">'RES_nl-NL'!$B$262</definedName>
    <definedName name="errmsg.XOutOverlap" localSheetId="17">'RES_pl-PL'!$B$262</definedName>
    <definedName name="errmsg.XOutOverlap" localSheetId="18">'RES_pt-BR'!$B$262</definedName>
    <definedName name="errmsg.XOutOverlap" localSheetId="19">'RES_pt-PT'!$B$262</definedName>
    <definedName name="errmsg.XOutOverlap" localSheetId="20">'RES_ro-RO'!$B$262</definedName>
    <definedName name="errmsg.XOutOverlap" localSheetId="21">'RES_ru-RU'!$B$262</definedName>
    <definedName name="errmsg.XOutOverlap" localSheetId="22">'RES_sl-SI'!$B$262</definedName>
    <definedName name="errmsg.XOutOverlap" localSheetId="23">'RES_sv-SE'!$B$262</definedName>
    <definedName name="errmsg.XOutOverlap" localSheetId="24">'RES_tr-TR'!$B$262</definedName>
    <definedName name="errmsg.XOutOverlap" localSheetId="25">'RES_zh-CN'!$B$262</definedName>
    <definedName name="errmsg.XOutOverlap" localSheetId="26">'RES_zh-TW'!$B$262</definedName>
    <definedName name="errmsg.XRgMustBeRef" localSheetId="3">'RES_cs-CZ'!$B$263</definedName>
    <definedName name="errmsg.XRgMustBeRef" localSheetId="4">'RES_da-DK'!$B$263</definedName>
    <definedName name="errmsg.XRgMustBeRef" localSheetId="5">'RES_de-DE'!$B$263</definedName>
    <definedName name="errmsg.XRgMustBeRef" localSheetId="6">'RES_el-GR'!$B$263</definedName>
    <definedName name="errmsg.XRgMustBeRef" localSheetId="2">'RES_en-US'!$B$263</definedName>
    <definedName name="errmsg.XRgMustBeRef" localSheetId="7">'RES_es-ES'!$B$263</definedName>
    <definedName name="errmsg.XRgMustBeRef" localSheetId="8">'RES_fi-FI'!$B$263</definedName>
    <definedName name="errmsg.XRgMustBeRef" localSheetId="1">'RES_fr-FR'!$B$263</definedName>
    <definedName name="errmsg.XRgMustBeRef" localSheetId="9">'RES_hr-HR'!$B$263</definedName>
    <definedName name="errmsg.XRgMustBeRef" localSheetId="10">'RES_hu-HU'!$B$263</definedName>
    <definedName name="errmsg.XRgMustBeRef" localSheetId="11">'RES_it-IT'!$B$263</definedName>
    <definedName name="errmsg.XRgMustBeRef" localSheetId="12">'RES_ja-JP'!$B$263</definedName>
    <definedName name="errmsg.XRgMustBeRef" localSheetId="13">'RES_ko-KR'!$B$263</definedName>
    <definedName name="errmsg.XRgMustBeRef" localSheetId="14">'RES_lv-LV'!$B$263</definedName>
    <definedName name="errmsg.XRgMustBeRef" localSheetId="15">'RES_nb-NO'!$B$263</definedName>
    <definedName name="errmsg.XRgMustBeRef" localSheetId="16">'RES_nl-NL'!$B$263</definedName>
    <definedName name="errmsg.XRgMustBeRef" localSheetId="17">'RES_pl-PL'!$B$263</definedName>
    <definedName name="errmsg.XRgMustBeRef" localSheetId="18">'RES_pt-BR'!$B$263</definedName>
    <definedName name="errmsg.XRgMustBeRef" localSheetId="19">'RES_pt-PT'!$B$263</definedName>
    <definedName name="errmsg.XRgMustBeRef" localSheetId="20">'RES_ro-RO'!$B$263</definedName>
    <definedName name="errmsg.XRgMustBeRef" localSheetId="21">'RES_ru-RU'!$B$263</definedName>
    <definedName name="errmsg.XRgMustBeRef" localSheetId="22">'RES_sl-SI'!$B$263</definedName>
    <definedName name="errmsg.XRgMustBeRef" localSheetId="23">'RES_sv-SE'!$B$263</definedName>
    <definedName name="errmsg.XRgMustBeRef" localSheetId="24">'RES_tr-TR'!$B$263</definedName>
    <definedName name="errmsg.XRgMustBeRef" localSheetId="25">'RES_zh-CN'!$B$263</definedName>
    <definedName name="errmsg.XRgMustBeRef" localSheetId="26">'RES_zh-TW'!$B$263</definedName>
    <definedName name="errmsg.XRgRequired" localSheetId="3">'RES_cs-CZ'!$B$264</definedName>
    <definedName name="errmsg.XRgRequired" localSheetId="4">'RES_da-DK'!$B$264</definedName>
    <definedName name="errmsg.XRgRequired" localSheetId="5">'RES_de-DE'!$B$264</definedName>
    <definedName name="errmsg.XRgRequired" localSheetId="6">'RES_el-GR'!$B$264</definedName>
    <definedName name="errmsg.XRgRequired" localSheetId="2">'RES_en-US'!$B$264</definedName>
    <definedName name="errmsg.XRgRequired" localSheetId="7">'RES_es-ES'!$B$264</definedName>
    <definedName name="errmsg.XRgRequired" localSheetId="8">'RES_fi-FI'!$B$264</definedName>
    <definedName name="errmsg.XRgRequired" localSheetId="1">'RES_fr-FR'!$B$264</definedName>
    <definedName name="errmsg.XRgRequired" localSheetId="9">'RES_hr-HR'!$B$264</definedName>
    <definedName name="errmsg.XRgRequired" localSheetId="10">'RES_hu-HU'!$B$264</definedName>
    <definedName name="errmsg.XRgRequired" localSheetId="11">'RES_it-IT'!$B$264</definedName>
    <definedName name="errmsg.XRgRequired" localSheetId="12">'RES_ja-JP'!$B$264</definedName>
    <definedName name="errmsg.XRgRequired" localSheetId="13">'RES_ko-KR'!$B$264</definedName>
    <definedName name="errmsg.XRgRequired" localSheetId="14">'RES_lv-LV'!$B$264</definedName>
    <definedName name="errmsg.XRgRequired" localSheetId="15">'RES_nb-NO'!$B$264</definedName>
    <definedName name="errmsg.XRgRequired" localSheetId="16">'RES_nl-NL'!$B$264</definedName>
    <definedName name="errmsg.XRgRequired" localSheetId="17">'RES_pl-PL'!$B$264</definedName>
    <definedName name="errmsg.XRgRequired" localSheetId="18">'RES_pt-BR'!$B$264</definedName>
    <definedName name="errmsg.XRgRequired" localSheetId="19">'RES_pt-PT'!$B$264</definedName>
    <definedName name="errmsg.XRgRequired" localSheetId="20">'RES_ro-RO'!$B$264</definedName>
    <definedName name="errmsg.XRgRequired" localSheetId="21">'RES_ru-RU'!$B$264</definedName>
    <definedName name="errmsg.XRgRequired" localSheetId="22">'RES_sl-SI'!$B$264</definedName>
    <definedName name="errmsg.XRgRequired" localSheetId="23">'RES_sv-SE'!$B$264</definedName>
    <definedName name="errmsg.XRgRequired" localSheetId="24">'RES_tr-TR'!$B$264</definedName>
    <definedName name="errmsg.XRgRequired" localSheetId="25">'RES_zh-CN'!$B$264</definedName>
    <definedName name="errmsg.XRgRequired" localSheetId="26">'RES_zh-TW'!$B$264</definedName>
    <definedName name="errmsg.XRgsquare" localSheetId="3">'RES_cs-CZ'!$B$265</definedName>
    <definedName name="errmsg.XRgsquare" localSheetId="4">'RES_da-DK'!$B$265</definedName>
    <definedName name="errmsg.XRgsquare" localSheetId="5">'RES_de-DE'!$B$265</definedName>
    <definedName name="errmsg.XRgsquare" localSheetId="6">'RES_el-GR'!$B$265</definedName>
    <definedName name="errmsg.XRgsquare" localSheetId="2">'RES_en-US'!$B$265</definedName>
    <definedName name="errmsg.XRgsquare" localSheetId="7">'RES_es-ES'!$B$265</definedName>
    <definedName name="errmsg.XRgsquare" localSheetId="8">'RES_fi-FI'!$B$265</definedName>
    <definedName name="errmsg.XRgsquare" localSheetId="1">'RES_fr-FR'!$B$265</definedName>
    <definedName name="errmsg.XRgsquare" localSheetId="9">'RES_hr-HR'!$B$265</definedName>
    <definedName name="errmsg.XRgsquare" localSheetId="10">'RES_hu-HU'!$B$265</definedName>
    <definedName name="errmsg.XRgsquare" localSheetId="11">'RES_it-IT'!$B$265</definedName>
    <definedName name="errmsg.XRgsquare" localSheetId="12">'RES_ja-JP'!$B$265</definedName>
    <definedName name="errmsg.XRgsquare" localSheetId="13">'RES_ko-KR'!$B$265</definedName>
    <definedName name="errmsg.XRgsquare" localSheetId="14">'RES_lv-LV'!$B$265</definedName>
    <definedName name="errmsg.XRgsquare" localSheetId="15">'RES_nb-NO'!$B$265</definedName>
    <definedName name="errmsg.XRgsquare" localSheetId="16">'RES_nl-NL'!$B$265</definedName>
    <definedName name="errmsg.XRgsquare" localSheetId="17">'RES_pl-PL'!$B$265</definedName>
    <definedName name="errmsg.XRgsquare" localSheetId="18">'RES_pt-BR'!$B$265</definedName>
    <definedName name="errmsg.XRgsquare" localSheetId="19">'RES_pt-PT'!$B$265</definedName>
    <definedName name="errmsg.XRgsquare" localSheetId="20">'RES_ro-RO'!$B$265</definedName>
    <definedName name="errmsg.XRgsquare" localSheetId="21">'RES_ru-RU'!$B$265</definedName>
    <definedName name="errmsg.XRgsquare" localSheetId="22">'RES_sl-SI'!$B$265</definedName>
    <definedName name="errmsg.XRgsquare" localSheetId="23">'RES_sv-SE'!$B$265</definedName>
    <definedName name="errmsg.XRgsquare" localSheetId="24">'RES_tr-TR'!$B$265</definedName>
    <definedName name="errmsg.XRgsquare" localSheetId="25">'RES_zh-CN'!$B$265</definedName>
    <definedName name="errmsg.XRgsquare" localSheetId="26">'RES_zh-TW'!$B$265</definedName>
    <definedName name="errmsg.XYOverlap" localSheetId="3">'RES_cs-CZ'!$B$266</definedName>
    <definedName name="errmsg.XYOverlap" localSheetId="4">'RES_da-DK'!$B$266</definedName>
    <definedName name="errmsg.XYOverlap" localSheetId="5">'RES_de-DE'!$B$266</definedName>
    <definedName name="errmsg.XYOverlap" localSheetId="6">'RES_el-GR'!$B$266</definedName>
    <definedName name="errmsg.XYOverlap" localSheetId="2">'RES_en-US'!$B$266</definedName>
    <definedName name="errmsg.XYOverlap" localSheetId="7">'RES_es-ES'!$B$266</definedName>
    <definedName name="errmsg.XYOverlap" localSheetId="8">'RES_fi-FI'!$B$266</definedName>
    <definedName name="errmsg.XYOverlap" localSheetId="1">'RES_fr-FR'!$B$266</definedName>
    <definedName name="errmsg.XYOverlap" localSheetId="9">'RES_hr-HR'!$B$266</definedName>
    <definedName name="errmsg.XYOverlap" localSheetId="10">'RES_hu-HU'!$B$266</definedName>
    <definedName name="errmsg.XYOverlap" localSheetId="11">'RES_it-IT'!$B$266</definedName>
    <definedName name="errmsg.XYOverlap" localSheetId="12">'RES_ja-JP'!$B$266</definedName>
    <definedName name="errmsg.XYOverlap" localSheetId="13">'RES_ko-KR'!$B$266</definedName>
    <definedName name="errmsg.XYOverlap" localSheetId="14">'RES_lv-LV'!$B$266</definedName>
    <definedName name="errmsg.XYOverlap" localSheetId="15">'RES_nb-NO'!$B$266</definedName>
    <definedName name="errmsg.XYOverlap" localSheetId="16">'RES_nl-NL'!$B$266</definedName>
    <definedName name="errmsg.XYOverlap" localSheetId="17">'RES_pl-PL'!$B$266</definedName>
    <definedName name="errmsg.XYOverlap" localSheetId="18">'RES_pt-BR'!$B$266</definedName>
    <definedName name="errmsg.XYOverlap" localSheetId="19">'RES_pt-PT'!$B$266</definedName>
    <definedName name="errmsg.XYOverlap" localSheetId="20">'RES_ro-RO'!$B$266</definedName>
    <definedName name="errmsg.XYOverlap" localSheetId="21">'RES_ru-RU'!$B$266</definedName>
    <definedName name="errmsg.XYOverlap" localSheetId="22">'RES_sl-SI'!$B$266</definedName>
    <definedName name="errmsg.XYOverlap" localSheetId="23">'RES_sv-SE'!$B$266</definedName>
    <definedName name="errmsg.XYOverlap" localSheetId="24">'RES_tr-TR'!$B$266</definedName>
    <definedName name="errmsg.XYOverlap" localSheetId="25">'RES_zh-CN'!$B$266</definedName>
    <definedName name="errmsg.XYOverlap" localSheetId="26">'RES_zh-TW'!$B$266</definedName>
    <definedName name="errmsg.YOutOverlap" localSheetId="3">'RES_cs-CZ'!$B$267</definedName>
    <definedName name="errmsg.YOutOverlap" localSheetId="4">'RES_da-DK'!$B$267</definedName>
    <definedName name="errmsg.YOutOverlap" localSheetId="5">'RES_de-DE'!$B$267</definedName>
    <definedName name="errmsg.YOutOverlap" localSheetId="6">'RES_el-GR'!$B$267</definedName>
    <definedName name="errmsg.YOutOverlap" localSheetId="2">'RES_en-US'!$B$267</definedName>
    <definedName name="errmsg.YOutOverlap" localSheetId="7">'RES_es-ES'!$B$267</definedName>
    <definedName name="errmsg.YOutOverlap" localSheetId="8">'RES_fi-FI'!$B$267</definedName>
    <definedName name="errmsg.YOutOverlap" localSheetId="1">'RES_fr-FR'!$B$267</definedName>
    <definedName name="errmsg.YOutOverlap" localSheetId="9">'RES_hr-HR'!$B$267</definedName>
    <definedName name="errmsg.YOutOverlap" localSheetId="10">'RES_hu-HU'!$B$267</definedName>
    <definedName name="errmsg.YOutOverlap" localSheetId="11">'RES_it-IT'!$B$267</definedName>
    <definedName name="errmsg.YOutOverlap" localSheetId="12">'RES_ja-JP'!$B$267</definedName>
    <definedName name="errmsg.YOutOverlap" localSheetId="13">'RES_ko-KR'!$B$267</definedName>
    <definedName name="errmsg.YOutOverlap" localSheetId="14">'RES_lv-LV'!$B$267</definedName>
    <definedName name="errmsg.YOutOverlap" localSheetId="15">'RES_nb-NO'!$B$267</definedName>
    <definedName name="errmsg.YOutOverlap" localSheetId="16">'RES_nl-NL'!$B$267</definedName>
    <definedName name="errmsg.YOutOverlap" localSheetId="17">'RES_pl-PL'!$B$267</definedName>
    <definedName name="errmsg.YOutOverlap" localSheetId="18">'RES_pt-BR'!$B$267</definedName>
    <definedName name="errmsg.YOutOverlap" localSheetId="19">'RES_pt-PT'!$B$267</definedName>
    <definedName name="errmsg.YOutOverlap" localSheetId="20">'RES_ro-RO'!$B$267</definedName>
    <definedName name="errmsg.YOutOverlap" localSheetId="21">'RES_ru-RU'!$B$267</definedName>
    <definedName name="errmsg.YOutOverlap" localSheetId="22">'RES_sl-SI'!$B$267</definedName>
    <definedName name="errmsg.YOutOverlap" localSheetId="23">'RES_sv-SE'!$B$267</definedName>
    <definedName name="errmsg.YOutOverlap" localSheetId="24">'RES_tr-TR'!$B$267</definedName>
    <definedName name="errmsg.YOutOverlap" localSheetId="25">'RES_zh-CN'!$B$267</definedName>
    <definedName name="errmsg.YOutOverlap" localSheetId="26">'RES_zh-TW'!$B$267</definedName>
    <definedName name="errmsg.YRgMustBeRef" localSheetId="3">'RES_cs-CZ'!$B$268</definedName>
    <definedName name="errmsg.YRgMustBeRef" localSheetId="4">'RES_da-DK'!$B$268</definedName>
    <definedName name="errmsg.YRgMustBeRef" localSheetId="5">'RES_de-DE'!$B$268</definedName>
    <definedName name="errmsg.YRgMustBeRef" localSheetId="6">'RES_el-GR'!$B$268</definedName>
    <definedName name="errmsg.YRgMustBeRef" localSheetId="2">'RES_en-US'!$B$268</definedName>
    <definedName name="errmsg.YRgMustBeRef" localSheetId="7">'RES_es-ES'!$B$268</definedName>
    <definedName name="errmsg.YRgMustBeRef" localSheetId="8">'RES_fi-FI'!$B$268</definedName>
    <definedName name="errmsg.YRgMustBeRef" localSheetId="1">'RES_fr-FR'!$B$268</definedName>
    <definedName name="errmsg.YRgMustBeRef" localSheetId="9">'RES_hr-HR'!$B$268</definedName>
    <definedName name="errmsg.YRgMustBeRef" localSheetId="10">'RES_hu-HU'!$B$268</definedName>
    <definedName name="errmsg.YRgMustBeRef" localSheetId="11">'RES_it-IT'!$B$268</definedName>
    <definedName name="errmsg.YRgMustBeRef" localSheetId="12">'RES_ja-JP'!$B$268</definedName>
    <definedName name="errmsg.YRgMustBeRef" localSheetId="13">'RES_ko-KR'!$B$268</definedName>
    <definedName name="errmsg.YRgMustBeRef" localSheetId="14">'RES_lv-LV'!$B$268</definedName>
    <definedName name="errmsg.YRgMustBeRef" localSheetId="15">'RES_nb-NO'!$B$268</definedName>
    <definedName name="errmsg.YRgMustBeRef" localSheetId="16">'RES_nl-NL'!$B$268</definedName>
    <definedName name="errmsg.YRgMustBeRef" localSheetId="17">'RES_pl-PL'!$B$268</definedName>
    <definedName name="errmsg.YRgMustBeRef" localSheetId="18">'RES_pt-BR'!$B$268</definedName>
    <definedName name="errmsg.YRgMustBeRef" localSheetId="19">'RES_pt-PT'!$B$268</definedName>
    <definedName name="errmsg.YRgMustBeRef" localSheetId="20">'RES_ro-RO'!$B$268</definedName>
    <definedName name="errmsg.YRgMustBeRef" localSheetId="21">'RES_ru-RU'!$B$268</definedName>
    <definedName name="errmsg.YRgMustBeRef" localSheetId="22">'RES_sl-SI'!$B$268</definedName>
    <definedName name="errmsg.YRgMustBeRef" localSheetId="23">'RES_sv-SE'!$B$268</definedName>
    <definedName name="errmsg.YRgMustBeRef" localSheetId="24">'RES_tr-TR'!$B$268</definedName>
    <definedName name="errmsg.YRgMustBeRef" localSheetId="25">'RES_zh-CN'!$B$268</definedName>
    <definedName name="errmsg.YRgMustBeRef" localSheetId="26">'RES_zh-TW'!$B$268</definedName>
    <definedName name="errmsg.YRgRequired" localSheetId="3">'RES_cs-CZ'!$B$269</definedName>
    <definedName name="errmsg.YRgRequired" localSheetId="4">'RES_da-DK'!$B$269</definedName>
    <definedName name="errmsg.YRgRequired" localSheetId="5">'RES_de-DE'!$B$269</definedName>
    <definedName name="errmsg.YRgRequired" localSheetId="6">'RES_el-GR'!$B$269</definedName>
    <definedName name="errmsg.YRgRequired" localSheetId="2">'RES_en-US'!$B$269</definedName>
    <definedName name="errmsg.YRgRequired" localSheetId="7">'RES_es-ES'!$B$269</definedName>
    <definedName name="errmsg.YRgRequired" localSheetId="8">'RES_fi-FI'!$B$269</definedName>
    <definedName name="errmsg.YRgRequired" localSheetId="1">'RES_fr-FR'!$B$269</definedName>
    <definedName name="errmsg.YRgRequired" localSheetId="9">'RES_hr-HR'!$B$269</definedName>
    <definedName name="errmsg.YRgRequired" localSheetId="10">'RES_hu-HU'!$B$269</definedName>
    <definedName name="errmsg.YRgRequired" localSheetId="11">'RES_it-IT'!$B$269</definedName>
    <definedName name="errmsg.YRgRequired" localSheetId="12">'RES_ja-JP'!$B$269</definedName>
    <definedName name="errmsg.YRgRequired" localSheetId="13">'RES_ko-KR'!$B$269</definedName>
    <definedName name="errmsg.YRgRequired" localSheetId="14">'RES_lv-LV'!$B$269</definedName>
    <definedName name="errmsg.YRgRequired" localSheetId="15">'RES_nb-NO'!$B$269</definedName>
    <definedName name="errmsg.YRgRequired" localSheetId="16">'RES_nl-NL'!$B$269</definedName>
    <definedName name="errmsg.YRgRequired" localSheetId="17">'RES_pl-PL'!$B$269</definedName>
    <definedName name="errmsg.YRgRequired" localSheetId="18">'RES_pt-BR'!$B$269</definedName>
    <definedName name="errmsg.YRgRequired" localSheetId="19">'RES_pt-PT'!$B$269</definedName>
    <definedName name="errmsg.YRgRequired" localSheetId="20">'RES_ro-RO'!$B$269</definedName>
    <definedName name="errmsg.YRgRequired" localSheetId="21">'RES_ru-RU'!$B$269</definedName>
    <definedName name="errmsg.YRgRequired" localSheetId="22">'RES_sl-SI'!$B$269</definedName>
    <definedName name="errmsg.YRgRequired" localSheetId="23">'RES_sv-SE'!$B$269</definedName>
    <definedName name="errmsg.YRgRequired" localSheetId="24">'RES_tr-TR'!$B$269</definedName>
    <definedName name="errmsg.YRgRequired" localSheetId="25">'RES_zh-CN'!$B$269</definedName>
    <definedName name="errmsg.YRgRequired" localSheetId="26">'RES_zh-TW'!$B$269</definedName>
    <definedName name="errmsg.ZtestVar1Numeric" localSheetId="3">'RES_cs-CZ'!$B$270</definedName>
    <definedName name="errmsg.ZtestVar1Numeric" localSheetId="4">'RES_da-DK'!$B$270</definedName>
    <definedName name="errmsg.ZtestVar1Numeric" localSheetId="5">'RES_de-DE'!$B$270</definedName>
    <definedName name="errmsg.ZtestVar1Numeric" localSheetId="6">'RES_el-GR'!$B$270</definedName>
    <definedName name="errmsg.ZtestVar1Numeric" localSheetId="2">'RES_en-US'!$B$270</definedName>
    <definedName name="errmsg.ZtestVar1Numeric" localSheetId="7">'RES_es-ES'!$B$270</definedName>
    <definedName name="errmsg.ZtestVar1Numeric" localSheetId="8">'RES_fi-FI'!$B$270</definedName>
    <definedName name="errmsg.ZtestVar1Numeric" localSheetId="1">'RES_fr-FR'!$B$270</definedName>
    <definedName name="errmsg.ZtestVar1Numeric" localSheetId="9">'RES_hr-HR'!$B$270</definedName>
    <definedName name="errmsg.ZtestVar1Numeric" localSheetId="10">'RES_hu-HU'!$B$270</definedName>
    <definedName name="errmsg.ZtestVar1Numeric" localSheetId="11">'RES_it-IT'!$B$270</definedName>
    <definedName name="errmsg.ZtestVar1Numeric" localSheetId="12">'RES_ja-JP'!$B$270</definedName>
    <definedName name="errmsg.ZtestVar1Numeric" localSheetId="13">'RES_ko-KR'!$B$270</definedName>
    <definedName name="errmsg.ZtestVar1Numeric" localSheetId="14">'RES_lv-LV'!$B$270</definedName>
    <definedName name="errmsg.ZtestVar1Numeric" localSheetId="15">'RES_nb-NO'!$B$270</definedName>
    <definedName name="errmsg.ZtestVar1Numeric" localSheetId="16">'RES_nl-NL'!$B$270</definedName>
    <definedName name="errmsg.ZtestVar1Numeric" localSheetId="17">'RES_pl-PL'!$B$270</definedName>
    <definedName name="errmsg.ZtestVar1Numeric" localSheetId="18">'RES_pt-BR'!$B$270</definedName>
    <definedName name="errmsg.ZtestVar1Numeric" localSheetId="19">'RES_pt-PT'!$B$270</definedName>
    <definedName name="errmsg.ZtestVar1Numeric" localSheetId="20">'RES_ro-RO'!$B$270</definedName>
    <definedName name="errmsg.ZtestVar1Numeric" localSheetId="21">'RES_ru-RU'!$B$270</definedName>
    <definedName name="errmsg.ZtestVar1Numeric" localSheetId="22">'RES_sl-SI'!$B$270</definedName>
    <definedName name="errmsg.ZtestVar1Numeric" localSheetId="23">'RES_sv-SE'!$B$270</definedName>
    <definedName name="errmsg.ZtestVar1Numeric" localSheetId="24">'RES_tr-TR'!$B$270</definedName>
    <definedName name="errmsg.ZtestVar1Numeric" localSheetId="25">'RES_zh-CN'!$B$270</definedName>
    <definedName name="errmsg.ZtestVar1Numeric" localSheetId="26">'RES_zh-TW'!$B$270</definedName>
    <definedName name="errmsg.ZtestVar2Numeric" localSheetId="3">'RES_cs-CZ'!$B$271</definedName>
    <definedName name="errmsg.ZtestVar2Numeric" localSheetId="4">'RES_da-DK'!$B$271</definedName>
    <definedName name="errmsg.ZtestVar2Numeric" localSheetId="5">'RES_de-DE'!$B$271</definedName>
    <definedName name="errmsg.ZtestVar2Numeric" localSheetId="6">'RES_el-GR'!$B$271</definedName>
    <definedName name="errmsg.ZtestVar2Numeric" localSheetId="2">'RES_en-US'!$B$271</definedName>
    <definedName name="errmsg.ZtestVar2Numeric" localSheetId="7">'RES_es-ES'!$B$271</definedName>
    <definedName name="errmsg.ZtestVar2Numeric" localSheetId="8">'RES_fi-FI'!$B$271</definedName>
    <definedName name="errmsg.ZtestVar2Numeric" localSheetId="1">'RES_fr-FR'!$B$271</definedName>
    <definedName name="errmsg.ZtestVar2Numeric" localSheetId="9">'RES_hr-HR'!$B$271</definedName>
    <definedName name="errmsg.ZtestVar2Numeric" localSheetId="10">'RES_hu-HU'!$B$271</definedName>
    <definedName name="errmsg.ZtestVar2Numeric" localSheetId="11">'RES_it-IT'!$B$271</definedName>
    <definedName name="errmsg.ZtestVar2Numeric" localSheetId="12">'RES_ja-JP'!$B$271</definedName>
    <definedName name="errmsg.ZtestVar2Numeric" localSheetId="13">'RES_ko-KR'!$B$271</definedName>
    <definedName name="errmsg.ZtestVar2Numeric" localSheetId="14">'RES_lv-LV'!$B$271</definedName>
    <definedName name="errmsg.ZtestVar2Numeric" localSheetId="15">'RES_nb-NO'!$B$271</definedName>
    <definedName name="errmsg.ZtestVar2Numeric" localSheetId="16">'RES_nl-NL'!$B$271</definedName>
    <definedName name="errmsg.ZtestVar2Numeric" localSheetId="17">'RES_pl-PL'!$B$271</definedName>
    <definedName name="errmsg.ZtestVar2Numeric" localSheetId="18">'RES_pt-BR'!$B$271</definedName>
    <definedName name="errmsg.ZtestVar2Numeric" localSheetId="19">'RES_pt-PT'!$B$271</definedName>
    <definedName name="errmsg.ZtestVar2Numeric" localSheetId="20">'RES_ro-RO'!$B$271</definedName>
    <definedName name="errmsg.ZtestVar2Numeric" localSheetId="21">'RES_ru-RU'!$B$271</definedName>
    <definedName name="errmsg.ZtestVar2Numeric" localSheetId="22">'RES_sl-SI'!$B$271</definedName>
    <definedName name="errmsg.ZtestVar2Numeric" localSheetId="23">'RES_sv-SE'!$B$271</definedName>
    <definedName name="errmsg.ZtestVar2Numeric" localSheetId="24">'RES_tr-TR'!$B$271</definedName>
    <definedName name="errmsg.ZtestVar2Numeric" localSheetId="25">'RES_zh-CN'!$B$271</definedName>
    <definedName name="errmsg.ZtestVar2Numeric" localSheetId="26">'RES_zh-TW'!$B$271</definedName>
    <definedName name="ErrorTitles" localSheetId="3">'RES_cs-CZ'!$U$5:$U$23</definedName>
    <definedName name="ErrorTitles" localSheetId="4">'RES_da-DK'!$U$5:$U$23</definedName>
    <definedName name="ErrorTitles" localSheetId="5">'RES_de-DE'!$U$5:$U$23</definedName>
    <definedName name="ErrorTitles" localSheetId="6">'RES_el-GR'!$U$5:$U$23</definedName>
    <definedName name="ErrorTitles" localSheetId="2">'RES_en-US'!$U$5:$U$23</definedName>
    <definedName name="ErrorTitles" localSheetId="7">'RES_es-ES'!$U$5:$U$23</definedName>
    <definedName name="ErrorTitles" localSheetId="8">'RES_fi-FI'!$U$5:$U$23</definedName>
    <definedName name="ErrorTitles" localSheetId="1">'RES_fr-FR'!$U$5:$U$23</definedName>
    <definedName name="ErrorTitles" localSheetId="9">'RES_hr-HR'!$U$5:$U$23</definedName>
    <definedName name="ErrorTitles" localSheetId="10">'RES_hu-HU'!$U$5:$U$23</definedName>
    <definedName name="ErrorTitles" localSheetId="11">'RES_it-IT'!$U$5:$U$23</definedName>
    <definedName name="ErrorTitles" localSheetId="12">'RES_ja-JP'!$U$5:$U$23</definedName>
    <definedName name="ErrorTitles" localSheetId="13">'RES_ko-KR'!$U$5:$U$23</definedName>
    <definedName name="ErrorTitles" localSheetId="14">'RES_lv-LV'!$U$5:$U$23</definedName>
    <definedName name="ErrorTitles" localSheetId="15">'RES_nb-NO'!$U$5:$U$23</definedName>
    <definedName name="ErrorTitles" localSheetId="16">'RES_nl-NL'!$U$5:$U$23</definedName>
    <definedName name="ErrorTitles" localSheetId="17">'RES_pl-PL'!$U$5:$U$23</definedName>
    <definedName name="ErrorTitles" localSheetId="18">'RES_pt-BR'!$U$5:$U$23</definedName>
    <definedName name="ErrorTitles" localSheetId="19">'RES_pt-PT'!$U$5:$U$23</definedName>
    <definedName name="ErrorTitles" localSheetId="20">'RES_ro-RO'!$U$5:$U$23</definedName>
    <definedName name="ErrorTitles" localSheetId="21">'RES_ru-RU'!$U$5:$U$23</definedName>
    <definedName name="ErrorTitles" localSheetId="22">'RES_sl-SI'!$U$5:$U$23</definedName>
    <definedName name="ErrorTitles" localSheetId="23">'RES_sv-SE'!$U$5:$U$23</definedName>
    <definedName name="ErrorTitles" localSheetId="24">'RES_tr-TR'!$U$5:$U$23</definedName>
    <definedName name="ErrorTitles" localSheetId="25">'RES_zh-CN'!$U$5:$U$23</definedName>
    <definedName name="ErrorTitles" localSheetId="26">'RES_zh-TW'!$U$5:$U$23</definedName>
    <definedName name="helpmsg.SharingRef" localSheetId="3">'RES_cs-CZ'!$B$278</definedName>
    <definedName name="helpmsg.SharingRef" localSheetId="4">'RES_da-DK'!$B$278</definedName>
    <definedName name="helpmsg.SharingRef" localSheetId="5">'RES_de-DE'!$B$278</definedName>
    <definedName name="helpmsg.SharingRef" localSheetId="6">'RES_el-GR'!$B$278</definedName>
    <definedName name="helpmsg.SharingRef" localSheetId="2">'RES_en-US'!$B$278</definedName>
    <definedName name="helpmsg.SharingRef" localSheetId="7">'RES_es-ES'!$B$278</definedName>
    <definedName name="helpmsg.SharingRef" localSheetId="8">'RES_fi-FI'!$B$278</definedName>
    <definedName name="helpmsg.SharingRef" localSheetId="1">'RES_fr-FR'!$B$278</definedName>
    <definedName name="helpmsg.SharingRef" localSheetId="9">'RES_hr-HR'!$B$278</definedName>
    <definedName name="helpmsg.SharingRef" localSheetId="10">'RES_hu-HU'!$B$278</definedName>
    <definedName name="helpmsg.SharingRef" localSheetId="11">'RES_it-IT'!$B$278</definedName>
    <definedName name="helpmsg.SharingRef" localSheetId="12">'RES_ja-JP'!$B$278</definedName>
    <definedName name="helpmsg.SharingRef" localSheetId="13">'RES_ko-KR'!$B$278</definedName>
    <definedName name="helpmsg.SharingRef" localSheetId="14">'RES_lv-LV'!$B$278</definedName>
    <definedName name="helpmsg.SharingRef" localSheetId="15">'RES_nb-NO'!$B$278</definedName>
    <definedName name="helpmsg.SharingRef" localSheetId="16">'RES_nl-NL'!$B$278</definedName>
    <definedName name="helpmsg.SharingRef" localSheetId="17">'RES_pl-PL'!$B$278</definedName>
    <definedName name="helpmsg.SharingRef" localSheetId="18">'RES_pt-BR'!$B$278</definedName>
    <definedName name="helpmsg.SharingRef" localSheetId="19">'RES_pt-PT'!$B$278</definedName>
    <definedName name="helpmsg.SharingRef" localSheetId="20">'RES_ro-RO'!$B$278</definedName>
    <definedName name="helpmsg.SharingRef" localSheetId="21">'RES_ru-RU'!$B$278</definedName>
    <definedName name="helpmsg.SharingRef" localSheetId="22">'RES_sl-SI'!$B$278</definedName>
    <definedName name="helpmsg.SharingRef" localSheetId="23">'RES_sv-SE'!$B$278</definedName>
    <definedName name="helpmsg.SharingRef" localSheetId="24">'RES_tr-TR'!$B$278</definedName>
    <definedName name="helpmsg.SharingRef" localSheetId="25">'RES_zh-CN'!$B$278</definedName>
    <definedName name="helpmsg.SharingRef" localSheetId="26">'RES_zh-TW'!$B$278</definedName>
    <definedName name="InitRandomDb" localSheetId="3">'RES_cs-CZ'!$CT$134</definedName>
    <definedName name="InitRandomDb" localSheetId="4">'RES_da-DK'!$CT$134</definedName>
    <definedName name="InitRandomDb" localSheetId="5">'RES_de-DE'!$CT$134</definedName>
    <definedName name="InitRandomDb" localSheetId="6">'RES_el-GR'!$CT$134</definedName>
    <definedName name="InitRandomDb" localSheetId="2">'RES_en-US'!$CT$134</definedName>
    <definedName name="InitRandomDb" localSheetId="7">'RES_es-ES'!$CT$134</definedName>
    <definedName name="InitRandomDb" localSheetId="8">'RES_fi-FI'!$CT$134</definedName>
    <definedName name="InitRandomDb" localSheetId="1">'RES_fr-FR'!$CT$134</definedName>
    <definedName name="InitRandomDb" localSheetId="9">'RES_hr-HR'!$CT$134</definedName>
    <definedName name="InitRandomDb" localSheetId="10">'RES_hu-HU'!$CT$134</definedName>
    <definedName name="InitRandomDb" localSheetId="11">'RES_it-IT'!$CT$134</definedName>
    <definedName name="InitRandomDb" localSheetId="12">'RES_ja-JP'!$CT$134</definedName>
    <definedName name="InitRandomDb" localSheetId="13">'RES_ko-KR'!$CT$134</definedName>
    <definedName name="InitRandomDb" localSheetId="14">'RES_lv-LV'!$CT$134</definedName>
    <definedName name="InitRandomDb" localSheetId="15">'RES_nb-NO'!$CT$134</definedName>
    <definedName name="InitRandomDb" localSheetId="16">'RES_nl-NL'!$CT$134</definedName>
    <definedName name="InitRandomDb" localSheetId="17">'RES_pl-PL'!$CT$134</definedName>
    <definedName name="InitRandomDb" localSheetId="18">'RES_pt-BR'!$CT$134</definedName>
    <definedName name="InitRandomDb" localSheetId="19">'RES_pt-PT'!$CT$134</definedName>
    <definedName name="InitRandomDb" localSheetId="20">'RES_ro-RO'!$CT$134</definedName>
    <definedName name="InitRandomDb" localSheetId="21">'RES_ru-RU'!$CT$134</definedName>
    <definedName name="InitRandomDb" localSheetId="22">'RES_sl-SI'!$CT$134</definedName>
    <definedName name="InitRandomDb" localSheetId="23">'RES_sv-SE'!$CT$134</definedName>
    <definedName name="InitRandomDb" localSheetId="24">'RES_tr-TR'!$CT$134</definedName>
    <definedName name="InitRandomDb" localSheetId="25">'RES_zh-CN'!$CT$134</definedName>
    <definedName name="InitRandomDb" localSheetId="26">'RES_zh-TW'!$CT$134</definedName>
    <definedName name="InituDialogList" localSheetId="3">'RES_cs-CZ'!$W$4</definedName>
    <definedName name="InituDialogList" localSheetId="4">'RES_da-DK'!$W$4</definedName>
    <definedName name="InituDialogList" localSheetId="5">'RES_de-DE'!$W$4</definedName>
    <definedName name="InituDialogList" localSheetId="6">'RES_el-GR'!$W$4</definedName>
    <definedName name="InituDialogList" localSheetId="2">'RES_en-US'!$W$4</definedName>
    <definedName name="InituDialogList" localSheetId="7">'RES_es-ES'!$W$4</definedName>
    <definedName name="InituDialogList" localSheetId="8">'RES_fi-FI'!$W$4</definedName>
    <definedName name="InituDialogList" localSheetId="1">'RES_fr-FR'!$W$4</definedName>
    <definedName name="InituDialogList" localSheetId="9">'RES_hr-HR'!$W$4</definedName>
    <definedName name="InituDialogList" localSheetId="10">'RES_hu-HU'!$W$4</definedName>
    <definedName name="InituDialogList" localSheetId="11">'RES_it-IT'!$W$4</definedName>
    <definedName name="InituDialogList" localSheetId="12">'RES_ja-JP'!$W$4</definedName>
    <definedName name="InituDialogList" localSheetId="13">'RES_ko-KR'!$W$4</definedName>
    <definedName name="InituDialogList" localSheetId="14">'RES_lv-LV'!$W$4</definedName>
    <definedName name="InituDialogList" localSheetId="15">'RES_nb-NO'!$W$4</definedName>
    <definedName name="InituDialogList" localSheetId="16">'RES_nl-NL'!$W$4</definedName>
    <definedName name="InituDialogList" localSheetId="17">'RES_pl-PL'!$W$4</definedName>
    <definedName name="InituDialogList" localSheetId="18">'RES_pt-BR'!$W$4</definedName>
    <definedName name="InituDialogList" localSheetId="19">'RES_pt-PT'!$W$4</definedName>
    <definedName name="InituDialogList" localSheetId="20">'RES_ro-RO'!$W$4</definedName>
    <definedName name="InituDialogList" localSheetId="21">'RES_ru-RU'!$W$4</definedName>
    <definedName name="InituDialogList" localSheetId="22">'RES_sl-SI'!$W$4</definedName>
    <definedName name="InituDialogList" localSheetId="23">'RES_sv-SE'!$W$4</definedName>
    <definedName name="InituDialogList" localSheetId="24">'RES_tr-TR'!$W$4</definedName>
    <definedName name="InituDialogList" localSheetId="25">'RES_zh-CN'!$W$4</definedName>
    <definedName name="InituDialogList" localSheetId="26">'RES_zh-TW'!$W$4</definedName>
    <definedName name="mg01s.Actual" localSheetId="3">'RES_cs-CZ'!$B$68</definedName>
    <definedName name="mg01s.Actual" localSheetId="4">'RES_da-DK'!$B$68</definedName>
    <definedName name="mg01s.Actual" localSheetId="5">'RES_de-DE'!$B$68</definedName>
    <definedName name="mg01s.Actual" localSheetId="6">'RES_el-GR'!$B$68</definedName>
    <definedName name="mg01s.Actual" localSheetId="2">'RES_en-US'!$B$68</definedName>
    <definedName name="mg01s.Actual" localSheetId="7">'RES_es-ES'!$B$68</definedName>
    <definedName name="mg01s.Actual" localSheetId="8">'RES_fi-FI'!$B$68</definedName>
    <definedName name="mg01s.Actual" localSheetId="1">'RES_fr-FR'!$B$68</definedName>
    <definedName name="mg01s.Actual" localSheetId="9">'RES_hr-HR'!$B$68</definedName>
    <definedName name="mg01s.Actual" localSheetId="10">'RES_hu-HU'!$B$68</definedName>
    <definedName name="mg01s.Actual" localSheetId="11">'RES_it-IT'!$B$68</definedName>
    <definedName name="mg01s.Actual" localSheetId="12">'RES_ja-JP'!$B$68</definedName>
    <definedName name="mg01s.Actual" localSheetId="13">'RES_ko-KR'!$B$68</definedName>
    <definedName name="mg01s.Actual" localSheetId="14">'RES_lv-LV'!$B$68</definedName>
    <definedName name="mg01s.Actual" localSheetId="15">'RES_nb-NO'!$B$68</definedName>
    <definedName name="mg01s.Actual" localSheetId="16">'RES_nl-NL'!$B$68</definedName>
    <definedName name="mg01s.Actual" localSheetId="17">'RES_pl-PL'!$B$68</definedName>
    <definedName name="mg01s.Actual" localSheetId="18">'RES_pt-BR'!$B$68</definedName>
    <definedName name="mg01s.Actual" localSheetId="19">'RES_pt-PT'!$B$68</definedName>
    <definedName name="mg01s.Actual" localSheetId="20">'RES_ro-RO'!$B$68</definedName>
    <definedName name="mg01s.Actual" localSheetId="21">'RES_ru-RU'!$B$68</definedName>
    <definedName name="mg01s.Actual" localSheetId="22">'RES_sl-SI'!$B$68</definedName>
    <definedName name="mg01s.Actual" localSheetId="23">'RES_sv-SE'!$B$68</definedName>
    <definedName name="mg01s.Actual" localSheetId="24">'RES_tr-TR'!$B$68</definedName>
    <definedName name="mg01s.Actual" localSheetId="25">'RES_zh-CN'!$B$68</definedName>
    <definedName name="mg01s.Actual" localSheetId="26">'RES_zh-TW'!$B$68</definedName>
    <definedName name="mg01s.AdjSq" localSheetId="3">'RES_cs-CZ'!$B$128</definedName>
    <definedName name="mg01s.AdjSq" localSheetId="4">'RES_da-DK'!$B$128</definedName>
    <definedName name="mg01s.AdjSq" localSheetId="5">'RES_de-DE'!$B$128</definedName>
    <definedName name="mg01s.AdjSq" localSheetId="6">'RES_el-GR'!$B$128</definedName>
    <definedName name="mg01s.AdjSq" localSheetId="2">'RES_en-US'!$B$128</definedName>
    <definedName name="mg01s.AdjSq" localSheetId="7">'RES_es-ES'!$B$128</definedName>
    <definedName name="mg01s.AdjSq" localSheetId="8">'RES_fi-FI'!$B$128</definedName>
    <definedName name="mg01s.AdjSq" localSheetId="1">'RES_fr-FR'!$B$128</definedName>
    <definedName name="mg01s.AdjSq" localSheetId="9">'RES_hr-HR'!$B$128</definedName>
    <definedName name="mg01s.AdjSq" localSheetId="10">'RES_hu-HU'!$B$128</definedName>
    <definedName name="mg01s.AdjSq" localSheetId="11">'RES_it-IT'!$B$128</definedName>
    <definedName name="mg01s.AdjSq" localSheetId="12">'RES_ja-JP'!$B$128</definedName>
    <definedName name="mg01s.AdjSq" localSheetId="13">'RES_ko-KR'!$B$128</definedName>
    <definedName name="mg01s.AdjSq" localSheetId="14">'RES_lv-LV'!$B$128</definedName>
    <definedName name="mg01s.AdjSq" localSheetId="15">'RES_nb-NO'!$B$128</definedName>
    <definedName name="mg01s.AdjSq" localSheetId="16">'RES_nl-NL'!$B$128</definedName>
    <definedName name="mg01s.AdjSq" localSheetId="17">'RES_pl-PL'!$B$128</definedName>
    <definedName name="mg01s.AdjSq" localSheetId="18">'RES_pt-BR'!$B$128</definedName>
    <definedName name="mg01s.AdjSq" localSheetId="19">'RES_pt-PT'!$B$128</definedName>
    <definedName name="mg01s.AdjSq" localSheetId="20">'RES_ro-RO'!$B$128</definedName>
    <definedName name="mg01s.AdjSq" localSheetId="21">'RES_ru-RU'!$B$128</definedName>
    <definedName name="mg01s.AdjSq" localSheetId="22">'RES_sl-SI'!$B$128</definedName>
    <definedName name="mg01s.AdjSq" localSheetId="23">'RES_sv-SE'!$B$128</definedName>
    <definedName name="mg01s.AdjSq" localSheetId="24">'RES_tr-TR'!$B$128</definedName>
    <definedName name="mg01s.AdjSq" localSheetId="25">'RES_zh-CN'!$B$128</definedName>
    <definedName name="mg01s.AdjSq" localSheetId="26">'RES_zh-TW'!$B$128</definedName>
    <definedName name="mg01s.AlphaLbl" localSheetId="3">'RES_cs-CZ'!$B$7</definedName>
    <definedName name="mg01s.AlphaLbl" localSheetId="4">'RES_da-DK'!$B$7</definedName>
    <definedName name="mg01s.AlphaLbl" localSheetId="5">'RES_de-DE'!$B$7</definedName>
    <definedName name="mg01s.AlphaLbl" localSheetId="6">'RES_el-GR'!$B$7</definedName>
    <definedName name="mg01s.AlphaLbl" localSheetId="2">'RES_en-US'!$B$7</definedName>
    <definedName name="mg01s.AlphaLbl" localSheetId="7">'RES_es-ES'!$B$7</definedName>
    <definedName name="mg01s.AlphaLbl" localSheetId="8">'RES_fi-FI'!$B$7</definedName>
    <definedName name="mg01s.AlphaLbl" localSheetId="1">'RES_fr-FR'!$B$7</definedName>
    <definedName name="mg01s.AlphaLbl" localSheetId="9">'RES_hr-HR'!$B$7</definedName>
    <definedName name="mg01s.AlphaLbl" localSheetId="10">'RES_hu-HU'!$B$7</definedName>
    <definedName name="mg01s.AlphaLbl" localSheetId="11">'RES_it-IT'!$B$7</definedName>
    <definedName name="mg01s.AlphaLbl" localSheetId="12">'RES_ja-JP'!$B$7</definedName>
    <definedName name="mg01s.AlphaLbl" localSheetId="13">'RES_ko-KR'!$B$7</definedName>
    <definedName name="mg01s.AlphaLbl" localSheetId="14">'RES_lv-LV'!$B$7</definedName>
    <definedName name="mg01s.AlphaLbl" localSheetId="15">'RES_nb-NO'!$B$7</definedName>
    <definedName name="mg01s.AlphaLbl" localSheetId="16">'RES_nl-NL'!$B$7</definedName>
    <definedName name="mg01s.AlphaLbl" localSheetId="17">'RES_pl-PL'!$B$7</definedName>
    <definedName name="mg01s.AlphaLbl" localSheetId="18">'RES_pt-BR'!$B$7</definedName>
    <definedName name="mg01s.AlphaLbl" localSheetId="19">'RES_pt-PT'!$B$7</definedName>
    <definedName name="mg01s.AlphaLbl" localSheetId="20">'RES_ro-RO'!$B$7</definedName>
    <definedName name="mg01s.AlphaLbl" localSheetId="21">'RES_ru-RU'!$B$7</definedName>
    <definedName name="mg01s.AlphaLbl" localSheetId="22">'RES_sl-SI'!$B$7</definedName>
    <definedName name="mg01s.AlphaLbl" localSheetId="23">'RES_sv-SE'!$B$7</definedName>
    <definedName name="mg01s.AlphaLbl" localSheetId="24">'RES_tr-TR'!$B$7</definedName>
    <definedName name="mg01s.AlphaLbl" localSheetId="25">'RES_zh-CN'!$B$7</definedName>
    <definedName name="mg01s.AlphaLbl" localSheetId="26">'RES_zh-TW'!$B$7</definedName>
    <definedName name="mg01s.Analysis" localSheetId="3">'RES_cs-CZ'!$B$20</definedName>
    <definedName name="mg01s.Analysis" localSheetId="4">'RES_da-DK'!$B$20</definedName>
    <definedName name="mg01s.Analysis" localSheetId="5">'RES_de-DE'!$B$20</definedName>
    <definedName name="mg01s.Analysis" localSheetId="6">'RES_el-GR'!$B$20</definedName>
    <definedName name="mg01s.Analysis" localSheetId="2">'RES_en-US'!$B$20</definedName>
    <definedName name="mg01s.Analysis" localSheetId="7">'RES_es-ES'!$B$20</definedName>
    <definedName name="mg01s.Analysis" localSheetId="8">'RES_fi-FI'!$B$20</definedName>
    <definedName name="mg01s.Analysis" localSheetId="1">'RES_fr-FR'!$B$20</definedName>
    <definedName name="mg01s.Analysis" localSheetId="9">'RES_hr-HR'!$B$20</definedName>
    <definedName name="mg01s.Analysis" localSheetId="10">'RES_hu-HU'!$B$20</definedName>
    <definedName name="mg01s.Analysis" localSheetId="11">'RES_it-IT'!$B$20</definedName>
    <definedName name="mg01s.Analysis" localSheetId="12">'RES_ja-JP'!$B$20</definedName>
    <definedName name="mg01s.Analysis" localSheetId="13">'RES_ko-KR'!$B$20</definedName>
    <definedName name="mg01s.Analysis" localSheetId="14">'RES_lv-LV'!$B$20</definedName>
    <definedName name="mg01s.Analysis" localSheetId="15">'RES_nb-NO'!$B$20</definedName>
    <definedName name="mg01s.Analysis" localSheetId="16">'RES_nl-NL'!$B$20</definedName>
    <definedName name="mg01s.Analysis" localSheetId="17">'RES_pl-PL'!$B$20</definedName>
    <definedName name="mg01s.Analysis" localSheetId="18">'RES_pt-BR'!$B$20</definedName>
    <definedName name="mg01s.Analysis" localSheetId="19">'RES_pt-PT'!$B$20</definedName>
    <definedName name="mg01s.Analysis" localSheetId="20">'RES_ro-RO'!$B$20</definedName>
    <definedName name="mg01s.Analysis" localSheetId="21">'RES_ru-RU'!$B$20</definedName>
    <definedName name="mg01s.Analysis" localSheetId="22">'RES_sl-SI'!$B$20</definedName>
    <definedName name="mg01s.Analysis" localSheetId="23">'RES_sv-SE'!$B$20</definedName>
    <definedName name="mg01s.Analysis" localSheetId="24">'RES_tr-TR'!$B$20</definedName>
    <definedName name="mg01s.Analysis" localSheetId="25">'RES_zh-CN'!$B$20</definedName>
    <definedName name="mg01s.Analysis" localSheetId="26">'RES_zh-TW'!$B$20</definedName>
    <definedName name="mg01s.Anova" localSheetId="3">'RES_cs-CZ'!$B$21</definedName>
    <definedName name="mg01s.Anova" localSheetId="4">'RES_da-DK'!$B$21</definedName>
    <definedName name="mg01s.Anova" localSheetId="5">'RES_de-DE'!$B$21</definedName>
    <definedName name="mg01s.Anova" localSheetId="6">'RES_el-GR'!$B$21</definedName>
    <definedName name="mg01s.Anova" localSheetId="2">'RES_en-US'!$B$21</definedName>
    <definedName name="mg01s.Anova" localSheetId="7">'RES_es-ES'!$B$21</definedName>
    <definedName name="mg01s.Anova" localSheetId="8">'RES_fi-FI'!$B$21</definedName>
    <definedName name="mg01s.Anova" localSheetId="1">'RES_fr-FR'!$B$21</definedName>
    <definedName name="mg01s.Anova" localSheetId="9">'RES_hr-HR'!$B$21</definedName>
    <definedName name="mg01s.Anova" localSheetId="10">'RES_hu-HU'!$B$21</definedName>
    <definedName name="mg01s.Anova" localSheetId="11">'RES_it-IT'!$B$21</definedName>
    <definedName name="mg01s.Anova" localSheetId="12">'RES_ja-JP'!$B$21</definedName>
    <definedName name="mg01s.Anova" localSheetId="13">'RES_ko-KR'!$B$21</definedName>
    <definedName name="mg01s.Anova" localSheetId="14">'RES_lv-LV'!$B$21</definedName>
    <definedName name="mg01s.Anova" localSheetId="15">'RES_nb-NO'!$B$21</definedName>
    <definedName name="mg01s.Anova" localSheetId="16">'RES_nl-NL'!$B$21</definedName>
    <definedName name="mg01s.Anova" localSheetId="17">'RES_pl-PL'!$B$21</definedName>
    <definedName name="mg01s.Anova" localSheetId="18">'RES_pt-BR'!$B$21</definedName>
    <definedName name="mg01s.Anova" localSheetId="19">'RES_pt-PT'!$B$21</definedName>
    <definedName name="mg01s.Anova" localSheetId="20">'RES_ro-RO'!$B$21</definedName>
    <definedName name="mg01s.Anova" localSheetId="21">'RES_ru-RU'!$B$21</definedName>
    <definedName name="mg01s.Anova" localSheetId="22">'RES_sl-SI'!$B$21</definedName>
    <definedName name="mg01s.Anova" localSheetId="23">'RES_sv-SE'!$B$21</definedName>
    <definedName name="mg01s.Anova" localSheetId="24">'RES_tr-TR'!$B$21</definedName>
    <definedName name="mg01s.Anova" localSheetId="25">'RES_zh-CN'!$B$21</definedName>
    <definedName name="mg01s.Anova" localSheetId="26">'RES_zh-TW'!$B$21</definedName>
    <definedName name="mg01s.ANSingleFact" localSheetId="3">'RES_cs-CZ'!$B$22</definedName>
    <definedName name="mg01s.ANSingleFact" localSheetId="4">'RES_da-DK'!$B$22</definedName>
    <definedName name="mg01s.ANSingleFact" localSheetId="5">'RES_de-DE'!$B$22</definedName>
    <definedName name="mg01s.ANSingleFact" localSheetId="6">'RES_el-GR'!$B$22</definedName>
    <definedName name="mg01s.ANSingleFact" localSheetId="2">'RES_en-US'!$B$22</definedName>
    <definedName name="mg01s.ANSingleFact" localSheetId="7">'RES_es-ES'!$B$22</definedName>
    <definedName name="mg01s.ANSingleFact" localSheetId="8">'RES_fi-FI'!$B$22</definedName>
    <definedName name="mg01s.ANSingleFact" localSheetId="1">'RES_fr-FR'!$B$22</definedName>
    <definedName name="mg01s.ANSingleFact" localSheetId="9">'RES_hr-HR'!$B$22</definedName>
    <definedName name="mg01s.ANSingleFact" localSheetId="10">'RES_hu-HU'!$B$22</definedName>
    <definedName name="mg01s.ANSingleFact" localSheetId="11">'RES_it-IT'!$B$22</definedName>
    <definedName name="mg01s.ANSingleFact" localSheetId="12">'RES_ja-JP'!$B$22</definedName>
    <definedName name="mg01s.ANSingleFact" localSheetId="13">'RES_ko-KR'!$B$22</definedName>
    <definedName name="mg01s.ANSingleFact" localSheetId="14">'RES_lv-LV'!$B$22</definedName>
    <definedName name="mg01s.ANSingleFact" localSheetId="15">'RES_nb-NO'!$B$22</definedName>
    <definedName name="mg01s.ANSingleFact" localSheetId="16">'RES_nl-NL'!$B$22</definedName>
    <definedName name="mg01s.ANSingleFact" localSheetId="17">'RES_pl-PL'!$B$22</definedName>
    <definedName name="mg01s.ANSingleFact" localSheetId="18">'RES_pt-BR'!$B$22</definedName>
    <definedName name="mg01s.ANSingleFact" localSheetId="19">'RES_pt-PT'!$B$22</definedName>
    <definedName name="mg01s.ANSingleFact" localSheetId="20">'RES_ro-RO'!$B$22</definedName>
    <definedName name="mg01s.ANSingleFact" localSheetId="21">'RES_ru-RU'!$B$22</definedName>
    <definedName name="mg01s.ANSingleFact" localSheetId="22">'RES_sl-SI'!$B$22</definedName>
    <definedName name="mg01s.ANSingleFact" localSheetId="23">'RES_sv-SE'!$B$22</definedName>
    <definedName name="mg01s.ANSingleFact" localSheetId="24">'RES_tr-TR'!$B$22</definedName>
    <definedName name="mg01s.ANSingleFact" localSheetId="25">'RES_zh-CN'!$B$22</definedName>
    <definedName name="mg01s.ANSingleFact" localSheetId="26">'RES_zh-TW'!$B$22</definedName>
    <definedName name="mg01s.ANTwoFactWi" localSheetId="3">'RES_cs-CZ'!$B$23</definedName>
    <definedName name="mg01s.ANTwoFactWi" localSheetId="4">'RES_da-DK'!$B$23</definedName>
    <definedName name="mg01s.ANTwoFactWi" localSheetId="5">'RES_de-DE'!$B$23</definedName>
    <definedName name="mg01s.ANTwoFactWi" localSheetId="6">'RES_el-GR'!$B$23</definedName>
    <definedName name="mg01s.ANTwoFactWi" localSheetId="2">'RES_en-US'!$B$23</definedName>
    <definedName name="mg01s.ANTwoFactWi" localSheetId="7">'RES_es-ES'!$B$23</definedName>
    <definedName name="mg01s.ANTwoFactWi" localSheetId="8">'RES_fi-FI'!$B$23</definedName>
    <definedName name="mg01s.ANTwoFactWi" localSheetId="1">'RES_fr-FR'!$B$23</definedName>
    <definedName name="mg01s.ANTwoFactWi" localSheetId="9">'RES_hr-HR'!$B$23</definedName>
    <definedName name="mg01s.ANTwoFactWi" localSheetId="10">'RES_hu-HU'!$B$23</definedName>
    <definedName name="mg01s.ANTwoFactWi" localSheetId="11">'RES_it-IT'!$B$23</definedName>
    <definedName name="mg01s.ANTwoFactWi" localSheetId="12">'RES_ja-JP'!$B$23</definedName>
    <definedName name="mg01s.ANTwoFactWi" localSheetId="13">'RES_ko-KR'!$B$23</definedName>
    <definedName name="mg01s.ANTwoFactWi" localSheetId="14">'RES_lv-LV'!$B$23</definedName>
    <definedName name="mg01s.ANTwoFactWi" localSheetId="15">'RES_nb-NO'!$B$23</definedName>
    <definedName name="mg01s.ANTwoFactWi" localSheetId="16">'RES_nl-NL'!$B$23</definedName>
    <definedName name="mg01s.ANTwoFactWi" localSheetId="17">'RES_pl-PL'!$B$23</definedName>
    <definedName name="mg01s.ANTwoFactWi" localSheetId="18">'RES_pt-BR'!$B$23</definedName>
    <definedName name="mg01s.ANTwoFactWi" localSheetId="19">'RES_pt-PT'!$B$23</definedName>
    <definedName name="mg01s.ANTwoFactWi" localSheetId="20">'RES_ro-RO'!$B$23</definedName>
    <definedName name="mg01s.ANTwoFactWi" localSheetId="21">'RES_ru-RU'!$B$23</definedName>
    <definedName name="mg01s.ANTwoFactWi" localSheetId="22">'RES_sl-SI'!$B$23</definedName>
    <definedName name="mg01s.ANTwoFactWi" localSheetId="23">'RES_sv-SE'!$B$23</definedName>
    <definedName name="mg01s.ANTwoFactWi" localSheetId="24">'RES_tr-TR'!$B$23</definedName>
    <definedName name="mg01s.ANTwoFactWi" localSheetId="25">'RES_zh-CN'!$B$23</definedName>
    <definedName name="mg01s.ANTwoFactWi" localSheetId="26">'RES_zh-TW'!$B$23</definedName>
    <definedName name="mg01s.ANTwoFactWo" localSheetId="3">'RES_cs-CZ'!$B$24</definedName>
    <definedName name="mg01s.ANTwoFactWo" localSheetId="4">'RES_da-DK'!$B$24</definedName>
    <definedName name="mg01s.ANTwoFactWo" localSheetId="5">'RES_de-DE'!$B$24</definedName>
    <definedName name="mg01s.ANTwoFactWo" localSheetId="6">'RES_el-GR'!$B$24</definedName>
    <definedName name="mg01s.ANTwoFactWo" localSheetId="2">'RES_en-US'!$B$24</definedName>
    <definedName name="mg01s.ANTwoFactWo" localSheetId="7">'RES_es-ES'!$B$24</definedName>
    <definedName name="mg01s.ANTwoFactWo" localSheetId="8">'RES_fi-FI'!$B$24</definedName>
    <definedName name="mg01s.ANTwoFactWo" localSheetId="1">'RES_fr-FR'!$B$24</definedName>
    <definedName name="mg01s.ANTwoFactWo" localSheetId="9">'RES_hr-HR'!$B$24</definedName>
    <definedName name="mg01s.ANTwoFactWo" localSheetId="10">'RES_hu-HU'!$B$24</definedName>
    <definedName name="mg01s.ANTwoFactWo" localSheetId="11">'RES_it-IT'!$B$24</definedName>
    <definedName name="mg01s.ANTwoFactWo" localSheetId="12">'RES_ja-JP'!$B$24</definedName>
    <definedName name="mg01s.ANTwoFactWo" localSheetId="13">'RES_ko-KR'!$B$24</definedName>
    <definedName name="mg01s.ANTwoFactWo" localSheetId="14">'RES_lv-LV'!$B$24</definedName>
    <definedName name="mg01s.ANTwoFactWo" localSheetId="15">'RES_nb-NO'!$B$24</definedName>
    <definedName name="mg01s.ANTwoFactWo" localSheetId="16">'RES_nl-NL'!$B$24</definedName>
    <definedName name="mg01s.ANTwoFactWo" localSheetId="17">'RES_pl-PL'!$B$24</definedName>
    <definedName name="mg01s.ANTwoFactWo" localSheetId="18">'RES_pt-BR'!$B$24</definedName>
    <definedName name="mg01s.ANTwoFactWo" localSheetId="19">'RES_pt-PT'!$B$24</definedName>
    <definedName name="mg01s.ANTwoFactWo" localSheetId="20">'RES_ro-RO'!$B$24</definedName>
    <definedName name="mg01s.ANTwoFactWo" localSheetId="21">'RES_ru-RU'!$B$24</definedName>
    <definedName name="mg01s.ANTwoFactWo" localSheetId="22">'RES_sl-SI'!$B$24</definedName>
    <definedName name="mg01s.ANTwoFactWo" localSheetId="23">'RES_sv-SE'!$B$24</definedName>
    <definedName name="mg01s.ANTwoFactWo" localSheetId="24">'RES_tr-TR'!$B$24</definedName>
    <definedName name="mg01s.ANTwoFactWo" localSheetId="25">'RES_zh-CN'!$B$24</definedName>
    <definedName name="mg01s.ANTwoFactWo" localSheetId="26">'RES_zh-TW'!$B$24</definedName>
    <definedName name="mg01s.Average" localSheetId="3">'RES_cs-CZ'!$B$29</definedName>
    <definedName name="mg01s.Average" localSheetId="4">'RES_da-DK'!$B$29</definedName>
    <definedName name="mg01s.Average" localSheetId="5">'RES_de-DE'!$B$29</definedName>
    <definedName name="mg01s.Average" localSheetId="6">'RES_el-GR'!$B$29</definedName>
    <definedName name="mg01s.Average" localSheetId="2">'RES_en-US'!$B$29</definedName>
    <definedName name="mg01s.Average" localSheetId="7">'RES_es-ES'!$B$29</definedName>
    <definedName name="mg01s.Average" localSheetId="8">'RES_fi-FI'!$B$29</definedName>
    <definedName name="mg01s.Average" localSheetId="1">'RES_fr-FR'!$B$29</definedName>
    <definedName name="mg01s.Average" localSheetId="9">'RES_hr-HR'!$B$29</definedName>
    <definedName name="mg01s.Average" localSheetId="10">'RES_hu-HU'!$B$29</definedName>
    <definedName name="mg01s.Average" localSheetId="11">'RES_it-IT'!$B$29</definedName>
    <definedName name="mg01s.Average" localSheetId="12">'RES_ja-JP'!$B$29</definedName>
    <definedName name="mg01s.Average" localSheetId="13">'RES_ko-KR'!$B$29</definedName>
    <definedName name="mg01s.Average" localSheetId="14">'RES_lv-LV'!$B$29</definedName>
    <definedName name="mg01s.Average" localSheetId="15">'RES_nb-NO'!$B$29</definedName>
    <definedName name="mg01s.Average" localSheetId="16">'RES_nl-NL'!$B$29</definedName>
    <definedName name="mg01s.Average" localSheetId="17">'RES_pl-PL'!$B$29</definedName>
    <definedName name="mg01s.Average" localSheetId="18">'RES_pt-BR'!$B$29</definedName>
    <definedName name="mg01s.Average" localSheetId="19">'RES_pt-PT'!$B$29</definedName>
    <definedName name="mg01s.Average" localSheetId="20">'RES_ro-RO'!$B$29</definedName>
    <definedName name="mg01s.Average" localSheetId="21">'RES_ru-RU'!$B$29</definedName>
    <definedName name="mg01s.Average" localSheetId="22">'RES_sl-SI'!$B$29</definedName>
    <definedName name="mg01s.Average" localSheetId="23">'RES_sv-SE'!$B$29</definedName>
    <definedName name="mg01s.Average" localSheetId="24">'RES_tr-TR'!$B$29</definedName>
    <definedName name="mg01s.Average" localSheetId="25">'RES_zh-CN'!$B$29</definedName>
    <definedName name="mg01s.Average" localSheetId="26">'RES_zh-TW'!$B$29</definedName>
    <definedName name="mg01s.BetweenGrp" localSheetId="3">'RES_cs-CZ'!$B$40</definedName>
    <definedName name="mg01s.BetweenGrp" localSheetId="4">'RES_da-DK'!$B$40</definedName>
    <definedName name="mg01s.BetweenGrp" localSheetId="5">'RES_de-DE'!$B$40</definedName>
    <definedName name="mg01s.BetweenGrp" localSheetId="6">'RES_el-GR'!$B$40</definedName>
    <definedName name="mg01s.BetweenGrp" localSheetId="2">'RES_en-US'!$B$40</definedName>
    <definedName name="mg01s.BetweenGrp" localSheetId="7">'RES_es-ES'!$B$40</definedName>
    <definedName name="mg01s.BetweenGrp" localSheetId="8">'RES_fi-FI'!$B$40</definedName>
    <definedName name="mg01s.BetweenGrp" localSheetId="1">'RES_fr-FR'!$B$40</definedName>
    <definedName name="mg01s.BetweenGrp" localSheetId="9">'RES_hr-HR'!$B$40</definedName>
    <definedName name="mg01s.BetweenGrp" localSheetId="10">'RES_hu-HU'!$B$40</definedName>
    <definedName name="mg01s.BetweenGrp" localSheetId="11">'RES_it-IT'!$B$40</definedName>
    <definedName name="mg01s.BetweenGrp" localSheetId="12">'RES_ja-JP'!$B$40</definedName>
    <definedName name="mg01s.BetweenGrp" localSheetId="13">'RES_ko-KR'!$B$40</definedName>
    <definedName name="mg01s.BetweenGrp" localSheetId="14">'RES_lv-LV'!$B$40</definedName>
    <definedName name="mg01s.BetweenGrp" localSheetId="15">'RES_nb-NO'!$B$40</definedName>
    <definedName name="mg01s.BetweenGrp" localSheetId="16">'RES_nl-NL'!$B$40</definedName>
    <definedName name="mg01s.BetweenGrp" localSheetId="17">'RES_pl-PL'!$B$40</definedName>
    <definedName name="mg01s.BetweenGrp" localSheetId="18">'RES_pt-BR'!$B$40</definedName>
    <definedName name="mg01s.BetweenGrp" localSheetId="19">'RES_pt-PT'!$B$40</definedName>
    <definedName name="mg01s.BetweenGrp" localSheetId="20">'RES_ro-RO'!$B$40</definedName>
    <definedName name="mg01s.BetweenGrp" localSheetId="21">'RES_ru-RU'!$B$40</definedName>
    <definedName name="mg01s.BetweenGrp" localSheetId="22">'RES_sl-SI'!$B$40</definedName>
    <definedName name="mg01s.BetweenGrp" localSheetId="23">'RES_sv-SE'!$B$40</definedName>
    <definedName name="mg01s.BetweenGrp" localSheetId="24">'RES_tr-TR'!$B$40</definedName>
    <definedName name="mg01s.BetweenGrp" localSheetId="25">'RES_zh-CN'!$B$40</definedName>
    <definedName name="mg01s.BetweenGrp" localSheetId="26">'RES_zh-TW'!$B$40</definedName>
    <definedName name="mg01s.Bin" localSheetId="3">'RES_cs-CZ'!$B$73</definedName>
    <definedName name="mg01s.Bin" localSheetId="4">'RES_da-DK'!$B$73</definedName>
    <definedName name="mg01s.Bin" localSheetId="5">'RES_de-DE'!$B$73</definedName>
    <definedName name="mg01s.Bin" localSheetId="6">'RES_el-GR'!$B$73</definedName>
    <definedName name="mg01s.Bin" localSheetId="2">'RES_en-US'!$B$73</definedName>
    <definedName name="mg01s.Bin" localSheetId="7">'RES_es-ES'!$B$73</definedName>
    <definedName name="mg01s.Bin" localSheetId="8">'RES_fi-FI'!$B$73</definedName>
    <definedName name="mg01s.Bin" localSheetId="1">'RES_fr-FR'!$B$73</definedName>
    <definedName name="mg01s.Bin" localSheetId="9">'RES_hr-HR'!$B$73</definedName>
    <definedName name="mg01s.Bin" localSheetId="10">'RES_hu-HU'!$B$73</definedName>
    <definedName name="mg01s.Bin" localSheetId="11">'RES_it-IT'!$B$73</definedName>
    <definedName name="mg01s.Bin" localSheetId="12">'RES_ja-JP'!$B$73</definedName>
    <definedName name="mg01s.Bin" localSheetId="13">'RES_ko-KR'!$B$73</definedName>
    <definedName name="mg01s.Bin" localSheetId="14">'RES_lv-LV'!$B$73</definedName>
    <definedName name="mg01s.Bin" localSheetId="15">'RES_nb-NO'!$B$73</definedName>
    <definedName name="mg01s.Bin" localSheetId="16">'RES_nl-NL'!$B$73</definedName>
    <definedName name="mg01s.Bin" localSheetId="17">'RES_pl-PL'!$B$73</definedName>
    <definedName name="mg01s.Bin" localSheetId="18">'RES_pt-BR'!$B$73</definedName>
    <definedName name="mg01s.Bin" localSheetId="19">'RES_pt-PT'!$B$73</definedName>
    <definedName name="mg01s.Bin" localSheetId="20">'RES_ro-RO'!$B$73</definedName>
    <definedName name="mg01s.Bin" localSheetId="21">'RES_ru-RU'!$B$73</definedName>
    <definedName name="mg01s.Bin" localSheetId="22">'RES_sl-SI'!$B$73</definedName>
    <definedName name="mg01s.Bin" localSheetId="23">'RES_sv-SE'!$B$73</definedName>
    <definedName name="mg01s.Bin" localSheetId="24">'RES_tr-TR'!$B$73</definedName>
    <definedName name="mg01s.Bin" localSheetId="25">'RES_zh-CN'!$B$73</definedName>
    <definedName name="mg01s.Bin" localSheetId="26">'RES_zh-TW'!$B$73</definedName>
    <definedName name="mg01s.Coeff" localSheetId="3">'RES_cs-CZ'!$B$137</definedName>
    <definedName name="mg01s.Coeff" localSheetId="4">'RES_da-DK'!$B$137</definedName>
    <definedName name="mg01s.Coeff" localSheetId="5">'RES_de-DE'!$B$137</definedName>
    <definedName name="mg01s.Coeff" localSheetId="6">'RES_el-GR'!$B$137</definedName>
    <definedName name="mg01s.Coeff" localSheetId="2">'RES_en-US'!$B$137</definedName>
    <definedName name="mg01s.Coeff" localSheetId="7">'RES_es-ES'!$B$137</definedName>
    <definedName name="mg01s.Coeff" localSheetId="8">'RES_fi-FI'!$B$137</definedName>
    <definedName name="mg01s.Coeff" localSheetId="1">'RES_fr-FR'!$B$137</definedName>
    <definedName name="mg01s.Coeff" localSheetId="9">'RES_hr-HR'!$B$137</definedName>
    <definedName name="mg01s.Coeff" localSheetId="10">'RES_hu-HU'!$B$137</definedName>
    <definedName name="mg01s.Coeff" localSheetId="11">'RES_it-IT'!$B$137</definedName>
    <definedName name="mg01s.Coeff" localSheetId="12">'RES_ja-JP'!$B$137</definedName>
    <definedName name="mg01s.Coeff" localSheetId="13">'RES_ko-KR'!$B$137</definedName>
    <definedName name="mg01s.Coeff" localSheetId="14">'RES_lv-LV'!$B$137</definedName>
    <definedName name="mg01s.Coeff" localSheetId="15">'RES_nb-NO'!$B$137</definedName>
    <definedName name="mg01s.Coeff" localSheetId="16">'RES_nl-NL'!$B$137</definedName>
    <definedName name="mg01s.Coeff" localSheetId="17">'RES_pl-PL'!$B$137</definedName>
    <definedName name="mg01s.Coeff" localSheetId="18">'RES_pt-BR'!$B$137</definedName>
    <definedName name="mg01s.Coeff" localSheetId="19">'RES_pt-PT'!$B$137</definedName>
    <definedName name="mg01s.Coeff" localSheetId="20">'RES_ro-RO'!$B$137</definedName>
    <definedName name="mg01s.Coeff" localSheetId="21">'RES_ru-RU'!$B$137</definedName>
    <definedName name="mg01s.Coeff" localSheetId="22">'RES_sl-SI'!$B$137</definedName>
    <definedName name="mg01s.Coeff" localSheetId="23">'RES_sv-SE'!$B$137</definedName>
    <definedName name="mg01s.Coeff" localSheetId="24">'RES_tr-TR'!$B$137</definedName>
    <definedName name="mg01s.Coeff" localSheetId="25">'RES_zh-CN'!$B$137</definedName>
    <definedName name="mg01s.Coeff" localSheetId="26">'RES_zh-TW'!$B$137</definedName>
    <definedName name="mg01s.Column" localSheetId="3">'RES_cs-CZ'!$B$43</definedName>
    <definedName name="mg01s.Column" localSheetId="4">'RES_da-DK'!$B$43</definedName>
    <definedName name="mg01s.Column" localSheetId="5">'RES_de-DE'!$B$43</definedName>
    <definedName name="mg01s.Column" localSheetId="6">'RES_el-GR'!$B$43</definedName>
    <definedName name="mg01s.Column" localSheetId="2">'RES_en-US'!$B$43</definedName>
    <definedName name="mg01s.Column" localSheetId="7">'RES_es-ES'!$B$43</definedName>
    <definedName name="mg01s.Column" localSheetId="8">'RES_fi-FI'!$B$43</definedName>
    <definedName name="mg01s.Column" localSheetId="1">'RES_fr-FR'!$B$43</definedName>
    <definedName name="mg01s.Column" localSheetId="9">'RES_hr-HR'!$B$43</definedName>
    <definedName name="mg01s.Column" localSheetId="10">'RES_hu-HU'!$B$43</definedName>
    <definedName name="mg01s.Column" localSheetId="11">'RES_it-IT'!$B$43</definedName>
    <definedName name="mg01s.Column" localSheetId="12">'RES_ja-JP'!$B$43</definedName>
    <definedName name="mg01s.Column" localSheetId="13">'RES_ko-KR'!$B$43</definedName>
    <definedName name="mg01s.Column" localSheetId="14">'RES_lv-LV'!$B$43</definedName>
    <definedName name="mg01s.Column" localSheetId="15">'RES_nb-NO'!$B$43</definedName>
    <definedName name="mg01s.Column" localSheetId="16">'RES_nl-NL'!$B$43</definedName>
    <definedName name="mg01s.Column" localSheetId="17">'RES_pl-PL'!$B$43</definedName>
    <definedName name="mg01s.Column" localSheetId="18">'RES_pt-BR'!$B$43</definedName>
    <definedName name="mg01s.Column" localSheetId="19">'RES_pt-PT'!$B$43</definedName>
    <definedName name="mg01s.Column" localSheetId="20">'RES_ro-RO'!$B$43</definedName>
    <definedName name="mg01s.Column" localSheetId="21">'RES_ru-RU'!$B$43</definedName>
    <definedName name="mg01s.Column" localSheetId="22">'RES_sl-SI'!$B$43</definedName>
    <definedName name="mg01s.Column" localSheetId="23">'RES_sv-SE'!$B$43</definedName>
    <definedName name="mg01s.Column" localSheetId="24">'RES_tr-TR'!$B$43</definedName>
    <definedName name="mg01s.Column" localSheetId="25">'RES_zh-CN'!$B$43</definedName>
    <definedName name="mg01s.Column" localSheetId="26">'RES_zh-TW'!$B$43</definedName>
    <definedName name="mg01s.Columns" localSheetId="3">'RES_cs-CZ'!$B$47</definedName>
    <definedName name="mg01s.Columns" localSheetId="4">'RES_da-DK'!$B$47</definedName>
    <definedName name="mg01s.Columns" localSheetId="5">'RES_de-DE'!$B$47</definedName>
    <definedName name="mg01s.Columns" localSheetId="6">'RES_el-GR'!$B$47</definedName>
    <definedName name="mg01s.Columns" localSheetId="2">'RES_en-US'!$B$47</definedName>
    <definedName name="mg01s.Columns" localSheetId="7">'RES_es-ES'!$B$47</definedName>
    <definedName name="mg01s.Columns" localSheetId="8">'RES_fi-FI'!$B$47</definedName>
    <definedName name="mg01s.Columns" localSheetId="1">'RES_fr-FR'!$B$47</definedName>
    <definedName name="mg01s.Columns" localSheetId="9">'RES_hr-HR'!$B$47</definedName>
    <definedName name="mg01s.Columns" localSheetId="10">'RES_hu-HU'!$B$47</definedName>
    <definedName name="mg01s.Columns" localSheetId="11">'RES_it-IT'!$B$47</definedName>
    <definedName name="mg01s.Columns" localSheetId="12">'RES_ja-JP'!$B$47</definedName>
    <definedName name="mg01s.Columns" localSheetId="13">'RES_ko-KR'!$B$47</definedName>
    <definedName name="mg01s.Columns" localSheetId="14">'RES_lv-LV'!$B$47</definedName>
    <definedName name="mg01s.Columns" localSheetId="15">'RES_nb-NO'!$B$47</definedName>
    <definedName name="mg01s.Columns" localSheetId="16">'RES_nl-NL'!$B$47</definedName>
    <definedName name="mg01s.Columns" localSheetId="17">'RES_pl-PL'!$B$47</definedName>
    <definedName name="mg01s.Columns" localSheetId="18">'RES_pt-BR'!$B$47</definedName>
    <definedName name="mg01s.Columns" localSheetId="19">'RES_pt-PT'!$B$47</definedName>
    <definedName name="mg01s.Columns" localSheetId="20">'RES_ro-RO'!$B$47</definedName>
    <definedName name="mg01s.Columns" localSheetId="21">'RES_ru-RU'!$B$47</definedName>
    <definedName name="mg01s.Columns" localSheetId="22">'RES_sl-SI'!$B$47</definedName>
    <definedName name="mg01s.Columns" localSheetId="23">'RES_sv-SE'!$B$47</definedName>
    <definedName name="mg01s.Columns" localSheetId="24">'RES_tr-TR'!$B$47</definedName>
    <definedName name="mg01s.Columns" localSheetId="25">'RES_zh-CN'!$B$47</definedName>
    <definedName name="mg01s.Columns" localSheetId="26">'RES_zh-TW'!$B$47</definedName>
    <definedName name="mg01s.ConfLvl" localSheetId="3">'RES_cs-CZ'!$B$63</definedName>
    <definedName name="mg01s.ConfLvl" localSheetId="4">'RES_da-DK'!$B$63</definedName>
    <definedName name="mg01s.ConfLvl" localSheetId="5">'RES_de-DE'!$B$63</definedName>
    <definedName name="mg01s.ConfLvl" localSheetId="6">'RES_el-GR'!$B$63</definedName>
    <definedName name="mg01s.ConfLvl" localSheetId="2">'RES_en-US'!$B$63</definedName>
    <definedName name="mg01s.ConfLvl" localSheetId="7">'RES_es-ES'!$B$63</definedName>
    <definedName name="mg01s.ConfLvl" localSheetId="8">'RES_fi-FI'!$B$63</definedName>
    <definedName name="mg01s.ConfLvl" localSheetId="1">'RES_fr-FR'!$B$63</definedName>
    <definedName name="mg01s.ConfLvl" localSheetId="9">'RES_hr-HR'!$B$63</definedName>
    <definedName name="mg01s.ConfLvl" localSheetId="10">'RES_hu-HU'!$B$63</definedName>
    <definedName name="mg01s.ConfLvl" localSheetId="11">'RES_it-IT'!$B$63</definedName>
    <definedName name="mg01s.ConfLvl" localSheetId="12">'RES_ja-JP'!$B$63</definedName>
    <definedName name="mg01s.ConfLvl" localSheetId="13">'RES_ko-KR'!$B$63</definedName>
    <definedName name="mg01s.ConfLvl" localSheetId="14">'RES_lv-LV'!$B$63</definedName>
    <definedName name="mg01s.ConfLvl" localSheetId="15">'RES_nb-NO'!$B$63</definedName>
    <definedName name="mg01s.ConfLvl" localSheetId="16">'RES_nl-NL'!$B$63</definedName>
    <definedName name="mg01s.ConfLvl" localSheetId="17">'RES_pl-PL'!$B$63</definedName>
    <definedName name="mg01s.ConfLvl" localSheetId="18">'RES_pt-BR'!$B$63</definedName>
    <definedName name="mg01s.ConfLvl" localSheetId="19">'RES_pt-PT'!$B$63</definedName>
    <definedName name="mg01s.ConfLvl" localSheetId="20">'RES_ro-RO'!$B$63</definedName>
    <definedName name="mg01s.ConfLvl" localSheetId="21">'RES_ru-RU'!$B$63</definedName>
    <definedName name="mg01s.ConfLvl" localSheetId="22">'RES_sl-SI'!$B$63</definedName>
    <definedName name="mg01s.ConfLvl" localSheetId="23">'RES_sv-SE'!$B$63</definedName>
    <definedName name="mg01s.ConfLvl" localSheetId="24">'RES_tr-TR'!$B$63</definedName>
    <definedName name="mg01s.ConfLvl" localSheetId="25">'RES_zh-CN'!$B$63</definedName>
    <definedName name="mg01s.ConfLvl" localSheetId="26">'RES_zh-TW'!$B$63</definedName>
    <definedName name="mg01s.Correl" localSheetId="3">'RES_cs-CZ'!$B$64</definedName>
    <definedName name="mg01s.Correl" localSheetId="4">'RES_da-DK'!$B$64</definedName>
    <definedName name="mg01s.Correl" localSheetId="5">'RES_de-DE'!$B$64</definedName>
    <definedName name="mg01s.Correl" localSheetId="6">'RES_el-GR'!$B$64</definedName>
    <definedName name="mg01s.Correl" localSheetId="2">'RES_en-US'!$B$64</definedName>
    <definedName name="mg01s.Correl" localSheetId="7">'RES_es-ES'!$B$64</definedName>
    <definedName name="mg01s.Correl" localSheetId="8">'RES_fi-FI'!$B$64</definedName>
    <definedName name="mg01s.Correl" localSheetId="1">'RES_fr-FR'!$B$64</definedName>
    <definedName name="mg01s.Correl" localSheetId="9">'RES_hr-HR'!$B$64</definedName>
    <definedName name="mg01s.Correl" localSheetId="10">'RES_hu-HU'!$B$64</definedName>
    <definedName name="mg01s.Correl" localSheetId="11">'RES_it-IT'!$B$64</definedName>
    <definedName name="mg01s.Correl" localSheetId="12">'RES_ja-JP'!$B$64</definedName>
    <definedName name="mg01s.Correl" localSheetId="13">'RES_ko-KR'!$B$64</definedName>
    <definedName name="mg01s.Correl" localSheetId="14">'RES_lv-LV'!$B$64</definedName>
    <definedName name="mg01s.Correl" localSheetId="15">'RES_nb-NO'!$B$64</definedName>
    <definedName name="mg01s.Correl" localSheetId="16">'RES_nl-NL'!$B$64</definedName>
    <definedName name="mg01s.Correl" localSheetId="17">'RES_pl-PL'!$B$64</definedName>
    <definedName name="mg01s.Correl" localSheetId="18">'RES_pt-BR'!$B$64</definedName>
    <definedName name="mg01s.Correl" localSheetId="19">'RES_pt-PT'!$B$64</definedName>
    <definedName name="mg01s.Correl" localSheetId="20">'RES_ro-RO'!$B$64</definedName>
    <definedName name="mg01s.Correl" localSheetId="21">'RES_ru-RU'!$B$64</definedName>
    <definedName name="mg01s.Correl" localSheetId="22">'RES_sl-SI'!$B$64</definedName>
    <definedName name="mg01s.Correl" localSheetId="23">'RES_sv-SE'!$B$64</definedName>
    <definedName name="mg01s.Correl" localSheetId="24">'RES_tr-TR'!$B$64</definedName>
    <definedName name="mg01s.Correl" localSheetId="25">'RES_zh-CN'!$B$64</definedName>
    <definedName name="mg01s.Correl" localSheetId="26">'RES_zh-TW'!$B$64</definedName>
    <definedName name="mg01s.Count" localSheetId="3">'RES_cs-CZ'!$B$27</definedName>
    <definedName name="mg01s.Count" localSheetId="4">'RES_da-DK'!$B$27</definedName>
    <definedName name="mg01s.Count" localSheetId="5">'RES_de-DE'!$B$27</definedName>
    <definedName name="mg01s.Count" localSheetId="6">'RES_el-GR'!$B$27</definedName>
    <definedName name="mg01s.Count" localSheetId="2">'RES_en-US'!$B$27</definedName>
    <definedName name="mg01s.Count" localSheetId="7">'RES_es-ES'!$B$27</definedName>
    <definedName name="mg01s.Count" localSheetId="8">'RES_fi-FI'!$B$27</definedName>
    <definedName name="mg01s.Count" localSheetId="1">'RES_fr-FR'!$B$27</definedName>
    <definedName name="mg01s.Count" localSheetId="9">'RES_hr-HR'!$B$27</definedName>
    <definedName name="mg01s.Count" localSheetId="10">'RES_hu-HU'!$B$27</definedName>
    <definedName name="mg01s.Count" localSheetId="11">'RES_it-IT'!$B$27</definedName>
    <definedName name="mg01s.Count" localSheetId="12">'RES_ja-JP'!$B$27</definedName>
    <definedName name="mg01s.Count" localSheetId="13">'RES_ko-KR'!$B$27</definedName>
    <definedName name="mg01s.Count" localSheetId="14">'RES_lv-LV'!$B$27</definedName>
    <definedName name="mg01s.Count" localSheetId="15">'RES_nb-NO'!$B$27</definedName>
    <definedName name="mg01s.Count" localSheetId="16">'RES_nl-NL'!$B$27</definedName>
    <definedName name="mg01s.Count" localSheetId="17">'RES_pl-PL'!$B$27</definedName>
    <definedName name="mg01s.Count" localSheetId="18">'RES_pt-BR'!$B$27</definedName>
    <definedName name="mg01s.Count" localSheetId="19">'RES_pt-PT'!$B$27</definedName>
    <definedName name="mg01s.Count" localSheetId="20">'RES_ro-RO'!$B$27</definedName>
    <definedName name="mg01s.Count" localSheetId="21">'RES_ru-RU'!$B$27</definedName>
    <definedName name="mg01s.Count" localSheetId="22">'RES_sl-SI'!$B$27</definedName>
    <definedName name="mg01s.Count" localSheetId="23">'RES_sv-SE'!$B$27</definedName>
    <definedName name="mg01s.Count" localSheetId="24">'RES_tr-TR'!$B$27</definedName>
    <definedName name="mg01s.Count" localSheetId="25">'RES_zh-CN'!$B$27</definedName>
    <definedName name="mg01s.Count" localSheetId="26">'RES_zh-TW'!$B$27</definedName>
    <definedName name="mg01s.Covar" localSheetId="3">'RES_cs-CZ'!$B$65</definedName>
    <definedName name="mg01s.Covar" localSheetId="4">'RES_da-DK'!$B$65</definedName>
    <definedName name="mg01s.Covar" localSheetId="5">'RES_de-DE'!$B$65</definedName>
    <definedName name="mg01s.Covar" localSheetId="6">'RES_el-GR'!$B$65</definedName>
    <definedName name="mg01s.Covar" localSheetId="2">'RES_en-US'!$B$65</definedName>
    <definedName name="mg01s.Covar" localSheetId="7">'RES_es-ES'!$B$65</definedName>
    <definedName name="mg01s.Covar" localSheetId="8">'RES_fi-FI'!$B$65</definedName>
    <definedName name="mg01s.Covar" localSheetId="1">'RES_fr-FR'!$B$65</definedName>
    <definedName name="mg01s.Covar" localSheetId="9">'RES_hr-HR'!$B$65</definedName>
    <definedName name="mg01s.Covar" localSheetId="10">'RES_hu-HU'!$B$65</definedName>
    <definedName name="mg01s.Covar" localSheetId="11">'RES_it-IT'!$B$65</definedName>
    <definedName name="mg01s.Covar" localSheetId="12">'RES_ja-JP'!$B$65</definedName>
    <definedName name="mg01s.Covar" localSheetId="13">'RES_ko-KR'!$B$65</definedName>
    <definedName name="mg01s.Covar" localSheetId="14">'RES_lv-LV'!$B$65</definedName>
    <definedName name="mg01s.Covar" localSheetId="15">'RES_nb-NO'!$B$65</definedName>
    <definedName name="mg01s.Covar" localSheetId="16">'RES_nl-NL'!$B$65</definedName>
    <definedName name="mg01s.Covar" localSheetId="17">'RES_pl-PL'!$B$65</definedName>
    <definedName name="mg01s.Covar" localSheetId="18">'RES_pt-BR'!$B$65</definedName>
    <definedName name="mg01s.Covar" localSheetId="19">'RES_pt-PT'!$B$65</definedName>
    <definedName name="mg01s.Covar" localSheetId="20">'RES_ro-RO'!$B$65</definedName>
    <definedName name="mg01s.Covar" localSheetId="21">'RES_ru-RU'!$B$65</definedName>
    <definedName name="mg01s.Covar" localSheetId="22">'RES_sl-SI'!$B$65</definedName>
    <definedName name="mg01s.Covar" localSheetId="23">'RES_sv-SE'!$B$65</definedName>
    <definedName name="mg01s.Covar" localSheetId="24">'RES_tr-TR'!$B$65</definedName>
    <definedName name="mg01s.Covar" localSheetId="25">'RES_zh-CN'!$B$65</definedName>
    <definedName name="mg01s.Covar" localSheetId="26">'RES_zh-TW'!$B$65</definedName>
    <definedName name="mg01s.CumPer" localSheetId="3">'RES_cs-CZ'!$B$75</definedName>
    <definedName name="mg01s.CumPer" localSheetId="4">'RES_da-DK'!$B$75</definedName>
    <definedName name="mg01s.CumPer" localSheetId="5">'RES_de-DE'!$B$75</definedName>
    <definedName name="mg01s.CumPer" localSheetId="6">'RES_el-GR'!$B$75</definedName>
    <definedName name="mg01s.CumPer" localSheetId="2">'RES_en-US'!$B$75</definedName>
    <definedName name="mg01s.CumPer" localSheetId="7">'RES_es-ES'!$B$75</definedName>
    <definedName name="mg01s.CumPer" localSheetId="8">'RES_fi-FI'!$B$75</definedName>
    <definedName name="mg01s.CumPer" localSheetId="1">'RES_fr-FR'!$B$75</definedName>
    <definedName name="mg01s.CumPer" localSheetId="9">'RES_hr-HR'!$B$75</definedName>
    <definedName name="mg01s.CumPer" localSheetId="10">'RES_hu-HU'!$B$75</definedName>
    <definedName name="mg01s.CumPer" localSheetId="11">'RES_it-IT'!$B$75</definedName>
    <definedName name="mg01s.CumPer" localSheetId="12">'RES_ja-JP'!$B$75</definedName>
    <definedName name="mg01s.CumPer" localSheetId="13">'RES_ko-KR'!$B$75</definedName>
    <definedName name="mg01s.CumPer" localSheetId="14">'RES_lv-LV'!$B$75</definedName>
    <definedName name="mg01s.CumPer" localSheetId="15">'RES_nb-NO'!$B$75</definedName>
    <definedName name="mg01s.CumPer" localSheetId="16">'RES_nl-NL'!$B$75</definedName>
    <definedName name="mg01s.CumPer" localSheetId="17">'RES_pl-PL'!$B$75</definedName>
    <definedName name="mg01s.CumPer" localSheetId="18">'RES_pt-BR'!$B$75</definedName>
    <definedName name="mg01s.CumPer" localSheetId="19">'RES_pt-PT'!$B$75</definedName>
    <definedName name="mg01s.CumPer" localSheetId="20">'RES_ro-RO'!$B$75</definedName>
    <definedName name="mg01s.CumPer" localSheetId="21">'RES_ru-RU'!$B$75</definedName>
    <definedName name="mg01s.CumPer" localSheetId="22">'RES_sl-SI'!$B$75</definedName>
    <definedName name="mg01s.CumPer" localSheetId="23">'RES_sv-SE'!$B$75</definedName>
    <definedName name="mg01s.CumPer" localSheetId="24">'RES_tr-TR'!$B$75</definedName>
    <definedName name="mg01s.CumPer" localSheetId="25">'RES_zh-CN'!$B$75</definedName>
    <definedName name="mg01s.CumPer" localSheetId="26">'RES_zh-TW'!$B$75</definedName>
    <definedName name="mg01s.DataPoint" localSheetId="3">'RES_cs-CZ'!$B$70</definedName>
    <definedName name="mg01s.DataPoint" localSheetId="4">'RES_da-DK'!$B$70</definedName>
    <definedName name="mg01s.DataPoint" localSheetId="5">'RES_de-DE'!$B$70</definedName>
    <definedName name="mg01s.DataPoint" localSheetId="6">'RES_el-GR'!$B$70</definedName>
    <definedName name="mg01s.DataPoint" localSheetId="2">'RES_en-US'!$B$70</definedName>
    <definedName name="mg01s.DataPoint" localSheetId="7">'RES_es-ES'!$B$70</definedName>
    <definedName name="mg01s.DataPoint" localSheetId="8">'RES_fi-FI'!$B$70</definedName>
    <definedName name="mg01s.DataPoint" localSheetId="1">'RES_fr-FR'!$B$70</definedName>
    <definedName name="mg01s.DataPoint" localSheetId="9">'RES_hr-HR'!$B$70</definedName>
    <definedName name="mg01s.DataPoint" localSheetId="10">'RES_hu-HU'!$B$70</definedName>
    <definedName name="mg01s.DataPoint" localSheetId="11">'RES_it-IT'!$B$70</definedName>
    <definedName name="mg01s.DataPoint" localSheetId="12">'RES_ja-JP'!$B$70</definedName>
    <definedName name="mg01s.DataPoint" localSheetId="13">'RES_ko-KR'!$B$70</definedName>
    <definedName name="mg01s.DataPoint" localSheetId="14">'RES_lv-LV'!$B$70</definedName>
    <definedName name="mg01s.DataPoint" localSheetId="15">'RES_nb-NO'!$B$70</definedName>
    <definedName name="mg01s.DataPoint" localSheetId="16">'RES_nl-NL'!$B$70</definedName>
    <definedName name="mg01s.DataPoint" localSheetId="17">'RES_pl-PL'!$B$70</definedName>
    <definedName name="mg01s.DataPoint" localSheetId="18">'RES_pt-BR'!$B$70</definedName>
    <definedName name="mg01s.DataPoint" localSheetId="19">'RES_pt-PT'!$B$70</definedName>
    <definedName name="mg01s.DataPoint" localSheetId="20">'RES_ro-RO'!$B$70</definedName>
    <definedName name="mg01s.DataPoint" localSheetId="21">'RES_ru-RU'!$B$70</definedName>
    <definedName name="mg01s.DataPoint" localSheetId="22">'RES_sl-SI'!$B$70</definedName>
    <definedName name="mg01s.DataPoint" localSheetId="23">'RES_sv-SE'!$B$70</definedName>
    <definedName name="mg01s.DataPoint" localSheetId="24">'RES_tr-TR'!$B$70</definedName>
    <definedName name="mg01s.DataPoint" localSheetId="25">'RES_zh-CN'!$B$70</definedName>
    <definedName name="mg01s.DataPoint" localSheetId="26">'RES_zh-TW'!$B$70</definedName>
    <definedName name="mg01s.Date" localSheetId="3">'RES_cs-CZ'!$B$14</definedName>
    <definedName name="mg01s.Date" localSheetId="4">'RES_da-DK'!$B$14</definedName>
    <definedName name="mg01s.Date" localSheetId="5">'RES_de-DE'!$B$14</definedName>
    <definedName name="mg01s.Date" localSheetId="6">'RES_el-GR'!$B$14</definedName>
    <definedName name="mg01s.Date" localSheetId="2">'RES_en-US'!$B$14</definedName>
    <definedName name="mg01s.Date" localSheetId="7">'RES_es-ES'!$B$14</definedName>
    <definedName name="mg01s.Date" localSheetId="8">'RES_fi-FI'!$B$14</definedName>
    <definedName name="mg01s.Date" localSheetId="1">'RES_fr-FR'!$B$14</definedName>
    <definedName name="mg01s.Date" localSheetId="9">'RES_hr-HR'!$B$14</definedName>
    <definedName name="mg01s.Date" localSheetId="10">'RES_hu-HU'!$B$14</definedName>
    <definedName name="mg01s.Date" localSheetId="11">'RES_it-IT'!$B$14</definedName>
    <definedName name="mg01s.Date" localSheetId="12">'RES_ja-JP'!$B$14</definedName>
    <definedName name="mg01s.Date" localSheetId="13">'RES_ko-KR'!$B$14</definedName>
    <definedName name="mg01s.Date" localSheetId="14">'RES_lv-LV'!$B$14</definedName>
    <definedName name="mg01s.Date" localSheetId="15">'RES_nb-NO'!$B$14</definedName>
    <definedName name="mg01s.Date" localSheetId="16">'RES_nl-NL'!$B$14</definedName>
    <definedName name="mg01s.Date" localSheetId="17">'RES_pl-PL'!$B$14</definedName>
    <definedName name="mg01s.Date" localSheetId="18">'RES_pt-BR'!$B$14</definedName>
    <definedName name="mg01s.Date" localSheetId="19">'RES_pt-PT'!$B$14</definedName>
    <definedName name="mg01s.Date" localSheetId="20">'RES_ro-RO'!$B$14</definedName>
    <definedName name="mg01s.Date" localSheetId="21">'RES_ru-RU'!$B$14</definedName>
    <definedName name="mg01s.Date" localSheetId="22">'RES_sl-SI'!$B$14</definedName>
    <definedName name="mg01s.Date" localSheetId="23">'RES_sv-SE'!$B$14</definedName>
    <definedName name="mg01s.Date" localSheetId="24">'RES_tr-TR'!$B$14</definedName>
    <definedName name="mg01s.Date" localSheetId="25">'RES_zh-CN'!$B$14</definedName>
    <definedName name="mg01s.Date" localSheetId="26">'RES_zh-TW'!$B$14</definedName>
    <definedName name="mg01s.Descr" localSheetId="3">'RES_cs-CZ'!$B$49</definedName>
    <definedName name="mg01s.Descr" localSheetId="4">'RES_da-DK'!$B$49</definedName>
    <definedName name="mg01s.Descr" localSheetId="5">'RES_de-DE'!$B$49</definedName>
    <definedName name="mg01s.Descr" localSheetId="6">'RES_el-GR'!$B$49</definedName>
    <definedName name="mg01s.Descr" localSheetId="2">'RES_en-US'!$B$49</definedName>
    <definedName name="mg01s.Descr" localSheetId="7">'RES_es-ES'!$B$49</definedName>
    <definedName name="mg01s.Descr" localSheetId="8">'RES_fi-FI'!$B$49</definedName>
    <definedName name="mg01s.Descr" localSheetId="1">'RES_fr-FR'!$B$49</definedName>
    <definedName name="mg01s.Descr" localSheetId="9">'RES_hr-HR'!$B$49</definedName>
    <definedName name="mg01s.Descr" localSheetId="10">'RES_hu-HU'!$B$49</definedName>
    <definedName name="mg01s.Descr" localSheetId="11">'RES_it-IT'!$B$49</definedName>
    <definedName name="mg01s.Descr" localSheetId="12">'RES_ja-JP'!$B$49</definedName>
    <definedName name="mg01s.Descr" localSheetId="13">'RES_ko-KR'!$B$49</definedName>
    <definedName name="mg01s.Descr" localSheetId="14">'RES_lv-LV'!$B$49</definedName>
    <definedName name="mg01s.Descr" localSheetId="15">'RES_nb-NO'!$B$49</definedName>
    <definedName name="mg01s.Descr" localSheetId="16">'RES_nl-NL'!$B$49</definedName>
    <definedName name="mg01s.Descr" localSheetId="17">'RES_pl-PL'!$B$49</definedName>
    <definedName name="mg01s.Descr" localSheetId="18">'RES_pt-BR'!$B$49</definedName>
    <definedName name="mg01s.Descr" localSheetId="19">'RES_pt-PT'!$B$49</definedName>
    <definedName name="mg01s.Descr" localSheetId="20">'RES_ro-RO'!$B$49</definedName>
    <definedName name="mg01s.Descr" localSheetId="21">'RES_ru-RU'!$B$49</definedName>
    <definedName name="mg01s.Descr" localSheetId="22">'RES_sl-SI'!$B$49</definedName>
    <definedName name="mg01s.Descr" localSheetId="23">'RES_sv-SE'!$B$49</definedName>
    <definedName name="mg01s.Descr" localSheetId="24">'RES_tr-TR'!$B$49</definedName>
    <definedName name="mg01s.Descr" localSheetId="25">'RES_zh-CN'!$B$49</definedName>
    <definedName name="mg01s.Descr" localSheetId="26">'RES_zh-TW'!$B$49</definedName>
    <definedName name="mg01s.DF" localSheetId="3">'RES_cs-CZ'!$B$34</definedName>
    <definedName name="mg01s.DF" localSheetId="4">'RES_da-DK'!$B$34</definedName>
    <definedName name="mg01s.DF" localSheetId="5">'RES_de-DE'!$B$34</definedName>
    <definedName name="mg01s.DF" localSheetId="6">'RES_el-GR'!$B$34</definedName>
    <definedName name="mg01s.DF" localSheetId="2">'RES_en-US'!$B$34</definedName>
    <definedName name="mg01s.DF" localSheetId="7">'RES_es-ES'!$B$34</definedName>
    <definedName name="mg01s.DF" localSheetId="8">'RES_fi-FI'!$B$34</definedName>
    <definedName name="mg01s.DF" localSheetId="1">'RES_fr-FR'!$B$34</definedName>
    <definedName name="mg01s.DF" localSheetId="9">'RES_hr-HR'!$B$34</definedName>
    <definedName name="mg01s.DF" localSheetId="10">'RES_hu-HU'!$B$34</definedName>
    <definedName name="mg01s.DF" localSheetId="11">'RES_it-IT'!$B$34</definedName>
    <definedName name="mg01s.DF" localSheetId="12">'RES_ja-JP'!$B$34</definedName>
    <definedName name="mg01s.DF" localSheetId="13">'RES_ko-KR'!$B$34</definedName>
    <definedName name="mg01s.DF" localSheetId="14">'RES_lv-LV'!$B$34</definedName>
    <definedName name="mg01s.DF" localSheetId="15">'RES_nb-NO'!$B$34</definedName>
    <definedName name="mg01s.DF" localSheetId="16">'RES_nl-NL'!$B$34</definedName>
    <definedName name="mg01s.DF" localSheetId="17">'RES_pl-PL'!$B$34</definedName>
    <definedName name="mg01s.DF" localSheetId="18">'RES_pt-BR'!$B$34</definedName>
    <definedName name="mg01s.DF" localSheetId="19">'RES_pt-PT'!$B$34</definedName>
    <definedName name="mg01s.DF" localSheetId="20">'RES_ro-RO'!$B$34</definedName>
    <definedName name="mg01s.DF" localSheetId="21">'RES_ru-RU'!$B$34</definedName>
    <definedName name="mg01s.DF" localSheetId="22">'RES_sl-SI'!$B$34</definedName>
    <definedName name="mg01s.DF" localSheetId="23">'RES_sv-SE'!$B$34</definedName>
    <definedName name="mg01s.DF" localSheetId="24">'RES_tr-TR'!$B$34</definedName>
    <definedName name="mg01s.DF" localSheetId="25">'RES_zh-CN'!$B$34</definedName>
    <definedName name="mg01s.DF" localSheetId="26">'RES_zh-TW'!$B$34</definedName>
    <definedName name="mg01s.Eng" localSheetId="3">'RES_cs-CZ'!$B$19</definedName>
    <definedName name="mg01s.Eng" localSheetId="4">'RES_da-DK'!$B$19</definedName>
    <definedName name="mg01s.Eng" localSheetId="5">'RES_de-DE'!$B$19</definedName>
    <definedName name="mg01s.Eng" localSheetId="6">'RES_el-GR'!$B$19</definedName>
    <definedName name="mg01s.Eng" localSheetId="2">'RES_en-US'!$B$19</definedName>
    <definedName name="mg01s.Eng" localSheetId="7">'RES_es-ES'!$B$19</definedName>
    <definedName name="mg01s.Eng" localSheetId="8">'RES_fi-FI'!$B$19</definedName>
    <definedName name="mg01s.Eng" localSheetId="1">'RES_fr-FR'!$B$19</definedName>
    <definedName name="mg01s.Eng" localSheetId="9">'RES_hr-HR'!$B$19</definedName>
    <definedName name="mg01s.Eng" localSheetId="10">'RES_hu-HU'!$B$19</definedName>
    <definedName name="mg01s.Eng" localSheetId="11">'RES_it-IT'!$B$19</definedName>
    <definedName name="mg01s.Eng" localSheetId="12">'RES_ja-JP'!$B$19</definedName>
    <definedName name="mg01s.Eng" localSheetId="13">'RES_ko-KR'!$B$19</definedName>
    <definedName name="mg01s.Eng" localSheetId="14">'RES_lv-LV'!$B$19</definedName>
    <definedName name="mg01s.Eng" localSheetId="15">'RES_nb-NO'!$B$19</definedName>
    <definedName name="mg01s.Eng" localSheetId="16">'RES_nl-NL'!$B$19</definedName>
    <definedName name="mg01s.Eng" localSheetId="17">'RES_pl-PL'!$B$19</definedName>
    <definedName name="mg01s.Eng" localSheetId="18">'RES_pt-BR'!$B$19</definedName>
    <definedName name="mg01s.Eng" localSheetId="19">'RES_pt-PT'!$B$19</definedName>
    <definedName name="mg01s.Eng" localSheetId="20">'RES_ro-RO'!$B$19</definedName>
    <definedName name="mg01s.Eng" localSheetId="21">'RES_ru-RU'!$B$19</definedName>
    <definedName name="mg01s.Eng" localSheetId="22">'RES_sl-SI'!$B$19</definedName>
    <definedName name="mg01s.Eng" localSheetId="23">'RES_sv-SE'!$B$19</definedName>
    <definedName name="mg01s.Eng" localSheetId="24">'RES_tr-TR'!$B$19</definedName>
    <definedName name="mg01s.Eng" localSheetId="25">'RES_zh-CN'!$B$19</definedName>
    <definedName name="mg01s.Eng" localSheetId="26">'RES_zh-TW'!$B$19</definedName>
    <definedName name="mg01s.Error" localSheetId="3">'RES_cs-CZ'!$B$48</definedName>
    <definedName name="mg01s.Error" localSheetId="4">'RES_da-DK'!$B$48</definedName>
    <definedName name="mg01s.Error" localSheetId="5">'RES_de-DE'!$B$48</definedName>
    <definedName name="mg01s.Error" localSheetId="6">'RES_el-GR'!$B$48</definedName>
    <definedName name="mg01s.Error" localSheetId="2">'RES_en-US'!$B$48</definedName>
    <definedName name="mg01s.Error" localSheetId="7">'RES_es-ES'!$B$48</definedName>
    <definedName name="mg01s.Error" localSheetId="8">'RES_fi-FI'!$B$48</definedName>
    <definedName name="mg01s.Error" localSheetId="1">'RES_fr-FR'!$B$48</definedName>
    <definedName name="mg01s.Error" localSheetId="9">'RES_hr-HR'!$B$48</definedName>
    <definedName name="mg01s.Error" localSheetId="10">'RES_hu-HU'!$B$48</definedName>
    <definedName name="mg01s.Error" localSheetId="11">'RES_it-IT'!$B$48</definedName>
    <definedName name="mg01s.Error" localSheetId="12">'RES_ja-JP'!$B$48</definedName>
    <definedName name="mg01s.Error" localSheetId="13">'RES_ko-KR'!$B$48</definedName>
    <definedName name="mg01s.Error" localSheetId="14">'RES_lv-LV'!$B$48</definedName>
    <definedName name="mg01s.Error" localSheetId="15">'RES_nb-NO'!$B$48</definedName>
    <definedName name="mg01s.Error" localSheetId="16">'RES_nl-NL'!$B$48</definedName>
    <definedName name="mg01s.Error" localSheetId="17">'RES_pl-PL'!$B$48</definedName>
    <definedName name="mg01s.Error" localSheetId="18">'RES_pt-BR'!$B$48</definedName>
    <definedName name="mg01s.Error" localSheetId="19">'RES_pt-PT'!$B$48</definedName>
    <definedName name="mg01s.Error" localSheetId="20">'RES_ro-RO'!$B$48</definedName>
    <definedName name="mg01s.Error" localSheetId="21">'RES_ru-RU'!$B$48</definedName>
    <definedName name="mg01s.Error" localSheetId="22">'RES_sl-SI'!$B$48</definedName>
    <definedName name="mg01s.Error" localSheetId="23">'RES_sv-SE'!$B$48</definedName>
    <definedName name="mg01s.Error" localSheetId="24">'RES_tr-TR'!$B$48</definedName>
    <definedName name="mg01s.Error" localSheetId="25">'RES_zh-CN'!$B$48</definedName>
    <definedName name="mg01s.Error" localSheetId="26">'RES_zh-TW'!$B$48</definedName>
    <definedName name="mg01s.ExpSmth" localSheetId="3">'RES_cs-CZ'!$B$66</definedName>
    <definedName name="mg01s.ExpSmth" localSheetId="4">'RES_da-DK'!$B$66</definedName>
    <definedName name="mg01s.ExpSmth" localSheetId="5">'RES_de-DE'!$B$66</definedName>
    <definedName name="mg01s.ExpSmth" localSheetId="6">'RES_el-GR'!$B$66</definedName>
    <definedName name="mg01s.ExpSmth" localSheetId="2">'RES_en-US'!$B$66</definedName>
    <definedName name="mg01s.ExpSmth" localSheetId="7">'RES_es-ES'!$B$66</definedName>
    <definedName name="mg01s.ExpSmth" localSheetId="8">'RES_fi-FI'!$B$66</definedName>
    <definedName name="mg01s.ExpSmth" localSheetId="1">'RES_fr-FR'!$B$66</definedName>
    <definedName name="mg01s.ExpSmth" localSheetId="9">'RES_hr-HR'!$B$66</definedName>
    <definedName name="mg01s.ExpSmth" localSheetId="10">'RES_hu-HU'!$B$66</definedName>
    <definedName name="mg01s.ExpSmth" localSheetId="11">'RES_it-IT'!$B$66</definedName>
    <definedName name="mg01s.ExpSmth" localSheetId="12">'RES_ja-JP'!$B$66</definedName>
    <definedName name="mg01s.ExpSmth" localSheetId="13">'RES_ko-KR'!$B$66</definedName>
    <definedName name="mg01s.ExpSmth" localSheetId="14">'RES_lv-LV'!$B$66</definedName>
    <definedName name="mg01s.ExpSmth" localSheetId="15">'RES_nb-NO'!$B$66</definedName>
    <definedName name="mg01s.ExpSmth" localSheetId="16">'RES_nl-NL'!$B$66</definedName>
    <definedName name="mg01s.ExpSmth" localSheetId="17">'RES_pl-PL'!$B$66</definedName>
    <definedName name="mg01s.ExpSmth" localSheetId="18">'RES_pt-BR'!$B$66</definedName>
    <definedName name="mg01s.ExpSmth" localSheetId="19">'RES_pt-PT'!$B$66</definedName>
    <definedName name="mg01s.ExpSmth" localSheetId="20">'RES_ro-RO'!$B$66</definedName>
    <definedName name="mg01s.ExpSmth" localSheetId="21">'RES_ru-RU'!$B$66</definedName>
    <definedName name="mg01s.ExpSmth" localSheetId="22">'RES_sl-SI'!$B$66</definedName>
    <definedName name="mg01s.ExpSmth" localSheetId="23">'RES_sv-SE'!$B$66</definedName>
    <definedName name="mg01s.ExpSmth" localSheetId="24">'RES_tr-TR'!$B$66</definedName>
    <definedName name="mg01s.ExpSmth" localSheetId="25">'RES_zh-CN'!$B$66</definedName>
    <definedName name="mg01s.ExpSmth" localSheetId="26">'RES_zh-TW'!$B$66</definedName>
    <definedName name="mg01s.F" localSheetId="3">'RES_cs-CZ'!$B$36</definedName>
    <definedName name="mg01s.F" localSheetId="4">'RES_da-DK'!$B$36</definedName>
    <definedName name="mg01s.F" localSheetId="5">'RES_de-DE'!$B$36</definedName>
    <definedName name="mg01s.F" localSheetId="6">'RES_el-GR'!$B$36</definedName>
    <definedName name="mg01s.F" localSheetId="2">'RES_en-US'!$B$36</definedName>
    <definedName name="mg01s.F" localSheetId="7">'RES_es-ES'!$B$36</definedName>
    <definedName name="mg01s.F" localSheetId="8">'RES_fi-FI'!$B$36</definedName>
    <definedName name="mg01s.F" localSheetId="1">'RES_fr-FR'!$B$36</definedName>
    <definedName name="mg01s.F" localSheetId="9">'RES_hr-HR'!$B$36</definedName>
    <definedName name="mg01s.F" localSheetId="10">'RES_hu-HU'!$B$36</definedName>
    <definedName name="mg01s.F" localSheetId="11">'RES_it-IT'!$B$36</definedName>
    <definedName name="mg01s.F" localSheetId="12">'RES_ja-JP'!$B$36</definedName>
    <definedName name="mg01s.F" localSheetId="13">'RES_ko-KR'!$B$36</definedName>
    <definedName name="mg01s.F" localSheetId="14">'RES_lv-LV'!$B$36</definedName>
    <definedName name="mg01s.F" localSheetId="15">'RES_nb-NO'!$B$36</definedName>
    <definedName name="mg01s.F" localSheetId="16">'RES_nl-NL'!$B$36</definedName>
    <definedName name="mg01s.F" localSheetId="17">'RES_pl-PL'!$B$36</definedName>
    <definedName name="mg01s.F" localSheetId="18">'RES_pt-BR'!$B$36</definedName>
    <definedName name="mg01s.F" localSheetId="19">'RES_pt-PT'!$B$36</definedName>
    <definedName name="mg01s.F" localSheetId="20">'RES_ro-RO'!$B$36</definedName>
    <definedName name="mg01s.F" localSheetId="21">'RES_ru-RU'!$B$36</definedName>
    <definedName name="mg01s.F" localSheetId="22">'RES_sl-SI'!$B$36</definedName>
    <definedName name="mg01s.F" localSheetId="23">'RES_sv-SE'!$B$36</definedName>
    <definedName name="mg01s.F" localSheetId="24">'RES_tr-TR'!$B$36</definedName>
    <definedName name="mg01s.F" localSheetId="25">'RES_zh-CN'!$B$36</definedName>
    <definedName name="mg01s.F" localSheetId="26">'RES_zh-TW'!$B$36</definedName>
    <definedName name="mg01s.F1Tail" localSheetId="3">'RES_cs-CZ'!$B$83</definedName>
    <definedName name="mg01s.F1Tail" localSheetId="4">'RES_da-DK'!$B$83</definedName>
    <definedName name="mg01s.F1Tail" localSheetId="5">'RES_de-DE'!$B$83</definedName>
    <definedName name="mg01s.F1Tail" localSheetId="6">'RES_el-GR'!$B$83</definedName>
    <definedName name="mg01s.F1Tail" localSheetId="2">'RES_en-US'!$B$83</definedName>
    <definedName name="mg01s.F1Tail" localSheetId="7">'RES_es-ES'!$B$83</definedName>
    <definedName name="mg01s.F1Tail" localSheetId="8">'RES_fi-FI'!$B$83</definedName>
    <definedName name="mg01s.F1Tail" localSheetId="1">'RES_fr-FR'!$B$83</definedName>
    <definedName name="mg01s.F1Tail" localSheetId="9">'RES_hr-HR'!$B$83</definedName>
    <definedName name="mg01s.F1Tail" localSheetId="10">'RES_hu-HU'!$B$83</definedName>
    <definedName name="mg01s.F1Tail" localSheetId="11">'RES_it-IT'!$B$83</definedName>
    <definedName name="mg01s.F1Tail" localSheetId="12">'RES_ja-JP'!$B$83</definedName>
    <definedName name="mg01s.F1Tail" localSheetId="13">'RES_ko-KR'!$B$83</definedName>
    <definedName name="mg01s.F1Tail" localSheetId="14">'RES_lv-LV'!$B$83</definedName>
    <definedName name="mg01s.F1Tail" localSheetId="15">'RES_nb-NO'!$B$83</definedName>
    <definedName name="mg01s.F1Tail" localSheetId="16">'RES_nl-NL'!$B$83</definedName>
    <definedName name="mg01s.F1Tail" localSheetId="17">'RES_pl-PL'!$B$83</definedName>
    <definedName name="mg01s.F1Tail" localSheetId="18">'RES_pt-BR'!$B$83</definedName>
    <definedName name="mg01s.F1Tail" localSheetId="19">'RES_pt-PT'!$B$83</definedName>
    <definedName name="mg01s.F1Tail" localSheetId="20">'RES_ro-RO'!$B$83</definedName>
    <definedName name="mg01s.F1Tail" localSheetId="21">'RES_ru-RU'!$B$83</definedName>
    <definedName name="mg01s.F1Tail" localSheetId="22">'RES_sl-SI'!$B$83</definedName>
    <definedName name="mg01s.F1Tail" localSheetId="23">'RES_sv-SE'!$B$83</definedName>
    <definedName name="mg01s.F1Tail" localSheetId="24">'RES_tr-TR'!$B$83</definedName>
    <definedName name="mg01s.F1Tail" localSheetId="25">'RES_zh-CN'!$B$83</definedName>
    <definedName name="mg01s.F1Tail" localSheetId="26">'RES_zh-TW'!$B$83</definedName>
    <definedName name="mg01s.FCrit" localSheetId="3">'RES_cs-CZ'!$B$38</definedName>
    <definedName name="mg01s.FCrit" localSheetId="4">'RES_da-DK'!$B$38</definedName>
    <definedName name="mg01s.FCrit" localSheetId="5">'RES_de-DE'!$B$38</definedName>
    <definedName name="mg01s.FCrit" localSheetId="6">'RES_el-GR'!$B$38</definedName>
    <definedName name="mg01s.FCrit" localSheetId="2">'RES_en-US'!$B$38</definedName>
    <definedName name="mg01s.FCrit" localSheetId="7">'RES_es-ES'!$B$38</definedName>
    <definedName name="mg01s.FCrit" localSheetId="8">'RES_fi-FI'!$B$38</definedName>
    <definedName name="mg01s.FCrit" localSheetId="1">'RES_fr-FR'!$B$38</definedName>
    <definedName name="mg01s.FCrit" localSheetId="9">'RES_hr-HR'!$B$38</definedName>
    <definedName name="mg01s.FCrit" localSheetId="10">'RES_hu-HU'!$B$38</definedName>
    <definedName name="mg01s.FCrit" localSheetId="11">'RES_it-IT'!$B$38</definedName>
    <definedName name="mg01s.FCrit" localSheetId="12">'RES_ja-JP'!$B$38</definedName>
    <definedName name="mg01s.FCrit" localSheetId="13">'RES_ko-KR'!$B$38</definedName>
    <definedName name="mg01s.FCrit" localSheetId="14">'RES_lv-LV'!$B$38</definedName>
    <definedName name="mg01s.FCrit" localSheetId="15">'RES_nb-NO'!$B$38</definedName>
    <definedName name="mg01s.FCrit" localSheetId="16">'RES_nl-NL'!$B$38</definedName>
    <definedName name="mg01s.FCrit" localSheetId="17">'RES_pl-PL'!$B$38</definedName>
    <definedName name="mg01s.FCrit" localSheetId="18">'RES_pt-BR'!$B$38</definedName>
    <definedName name="mg01s.FCrit" localSheetId="19">'RES_pt-PT'!$B$38</definedName>
    <definedName name="mg01s.FCrit" localSheetId="20">'RES_ro-RO'!$B$38</definedName>
    <definedName name="mg01s.FCrit" localSheetId="21">'RES_ru-RU'!$B$38</definedName>
    <definedName name="mg01s.FCrit" localSheetId="22">'RES_sl-SI'!$B$38</definedName>
    <definedName name="mg01s.FCrit" localSheetId="23">'RES_sv-SE'!$B$38</definedName>
    <definedName name="mg01s.FCrit" localSheetId="24">'RES_tr-TR'!$B$38</definedName>
    <definedName name="mg01s.FCrit" localSheetId="25">'RES_zh-CN'!$B$38</definedName>
    <definedName name="mg01s.FCrit" localSheetId="26">'RES_zh-TW'!$B$38</definedName>
    <definedName name="mg01s.FCrit1" localSheetId="3">'RES_cs-CZ'!$B$84</definedName>
    <definedName name="mg01s.FCrit1" localSheetId="4">'RES_da-DK'!$B$84</definedName>
    <definedName name="mg01s.FCrit1" localSheetId="5">'RES_de-DE'!$B$84</definedName>
    <definedName name="mg01s.FCrit1" localSheetId="6">'RES_el-GR'!$B$84</definedName>
    <definedName name="mg01s.FCrit1" localSheetId="2">'RES_en-US'!$B$84</definedName>
    <definedName name="mg01s.FCrit1" localSheetId="7">'RES_es-ES'!$B$84</definedName>
    <definedName name="mg01s.FCrit1" localSheetId="8">'RES_fi-FI'!$B$84</definedName>
    <definedName name="mg01s.FCrit1" localSheetId="1">'RES_fr-FR'!$B$84</definedName>
    <definedName name="mg01s.FCrit1" localSheetId="9">'RES_hr-HR'!$B$84</definedName>
    <definedName name="mg01s.FCrit1" localSheetId="10">'RES_hu-HU'!$B$84</definedName>
    <definedName name="mg01s.FCrit1" localSheetId="11">'RES_it-IT'!$B$84</definedName>
    <definedName name="mg01s.FCrit1" localSheetId="12">'RES_ja-JP'!$B$84</definedName>
    <definedName name="mg01s.FCrit1" localSheetId="13">'RES_ko-KR'!$B$84</definedName>
    <definedName name="mg01s.FCrit1" localSheetId="14">'RES_lv-LV'!$B$84</definedName>
    <definedName name="mg01s.FCrit1" localSheetId="15">'RES_nb-NO'!$B$84</definedName>
    <definedName name="mg01s.FCrit1" localSheetId="16">'RES_nl-NL'!$B$84</definedName>
    <definedName name="mg01s.FCrit1" localSheetId="17">'RES_pl-PL'!$B$84</definedName>
    <definedName name="mg01s.FCrit1" localSheetId="18">'RES_pt-BR'!$B$84</definedName>
    <definedName name="mg01s.FCrit1" localSheetId="19">'RES_pt-PT'!$B$84</definedName>
    <definedName name="mg01s.FCrit1" localSheetId="20">'RES_ro-RO'!$B$84</definedName>
    <definedName name="mg01s.FCrit1" localSheetId="21">'RES_ru-RU'!$B$84</definedName>
    <definedName name="mg01s.FCrit1" localSheetId="22">'RES_sl-SI'!$B$84</definedName>
    <definedName name="mg01s.FCrit1" localSheetId="23">'RES_sv-SE'!$B$84</definedName>
    <definedName name="mg01s.FCrit1" localSheetId="24">'RES_tr-TR'!$B$84</definedName>
    <definedName name="mg01s.FCrit1" localSheetId="25">'RES_zh-CN'!$B$84</definedName>
    <definedName name="mg01s.FCrit1" localSheetId="26">'RES_zh-TW'!$B$84</definedName>
    <definedName name="mg01s.Fin" localSheetId="3">'RES_cs-CZ'!$B$18</definedName>
    <definedName name="mg01s.Fin" localSheetId="4">'RES_da-DK'!$B$18</definedName>
    <definedName name="mg01s.Fin" localSheetId="5">'RES_de-DE'!$B$18</definedName>
    <definedName name="mg01s.Fin" localSheetId="6">'RES_el-GR'!$B$18</definedName>
    <definedName name="mg01s.Fin" localSheetId="2">'RES_en-US'!$B$18</definedName>
    <definedName name="mg01s.Fin" localSheetId="7">'RES_es-ES'!$B$18</definedName>
    <definedName name="mg01s.Fin" localSheetId="8">'RES_fi-FI'!$B$18</definedName>
    <definedName name="mg01s.Fin" localSheetId="1">'RES_fr-FR'!$B$18</definedName>
    <definedName name="mg01s.Fin" localSheetId="9">'RES_hr-HR'!$B$18</definedName>
    <definedName name="mg01s.Fin" localSheetId="10">'RES_hu-HU'!$B$18</definedName>
    <definedName name="mg01s.Fin" localSheetId="11">'RES_it-IT'!$B$18</definedName>
    <definedName name="mg01s.Fin" localSheetId="12">'RES_ja-JP'!$B$18</definedName>
    <definedName name="mg01s.Fin" localSheetId="13">'RES_ko-KR'!$B$18</definedName>
    <definedName name="mg01s.Fin" localSheetId="14">'RES_lv-LV'!$B$18</definedName>
    <definedName name="mg01s.Fin" localSheetId="15">'RES_nb-NO'!$B$18</definedName>
    <definedName name="mg01s.Fin" localSheetId="16">'RES_nl-NL'!$B$18</definedName>
    <definedName name="mg01s.Fin" localSheetId="17">'RES_pl-PL'!$B$18</definedName>
    <definedName name="mg01s.Fin" localSheetId="18">'RES_pt-BR'!$B$18</definedName>
    <definedName name="mg01s.Fin" localSheetId="19">'RES_pt-PT'!$B$18</definedName>
    <definedName name="mg01s.Fin" localSheetId="20">'RES_ro-RO'!$B$18</definedName>
    <definedName name="mg01s.Fin" localSheetId="21">'RES_ru-RU'!$B$18</definedName>
    <definedName name="mg01s.Fin" localSheetId="22">'RES_sl-SI'!$B$18</definedName>
    <definedName name="mg01s.Fin" localSheetId="23">'RES_sv-SE'!$B$18</definedName>
    <definedName name="mg01s.Fin" localSheetId="24">'RES_tr-TR'!$B$18</definedName>
    <definedName name="mg01s.Fin" localSheetId="25">'RES_zh-CN'!$B$18</definedName>
    <definedName name="mg01s.Fin" localSheetId="26">'RES_zh-TW'!$B$18</definedName>
    <definedName name="mg01s.Forecast" localSheetId="3">'RES_cs-CZ'!$B$69</definedName>
    <definedName name="mg01s.Forecast" localSheetId="4">'RES_da-DK'!$B$69</definedName>
    <definedName name="mg01s.Forecast" localSheetId="5">'RES_de-DE'!$B$69</definedName>
    <definedName name="mg01s.Forecast" localSheetId="6">'RES_el-GR'!$B$69</definedName>
    <definedName name="mg01s.Forecast" localSheetId="2">'RES_en-US'!$B$69</definedName>
    <definedName name="mg01s.Forecast" localSheetId="7">'RES_es-ES'!$B$69</definedName>
    <definedName name="mg01s.Forecast" localSheetId="8">'RES_fi-FI'!$B$69</definedName>
    <definedName name="mg01s.Forecast" localSheetId="1">'RES_fr-FR'!$B$69</definedName>
    <definedName name="mg01s.Forecast" localSheetId="9">'RES_hr-HR'!$B$69</definedName>
    <definedName name="mg01s.Forecast" localSheetId="10">'RES_hu-HU'!$B$69</definedName>
    <definedName name="mg01s.Forecast" localSheetId="11">'RES_it-IT'!$B$69</definedName>
    <definedName name="mg01s.Forecast" localSheetId="12">'RES_ja-JP'!$B$69</definedName>
    <definedName name="mg01s.Forecast" localSheetId="13">'RES_ko-KR'!$B$69</definedName>
    <definedName name="mg01s.Forecast" localSheetId="14">'RES_lv-LV'!$B$69</definedName>
    <definedName name="mg01s.Forecast" localSheetId="15">'RES_nb-NO'!$B$69</definedName>
    <definedName name="mg01s.Forecast" localSheetId="16">'RES_nl-NL'!$B$69</definedName>
    <definedName name="mg01s.Forecast" localSheetId="17">'RES_pl-PL'!$B$69</definedName>
    <definedName name="mg01s.Forecast" localSheetId="18">'RES_pt-BR'!$B$69</definedName>
    <definedName name="mg01s.Forecast" localSheetId="19">'RES_pt-PT'!$B$69</definedName>
    <definedName name="mg01s.Forecast" localSheetId="20">'RES_ro-RO'!$B$69</definedName>
    <definedName name="mg01s.Forecast" localSheetId="21">'RES_ru-RU'!$B$69</definedName>
    <definedName name="mg01s.Forecast" localSheetId="22">'RES_sl-SI'!$B$69</definedName>
    <definedName name="mg01s.Forecast" localSheetId="23">'RES_sv-SE'!$B$69</definedName>
    <definedName name="mg01s.Forecast" localSheetId="24">'RES_tr-TR'!$B$69</definedName>
    <definedName name="mg01s.Forecast" localSheetId="25">'RES_zh-CN'!$B$69</definedName>
    <definedName name="mg01s.Forecast" localSheetId="26">'RES_zh-TW'!$B$69</definedName>
    <definedName name="mg01s.Freq" localSheetId="3">'RES_cs-CZ'!$B$74</definedName>
    <definedName name="mg01s.Freq" localSheetId="4">'RES_da-DK'!$B$74</definedName>
    <definedName name="mg01s.Freq" localSheetId="5">'RES_de-DE'!$B$74</definedName>
    <definedName name="mg01s.Freq" localSheetId="6">'RES_el-GR'!$B$74</definedName>
    <definedName name="mg01s.Freq" localSheetId="2">'RES_en-US'!$B$74</definedName>
    <definedName name="mg01s.Freq" localSheetId="7">'RES_es-ES'!$B$74</definedName>
    <definedName name="mg01s.Freq" localSheetId="8">'RES_fi-FI'!$B$74</definedName>
    <definedName name="mg01s.Freq" localSheetId="1">'RES_fr-FR'!$B$74</definedName>
    <definedName name="mg01s.Freq" localSheetId="9">'RES_hr-HR'!$B$74</definedName>
    <definedName name="mg01s.Freq" localSheetId="10">'RES_hu-HU'!$B$74</definedName>
    <definedName name="mg01s.Freq" localSheetId="11">'RES_it-IT'!$B$74</definedName>
    <definedName name="mg01s.Freq" localSheetId="12">'RES_ja-JP'!$B$74</definedName>
    <definedName name="mg01s.Freq" localSheetId="13">'RES_ko-KR'!$B$74</definedName>
    <definedName name="mg01s.Freq" localSheetId="14">'RES_lv-LV'!$B$74</definedName>
    <definedName name="mg01s.Freq" localSheetId="15">'RES_nb-NO'!$B$74</definedName>
    <definedName name="mg01s.Freq" localSheetId="16">'RES_nl-NL'!$B$74</definedName>
    <definedName name="mg01s.Freq" localSheetId="17">'RES_pl-PL'!$B$74</definedName>
    <definedName name="mg01s.Freq" localSheetId="18">'RES_pt-BR'!$B$74</definedName>
    <definedName name="mg01s.Freq" localSheetId="19">'RES_pt-PT'!$B$74</definedName>
    <definedName name="mg01s.Freq" localSheetId="20">'RES_ro-RO'!$B$74</definedName>
    <definedName name="mg01s.Freq" localSheetId="21">'RES_ru-RU'!$B$74</definedName>
    <definedName name="mg01s.Freq" localSheetId="22">'RES_sl-SI'!$B$74</definedName>
    <definedName name="mg01s.Freq" localSheetId="23">'RES_sv-SE'!$B$74</definedName>
    <definedName name="mg01s.Freq" localSheetId="24">'RES_tr-TR'!$B$74</definedName>
    <definedName name="mg01s.Freq" localSheetId="25">'RES_zh-CN'!$B$74</definedName>
    <definedName name="mg01s.Freq" localSheetId="26">'RES_zh-TW'!$B$74</definedName>
    <definedName name="mg01s.FTTwoVar" localSheetId="3">'RES_cs-CZ'!$B$78</definedName>
    <definedName name="mg01s.FTTwoVar" localSheetId="4">'RES_da-DK'!$B$78</definedName>
    <definedName name="mg01s.FTTwoVar" localSheetId="5">'RES_de-DE'!$B$78</definedName>
    <definedName name="mg01s.FTTwoVar" localSheetId="6">'RES_el-GR'!$B$78</definedName>
    <definedName name="mg01s.FTTwoVar" localSheetId="2">'RES_en-US'!$B$78</definedName>
    <definedName name="mg01s.FTTwoVar" localSheetId="7">'RES_es-ES'!$B$78</definedName>
    <definedName name="mg01s.FTTwoVar" localSheetId="8">'RES_fi-FI'!$B$78</definedName>
    <definedName name="mg01s.FTTwoVar" localSheetId="1">'RES_fr-FR'!$B$78</definedName>
    <definedName name="mg01s.FTTwoVar" localSheetId="9">'RES_hr-HR'!$B$78</definedName>
    <definedName name="mg01s.FTTwoVar" localSheetId="10">'RES_hu-HU'!$B$78</definedName>
    <definedName name="mg01s.FTTwoVar" localSheetId="11">'RES_it-IT'!$B$78</definedName>
    <definedName name="mg01s.FTTwoVar" localSheetId="12">'RES_ja-JP'!$B$78</definedName>
    <definedName name="mg01s.FTTwoVar" localSheetId="13">'RES_ko-KR'!$B$78</definedName>
    <definedName name="mg01s.FTTwoVar" localSheetId="14">'RES_lv-LV'!$B$78</definedName>
    <definedName name="mg01s.FTTwoVar" localSheetId="15">'RES_nb-NO'!$B$78</definedName>
    <definedName name="mg01s.FTTwoVar" localSheetId="16">'RES_nl-NL'!$B$78</definedName>
    <definedName name="mg01s.FTTwoVar" localSheetId="17">'RES_pl-PL'!$B$78</definedName>
    <definedName name="mg01s.FTTwoVar" localSheetId="18">'RES_pt-BR'!$B$78</definedName>
    <definedName name="mg01s.FTTwoVar" localSheetId="19">'RES_pt-PT'!$B$78</definedName>
    <definedName name="mg01s.FTTwoVar" localSheetId="20">'RES_ro-RO'!$B$78</definedName>
    <definedName name="mg01s.FTTwoVar" localSheetId="21">'RES_ru-RU'!$B$78</definedName>
    <definedName name="mg01s.FTTwoVar" localSheetId="22">'RES_sl-SI'!$B$78</definedName>
    <definedName name="mg01s.FTTwoVar" localSheetId="23">'RES_sv-SE'!$B$78</definedName>
    <definedName name="mg01s.FTTwoVar" localSheetId="24">'RES_tr-TR'!$B$78</definedName>
    <definedName name="mg01s.FTTwoVar" localSheetId="25">'RES_zh-CN'!$B$78</definedName>
    <definedName name="mg01s.FTTwoVar" localSheetId="26">'RES_zh-TW'!$B$78</definedName>
    <definedName name="mg01s.Groups" localSheetId="3">'RES_cs-CZ'!$B$26</definedName>
    <definedName name="mg01s.Groups" localSheetId="4">'RES_da-DK'!$B$26</definedName>
    <definedName name="mg01s.Groups" localSheetId="5">'RES_de-DE'!$B$26</definedName>
    <definedName name="mg01s.Groups" localSheetId="6">'RES_el-GR'!$B$26</definedName>
    <definedName name="mg01s.Groups" localSheetId="2">'RES_en-US'!$B$26</definedName>
    <definedName name="mg01s.Groups" localSheetId="7">'RES_es-ES'!$B$26</definedName>
    <definedName name="mg01s.Groups" localSheetId="8">'RES_fi-FI'!$B$26</definedName>
    <definedName name="mg01s.Groups" localSheetId="1">'RES_fr-FR'!$B$26</definedName>
    <definedName name="mg01s.Groups" localSheetId="9">'RES_hr-HR'!$B$26</definedName>
    <definedName name="mg01s.Groups" localSheetId="10">'RES_hu-HU'!$B$26</definedName>
    <definedName name="mg01s.Groups" localSheetId="11">'RES_it-IT'!$B$26</definedName>
    <definedName name="mg01s.Groups" localSheetId="12">'RES_ja-JP'!$B$26</definedName>
    <definedName name="mg01s.Groups" localSheetId="13">'RES_ko-KR'!$B$26</definedName>
    <definedName name="mg01s.Groups" localSheetId="14">'RES_lv-LV'!$B$26</definedName>
    <definedName name="mg01s.Groups" localSheetId="15">'RES_nb-NO'!$B$26</definedName>
    <definedName name="mg01s.Groups" localSheetId="16">'RES_nl-NL'!$B$26</definedName>
    <definedName name="mg01s.Groups" localSheetId="17">'RES_pl-PL'!$B$26</definedName>
    <definedName name="mg01s.Groups" localSheetId="18">'RES_pt-BR'!$B$26</definedName>
    <definedName name="mg01s.Groups" localSheetId="19">'RES_pt-PT'!$B$26</definedName>
    <definedName name="mg01s.Groups" localSheetId="20">'RES_ro-RO'!$B$26</definedName>
    <definedName name="mg01s.Groups" localSheetId="21">'RES_ru-RU'!$B$26</definedName>
    <definedName name="mg01s.Groups" localSheetId="22">'RES_sl-SI'!$B$26</definedName>
    <definedName name="mg01s.Groups" localSheetId="23">'RES_sv-SE'!$B$26</definedName>
    <definedName name="mg01s.Groups" localSheetId="24">'RES_tr-TR'!$B$26</definedName>
    <definedName name="mg01s.Groups" localSheetId="25">'RES_zh-CN'!$B$26</definedName>
    <definedName name="mg01s.Groups" localSheetId="26">'RES_zh-TW'!$B$26</definedName>
    <definedName name="mg01s.Histogram" localSheetId="3">'RES_cs-CZ'!$B$72</definedName>
    <definedName name="mg01s.Histogram" localSheetId="4">'RES_da-DK'!$B$72</definedName>
    <definedName name="mg01s.Histogram" localSheetId="5">'RES_de-DE'!$B$72</definedName>
    <definedName name="mg01s.Histogram" localSheetId="6">'RES_el-GR'!$B$72</definedName>
    <definedName name="mg01s.Histogram" localSheetId="2">'RES_en-US'!$B$72</definedName>
    <definedName name="mg01s.Histogram" localSheetId="7">'RES_es-ES'!$B$72</definedName>
    <definedName name="mg01s.Histogram" localSheetId="8">'RES_fi-FI'!$B$72</definedName>
    <definedName name="mg01s.Histogram" localSheetId="1">'RES_fr-FR'!$B$72</definedName>
    <definedName name="mg01s.Histogram" localSheetId="9">'RES_hr-HR'!$B$72</definedName>
    <definedName name="mg01s.Histogram" localSheetId="10">'RES_hu-HU'!$B$72</definedName>
    <definedName name="mg01s.Histogram" localSheetId="11">'RES_it-IT'!$B$72</definedName>
    <definedName name="mg01s.Histogram" localSheetId="12">'RES_ja-JP'!$B$72</definedName>
    <definedName name="mg01s.Histogram" localSheetId="13">'RES_ko-KR'!$B$72</definedName>
    <definedName name="mg01s.Histogram" localSheetId="14">'RES_lv-LV'!$B$72</definedName>
    <definedName name="mg01s.Histogram" localSheetId="15">'RES_nb-NO'!$B$72</definedName>
    <definedName name="mg01s.Histogram" localSheetId="16">'RES_nl-NL'!$B$72</definedName>
    <definedName name="mg01s.Histogram" localSheetId="17">'RES_pl-PL'!$B$72</definedName>
    <definedName name="mg01s.Histogram" localSheetId="18">'RES_pt-BR'!$B$72</definedName>
    <definedName name="mg01s.Histogram" localSheetId="19">'RES_pt-PT'!$B$72</definedName>
    <definedName name="mg01s.Histogram" localSheetId="20">'RES_ro-RO'!$B$72</definedName>
    <definedName name="mg01s.Histogram" localSheetId="21">'RES_ru-RU'!$B$72</definedName>
    <definedName name="mg01s.Histogram" localSheetId="22">'RES_sl-SI'!$B$72</definedName>
    <definedName name="mg01s.Histogram" localSheetId="23">'RES_sv-SE'!$B$72</definedName>
    <definedName name="mg01s.Histogram" localSheetId="24">'RES_tr-TR'!$B$72</definedName>
    <definedName name="mg01s.Histogram" localSheetId="25">'RES_zh-CN'!$B$72</definedName>
    <definedName name="mg01s.Histogram" localSheetId="26">'RES_zh-TW'!$B$72</definedName>
    <definedName name="mg01s.Info" localSheetId="3">'RES_cs-CZ'!$B$15</definedName>
    <definedName name="mg01s.Info" localSheetId="4">'RES_da-DK'!$B$15</definedName>
    <definedName name="mg01s.Info" localSheetId="5">'RES_de-DE'!$B$15</definedName>
    <definedName name="mg01s.Info" localSheetId="6">'RES_el-GR'!$B$15</definedName>
    <definedName name="mg01s.Info" localSheetId="2">'RES_en-US'!$B$15</definedName>
    <definedName name="mg01s.Info" localSheetId="7">'RES_es-ES'!$B$15</definedName>
    <definedName name="mg01s.Info" localSheetId="8">'RES_fi-FI'!$B$15</definedName>
    <definedName name="mg01s.Info" localSheetId="1">'RES_fr-FR'!$B$15</definedName>
    <definedName name="mg01s.Info" localSheetId="9">'RES_hr-HR'!$B$15</definedName>
    <definedName name="mg01s.Info" localSheetId="10">'RES_hu-HU'!$B$15</definedName>
    <definedName name="mg01s.Info" localSheetId="11">'RES_it-IT'!$B$15</definedName>
    <definedName name="mg01s.Info" localSheetId="12">'RES_ja-JP'!$B$15</definedName>
    <definedName name="mg01s.Info" localSheetId="13">'RES_ko-KR'!$B$15</definedName>
    <definedName name="mg01s.Info" localSheetId="14">'RES_lv-LV'!$B$15</definedName>
    <definedName name="mg01s.Info" localSheetId="15">'RES_nb-NO'!$B$15</definedName>
    <definedName name="mg01s.Info" localSheetId="16">'RES_nl-NL'!$B$15</definedName>
    <definedName name="mg01s.Info" localSheetId="17">'RES_pl-PL'!$B$15</definedName>
    <definedName name="mg01s.Info" localSheetId="18">'RES_pt-BR'!$B$15</definedName>
    <definedName name="mg01s.Info" localSheetId="19">'RES_pt-PT'!$B$15</definedName>
    <definedName name="mg01s.Info" localSheetId="20">'RES_ro-RO'!$B$15</definedName>
    <definedName name="mg01s.Info" localSheetId="21">'RES_ru-RU'!$B$15</definedName>
    <definedName name="mg01s.Info" localSheetId="22">'RES_sl-SI'!$B$15</definedName>
    <definedName name="mg01s.Info" localSheetId="23">'RES_sv-SE'!$B$15</definedName>
    <definedName name="mg01s.Info" localSheetId="24">'RES_tr-TR'!$B$15</definedName>
    <definedName name="mg01s.Info" localSheetId="25">'RES_zh-CN'!$B$15</definedName>
    <definedName name="mg01s.Info" localSheetId="26">'RES_zh-TW'!$B$15</definedName>
    <definedName name="mg01s.Interaction" localSheetId="3">'RES_cs-CZ'!$B$44</definedName>
    <definedName name="mg01s.Interaction" localSheetId="4">'RES_da-DK'!$B$44</definedName>
    <definedName name="mg01s.Interaction" localSheetId="5">'RES_de-DE'!$B$44</definedName>
    <definedName name="mg01s.Interaction" localSheetId="6">'RES_el-GR'!$B$44</definedName>
    <definedName name="mg01s.Interaction" localSheetId="2">'RES_en-US'!$B$44</definedName>
    <definedName name="mg01s.Interaction" localSheetId="7">'RES_es-ES'!$B$44</definedName>
    <definedName name="mg01s.Interaction" localSheetId="8">'RES_fi-FI'!$B$44</definedName>
    <definedName name="mg01s.Interaction" localSheetId="1">'RES_fr-FR'!$B$44</definedName>
    <definedName name="mg01s.Interaction" localSheetId="9">'RES_hr-HR'!$B$44</definedName>
    <definedName name="mg01s.Interaction" localSheetId="10">'RES_hu-HU'!$B$44</definedName>
    <definedName name="mg01s.Interaction" localSheetId="11">'RES_it-IT'!$B$44</definedName>
    <definedName name="mg01s.Interaction" localSheetId="12">'RES_ja-JP'!$B$44</definedName>
    <definedName name="mg01s.Interaction" localSheetId="13">'RES_ko-KR'!$B$44</definedName>
    <definedName name="mg01s.Interaction" localSheetId="14">'RES_lv-LV'!$B$44</definedName>
    <definedName name="mg01s.Interaction" localSheetId="15">'RES_nb-NO'!$B$44</definedName>
    <definedName name="mg01s.Interaction" localSheetId="16">'RES_nl-NL'!$B$44</definedName>
    <definedName name="mg01s.Interaction" localSheetId="17">'RES_pl-PL'!$B$44</definedName>
    <definedName name="mg01s.Interaction" localSheetId="18">'RES_pt-BR'!$B$44</definedName>
    <definedName name="mg01s.Interaction" localSheetId="19">'RES_pt-PT'!$B$44</definedName>
    <definedName name="mg01s.Interaction" localSheetId="20">'RES_ro-RO'!$B$44</definedName>
    <definedName name="mg01s.Interaction" localSheetId="21">'RES_ru-RU'!$B$44</definedName>
    <definedName name="mg01s.Interaction" localSheetId="22">'RES_sl-SI'!$B$44</definedName>
    <definedName name="mg01s.Interaction" localSheetId="23">'RES_sv-SE'!$B$44</definedName>
    <definedName name="mg01s.Interaction" localSheetId="24">'RES_tr-TR'!$B$44</definedName>
    <definedName name="mg01s.Interaction" localSheetId="25">'RES_zh-CN'!$B$44</definedName>
    <definedName name="mg01s.Interaction" localSheetId="26">'RES_zh-TW'!$B$44</definedName>
    <definedName name="mg01s.Intercept" localSheetId="3">'RES_cs-CZ'!$B$131</definedName>
    <definedName name="mg01s.Intercept" localSheetId="4">'RES_da-DK'!$B$131</definedName>
    <definedName name="mg01s.Intercept" localSheetId="5">'RES_de-DE'!$B$131</definedName>
    <definedName name="mg01s.Intercept" localSheetId="6">'RES_el-GR'!$B$131</definedName>
    <definedName name="mg01s.Intercept" localSheetId="2">'RES_en-US'!$B$131</definedName>
    <definedName name="mg01s.Intercept" localSheetId="7">'RES_es-ES'!$B$131</definedName>
    <definedName name="mg01s.Intercept" localSheetId="8">'RES_fi-FI'!$B$131</definedName>
    <definedName name="mg01s.Intercept" localSheetId="1">'RES_fr-FR'!$B$131</definedName>
    <definedName name="mg01s.Intercept" localSheetId="9">'RES_hr-HR'!$B$131</definedName>
    <definedName name="mg01s.Intercept" localSheetId="10">'RES_hu-HU'!$B$131</definedName>
    <definedName name="mg01s.Intercept" localSheetId="11">'RES_it-IT'!$B$131</definedName>
    <definedName name="mg01s.Intercept" localSheetId="12">'RES_ja-JP'!$B$131</definedName>
    <definedName name="mg01s.Intercept" localSheetId="13">'RES_ko-KR'!$B$131</definedName>
    <definedName name="mg01s.Intercept" localSheetId="14">'RES_lv-LV'!$B$131</definedName>
    <definedName name="mg01s.Intercept" localSheetId="15">'RES_nb-NO'!$B$131</definedName>
    <definedName name="mg01s.Intercept" localSheetId="16">'RES_nl-NL'!$B$131</definedName>
    <definedName name="mg01s.Intercept" localSheetId="17">'RES_pl-PL'!$B$131</definedName>
    <definedName name="mg01s.Intercept" localSheetId="18">'RES_pt-BR'!$B$131</definedName>
    <definedName name="mg01s.Intercept" localSheetId="19">'RES_pt-PT'!$B$131</definedName>
    <definedName name="mg01s.Intercept" localSheetId="20">'RES_ro-RO'!$B$131</definedName>
    <definedName name="mg01s.Intercept" localSheetId="21">'RES_ru-RU'!$B$131</definedName>
    <definedName name="mg01s.Intercept" localSheetId="22">'RES_sl-SI'!$B$131</definedName>
    <definedName name="mg01s.Intercept" localSheetId="23">'RES_sv-SE'!$B$131</definedName>
    <definedName name="mg01s.Intercept" localSheetId="24">'RES_tr-TR'!$B$131</definedName>
    <definedName name="mg01s.Intercept" localSheetId="25">'RES_zh-CN'!$B$131</definedName>
    <definedName name="mg01s.Intercept" localSheetId="26">'RES_zh-TW'!$B$131</definedName>
    <definedName name="mg01s.KnownVar" localSheetId="3">'RES_cs-CZ'!$B$96</definedName>
    <definedName name="mg01s.KnownVar" localSheetId="4">'RES_da-DK'!$B$96</definedName>
    <definedName name="mg01s.KnownVar" localSheetId="5">'RES_de-DE'!$B$96</definedName>
    <definedName name="mg01s.KnownVar" localSheetId="6">'RES_el-GR'!$B$96</definedName>
    <definedName name="mg01s.KnownVar" localSheetId="2">'RES_en-US'!$B$96</definedName>
    <definedName name="mg01s.KnownVar" localSheetId="7">'RES_es-ES'!$B$96</definedName>
    <definedName name="mg01s.KnownVar" localSheetId="8">'RES_fi-FI'!$B$96</definedName>
    <definedName name="mg01s.KnownVar" localSheetId="1">'RES_fr-FR'!$B$96</definedName>
    <definedName name="mg01s.KnownVar" localSheetId="9">'RES_hr-HR'!$B$96</definedName>
    <definedName name="mg01s.KnownVar" localSheetId="10">'RES_hu-HU'!$B$96</definedName>
    <definedName name="mg01s.KnownVar" localSheetId="11">'RES_it-IT'!$B$96</definedName>
    <definedName name="mg01s.KnownVar" localSheetId="12">'RES_ja-JP'!$B$96</definedName>
    <definedName name="mg01s.KnownVar" localSheetId="13">'RES_ko-KR'!$B$96</definedName>
    <definedName name="mg01s.KnownVar" localSheetId="14">'RES_lv-LV'!$B$96</definedName>
    <definedName name="mg01s.KnownVar" localSheetId="15">'RES_nb-NO'!$B$96</definedName>
    <definedName name="mg01s.KnownVar" localSheetId="16">'RES_nl-NL'!$B$96</definedName>
    <definedName name="mg01s.KnownVar" localSheetId="17">'RES_pl-PL'!$B$96</definedName>
    <definedName name="mg01s.KnownVar" localSheetId="18">'RES_pt-BR'!$B$96</definedName>
    <definedName name="mg01s.KnownVar" localSheetId="19">'RES_pt-PT'!$B$96</definedName>
    <definedName name="mg01s.KnownVar" localSheetId="20">'RES_ro-RO'!$B$96</definedName>
    <definedName name="mg01s.KnownVar" localSheetId="21">'RES_ru-RU'!$B$96</definedName>
    <definedName name="mg01s.KnownVar" localSheetId="22">'RES_sl-SI'!$B$96</definedName>
    <definedName name="mg01s.KnownVar" localSheetId="23">'RES_sv-SE'!$B$96</definedName>
    <definedName name="mg01s.KnownVar" localSheetId="24">'RES_tr-TR'!$B$96</definedName>
    <definedName name="mg01s.KnownVar" localSheetId="25">'RES_zh-CN'!$B$96</definedName>
    <definedName name="mg01s.KnownVar" localSheetId="26">'RES_zh-TW'!$B$96</definedName>
    <definedName name="mg01s.Kurtosis" localSheetId="3">'RES_cs-CZ'!$B$56</definedName>
    <definedName name="mg01s.Kurtosis" localSheetId="4">'RES_da-DK'!$B$56</definedName>
    <definedName name="mg01s.Kurtosis" localSheetId="5">'RES_de-DE'!$B$56</definedName>
    <definedName name="mg01s.Kurtosis" localSheetId="6">'RES_el-GR'!$B$56</definedName>
    <definedName name="mg01s.Kurtosis" localSheetId="2">'RES_en-US'!$B$56</definedName>
    <definedName name="mg01s.Kurtosis" localSheetId="7">'RES_es-ES'!$B$56</definedName>
    <definedName name="mg01s.Kurtosis" localSheetId="8">'RES_fi-FI'!$B$56</definedName>
    <definedName name="mg01s.Kurtosis" localSheetId="1">'RES_fr-FR'!$B$56</definedName>
    <definedName name="mg01s.Kurtosis" localSheetId="9">'RES_hr-HR'!$B$56</definedName>
    <definedName name="mg01s.Kurtosis" localSheetId="10">'RES_hu-HU'!$B$56</definedName>
    <definedName name="mg01s.Kurtosis" localSheetId="11">'RES_it-IT'!$B$56</definedName>
    <definedName name="mg01s.Kurtosis" localSheetId="12">'RES_ja-JP'!$B$56</definedName>
    <definedName name="mg01s.Kurtosis" localSheetId="13">'RES_ko-KR'!$B$56</definedName>
    <definedName name="mg01s.Kurtosis" localSheetId="14">'RES_lv-LV'!$B$56</definedName>
    <definedName name="mg01s.Kurtosis" localSheetId="15">'RES_nb-NO'!$B$56</definedName>
    <definedName name="mg01s.Kurtosis" localSheetId="16">'RES_nl-NL'!$B$56</definedName>
    <definedName name="mg01s.Kurtosis" localSheetId="17">'RES_pl-PL'!$B$56</definedName>
    <definedName name="mg01s.Kurtosis" localSheetId="18">'RES_pt-BR'!$B$56</definedName>
    <definedName name="mg01s.Kurtosis" localSheetId="19">'RES_pt-PT'!$B$56</definedName>
    <definedName name="mg01s.Kurtosis" localSheetId="20">'RES_ro-RO'!$B$56</definedName>
    <definedName name="mg01s.Kurtosis" localSheetId="21">'RES_ru-RU'!$B$56</definedName>
    <definedName name="mg01s.Kurtosis" localSheetId="22">'RES_sl-SI'!$B$56</definedName>
    <definedName name="mg01s.Kurtosis" localSheetId="23">'RES_sv-SE'!$B$56</definedName>
    <definedName name="mg01s.Kurtosis" localSheetId="24">'RES_tr-TR'!$B$56</definedName>
    <definedName name="mg01s.Kurtosis" localSheetId="25">'RES_zh-CN'!$B$56</definedName>
    <definedName name="mg01s.Kurtosis" localSheetId="26">'RES_zh-TW'!$B$56</definedName>
    <definedName name="mg01s.Largest" localSheetId="3">'RES_cs-CZ'!$B$61</definedName>
    <definedName name="mg01s.Largest" localSheetId="4">'RES_da-DK'!$B$61</definedName>
    <definedName name="mg01s.Largest" localSheetId="5">'RES_de-DE'!$B$61</definedName>
    <definedName name="mg01s.Largest" localSheetId="6">'RES_el-GR'!$B$61</definedName>
    <definedName name="mg01s.Largest" localSheetId="2">'RES_en-US'!$B$61</definedName>
    <definedName name="mg01s.Largest" localSheetId="7">'RES_es-ES'!$B$61</definedName>
    <definedName name="mg01s.Largest" localSheetId="8">'RES_fi-FI'!$B$61</definedName>
    <definedName name="mg01s.Largest" localSheetId="1">'RES_fr-FR'!$B$61</definedName>
    <definedName name="mg01s.Largest" localSheetId="9">'RES_hr-HR'!$B$61</definedName>
    <definedName name="mg01s.Largest" localSheetId="10">'RES_hu-HU'!$B$61</definedName>
    <definedName name="mg01s.Largest" localSheetId="11">'RES_it-IT'!$B$61</definedName>
    <definedName name="mg01s.Largest" localSheetId="12">'RES_ja-JP'!$B$61</definedName>
    <definedName name="mg01s.Largest" localSheetId="13">'RES_ko-KR'!$B$61</definedName>
    <definedName name="mg01s.Largest" localSheetId="14">'RES_lv-LV'!$B$61</definedName>
    <definedName name="mg01s.Largest" localSheetId="15">'RES_nb-NO'!$B$61</definedName>
    <definedName name="mg01s.Largest" localSheetId="16">'RES_nl-NL'!$B$61</definedName>
    <definedName name="mg01s.Largest" localSheetId="17">'RES_pl-PL'!$B$61</definedName>
    <definedName name="mg01s.Largest" localSheetId="18">'RES_pt-BR'!$B$61</definedName>
    <definedName name="mg01s.Largest" localSheetId="19">'RES_pt-PT'!$B$61</definedName>
    <definedName name="mg01s.Largest" localSheetId="20">'RES_ro-RO'!$B$61</definedName>
    <definedName name="mg01s.Largest" localSheetId="21">'RES_ru-RU'!$B$61</definedName>
    <definedName name="mg01s.Largest" localSheetId="22">'RES_sl-SI'!$B$61</definedName>
    <definedName name="mg01s.Largest" localSheetId="23">'RES_sv-SE'!$B$61</definedName>
    <definedName name="mg01s.Largest" localSheetId="24">'RES_tr-TR'!$B$61</definedName>
    <definedName name="mg01s.Largest" localSheetId="25">'RES_zh-CN'!$B$61</definedName>
    <definedName name="mg01s.Largest" localSheetId="26">'RES_zh-TW'!$B$61</definedName>
    <definedName name="mg01s.LetterCol" localSheetId="3">'RES_cs-CZ'!$B$8</definedName>
    <definedName name="mg01s.LetterCol" localSheetId="4">'RES_da-DK'!$B$8</definedName>
    <definedName name="mg01s.LetterCol" localSheetId="5">'RES_de-DE'!$B$8</definedName>
    <definedName name="mg01s.LetterCol" localSheetId="6">'RES_el-GR'!$B$8</definedName>
    <definedName name="mg01s.LetterCol" localSheetId="2">'RES_en-US'!$B$8</definedName>
    <definedName name="mg01s.LetterCol" localSheetId="7">'RES_es-ES'!$B$8</definedName>
    <definedName name="mg01s.LetterCol" localSheetId="8">'RES_fi-FI'!$B$8</definedName>
    <definedName name="mg01s.LetterCol" localSheetId="1">'RES_fr-FR'!$B$8</definedName>
    <definedName name="mg01s.LetterCol" localSheetId="9">'RES_hr-HR'!$B$8</definedName>
    <definedName name="mg01s.LetterCol" localSheetId="10">'RES_hu-HU'!$B$8</definedName>
    <definedName name="mg01s.LetterCol" localSheetId="11">'RES_it-IT'!$B$8</definedName>
    <definedName name="mg01s.LetterCol" localSheetId="12">'RES_ja-JP'!$B$8</definedName>
    <definedName name="mg01s.LetterCol" localSheetId="13">'RES_ko-KR'!$B$8</definedName>
    <definedName name="mg01s.LetterCol" localSheetId="14">'RES_lv-LV'!$B$8</definedName>
    <definedName name="mg01s.LetterCol" localSheetId="15">'RES_nb-NO'!$B$8</definedName>
    <definedName name="mg01s.LetterCol" localSheetId="16">'RES_nl-NL'!$B$8</definedName>
    <definedName name="mg01s.LetterCol" localSheetId="17">'RES_pl-PL'!$B$8</definedName>
    <definedName name="mg01s.LetterCol" localSheetId="18">'RES_pt-BR'!$B$8</definedName>
    <definedName name="mg01s.LetterCol" localSheetId="19">'RES_pt-PT'!$B$8</definedName>
    <definedName name="mg01s.LetterCol" localSheetId="20">'RES_ro-RO'!$B$8</definedName>
    <definedName name="mg01s.LetterCol" localSheetId="21">'RES_ru-RU'!$B$8</definedName>
    <definedName name="mg01s.LetterCol" localSheetId="22">'RES_sl-SI'!$B$8</definedName>
    <definedName name="mg01s.LetterCol" localSheetId="23">'RES_sv-SE'!$B$8</definedName>
    <definedName name="mg01s.LetterCol" localSheetId="24">'RES_tr-TR'!$B$8</definedName>
    <definedName name="mg01s.LetterCol" localSheetId="25">'RES_zh-CN'!$B$8</definedName>
    <definedName name="mg01s.LetterCol" localSheetId="26">'RES_zh-TW'!$B$8</definedName>
    <definedName name="mg01s.LetterRow" localSheetId="3">'RES_cs-CZ'!$B$9</definedName>
    <definedName name="mg01s.LetterRow" localSheetId="4">'RES_da-DK'!$B$9</definedName>
    <definedName name="mg01s.LetterRow" localSheetId="5">'RES_de-DE'!$B$9</definedName>
    <definedName name="mg01s.LetterRow" localSheetId="6">'RES_el-GR'!$B$9</definedName>
    <definedName name="mg01s.LetterRow" localSheetId="2">'RES_en-US'!$B$9</definedName>
    <definedName name="mg01s.LetterRow" localSheetId="7">'RES_es-ES'!$B$9</definedName>
    <definedName name="mg01s.LetterRow" localSheetId="8">'RES_fi-FI'!$B$9</definedName>
    <definedName name="mg01s.LetterRow" localSheetId="1">'RES_fr-FR'!$B$9</definedName>
    <definedName name="mg01s.LetterRow" localSheetId="9">'RES_hr-HR'!$B$9</definedName>
    <definedName name="mg01s.LetterRow" localSheetId="10">'RES_hu-HU'!$B$9</definedName>
    <definedName name="mg01s.LetterRow" localSheetId="11">'RES_it-IT'!$B$9</definedName>
    <definedName name="mg01s.LetterRow" localSheetId="12">'RES_ja-JP'!$B$9</definedName>
    <definedName name="mg01s.LetterRow" localSheetId="13">'RES_ko-KR'!$B$9</definedName>
    <definedName name="mg01s.LetterRow" localSheetId="14">'RES_lv-LV'!$B$9</definedName>
    <definedName name="mg01s.LetterRow" localSheetId="15">'RES_nb-NO'!$B$9</definedName>
    <definedName name="mg01s.LetterRow" localSheetId="16">'RES_nl-NL'!$B$9</definedName>
    <definedName name="mg01s.LetterRow" localSheetId="17">'RES_pl-PL'!$B$9</definedName>
    <definedName name="mg01s.LetterRow" localSheetId="18">'RES_pt-BR'!$B$9</definedName>
    <definedName name="mg01s.LetterRow" localSheetId="19">'RES_pt-PT'!$B$9</definedName>
    <definedName name="mg01s.LetterRow" localSheetId="20">'RES_ro-RO'!$B$9</definedName>
    <definedName name="mg01s.LetterRow" localSheetId="21">'RES_ru-RU'!$B$9</definedName>
    <definedName name="mg01s.LetterRow" localSheetId="22">'RES_sl-SI'!$B$9</definedName>
    <definedName name="mg01s.LetterRow" localSheetId="23">'RES_sv-SE'!$B$9</definedName>
    <definedName name="mg01s.LetterRow" localSheetId="24">'RES_tr-TR'!$B$9</definedName>
    <definedName name="mg01s.LetterRow" localSheetId="25">'RES_zh-CN'!$B$9</definedName>
    <definedName name="mg01s.LetterRow" localSheetId="26">'RES_zh-TW'!$B$9</definedName>
    <definedName name="mg01s.LineFitChartTitle" localSheetId="3">'RES_cs-CZ'!$B$139</definedName>
    <definedName name="mg01s.LineFitChartTitle" localSheetId="4">'RES_da-DK'!$B$139</definedName>
    <definedName name="mg01s.LineFitChartTitle" localSheetId="5">'RES_de-DE'!$B$139</definedName>
    <definedName name="mg01s.LineFitChartTitle" localSheetId="6">'RES_el-GR'!$B$139</definedName>
    <definedName name="mg01s.LineFitChartTitle" localSheetId="2">'RES_en-US'!$B$139</definedName>
    <definedName name="mg01s.LineFitChartTitle" localSheetId="7">'RES_es-ES'!$B$139</definedName>
    <definedName name="mg01s.LineFitChartTitle" localSheetId="8">'RES_fi-FI'!$B$139</definedName>
    <definedName name="mg01s.LineFitChartTitle" localSheetId="1">'RES_fr-FR'!$B$139</definedName>
    <definedName name="mg01s.LineFitChartTitle" localSheetId="9">'RES_hr-HR'!$B$139</definedName>
    <definedName name="mg01s.LineFitChartTitle" localSheetId="10">'RES_hu-HU'!$B$139</definedName>
    <definedName name="mg01s.LineFitChartTitle" localSheetId="11">'RES_it-IT'!$B$139</definedName>
    <definedName name="mg01s.LineFitChartTitle" localSheetId="12">'RES_ja-JP'!$B$139</definedName>
    <definedName name="mg01s.LineFitChartTitle" localSheetId="13">'RES_ko-KR'!$B$139</definedName>
    <definedName name="mg01s.LineFitChartTitle" localSheetId="14">'RES_lv-LV'!$B$139</definedName>
    <definedName name="mg01s.LineFitChartTitle" localSheetId="15">'RES_nb-NO'!$B$139</definedName>
    <definedName name="mg01s.LineFitChartTitle" localSheetId="16">'RES_nl-NL'!$B$139</definedName>
    <definedName name="mg01s.LineFitChartTitle" localSheetId="17">'RES_pl-PL'!$B$139</definedName>
    <definedName name="mg01s.LineFitChartTitle" localSheetId="18">'RES_pt-BR'!$B$139</definedName>
    <definedName name="mg01s.LineFitChartTitle" localSheetId="19">'RES_pt-PT'!$B$139</definedName>
    <definedName name="mg01s.LineFitChartTitle" localSheetId="20">'RES_ro-RO'!$B$139</definedName>
    <definedName name="mg01s.LineFitChartTitle" localSheetId="21">'RES_ru-RU'!$B$139</definedName>
    <definedName name="mg01s.LineFitChartTitle" localSheetId="22">'RES_sl-SI'!$B$139</definedName>
    <definedName name="mg01s.LineFitChartTitle" localSheetId="23">'RES_sv-SE'!$B$139</definedName>
    <definedName name="mg01s.LineFitChartTitle" localSheetId="24">'RES_tr-TR'!$B$139</definedName>
    <definedName name="mg01s.LineFitChartTitle" localSheetId="25">'RES_zh-CN'!$B$139</definedName>
    <definedName name="mg01s.LineFitChartTitle" localSheetId="26">'RES_zh-TW'!$B$139</definedName>
    <definedName name="mg01s.Lower" localSheetId="3">'RES_cs-CZ'!$B$132</definedName>
    <definedName name="mg01s.Lower" localSheetId="4">'RES_da-DK'!$B$132</definedName>
    <definedName name="mg01s.Lower" localSheetId="5">'RES_de-DE'!$B$132</definedName>
    <definedName name="mg01s.Lower" localSheetId="6">'RES_el-GR'!$B$132</definedName>
    <definedName name="mg01s.Lower" localSheetId="2">'RES_en-US'!$B$132</definedName>
    <definedName name="mg01s.Lower" localSheetId="7">'RES_es-ES'!$B$132</definedName>
    <definedName name="mg01s.Lower" localSheetId="8">'RES_fi-FI'!$B$132</definedName>
    <definedName name="mg01s.Lower" localSheetId="1">'RES_fr-FR'!$B$132</definedName>
    <definedName name="mg01s.Lower" localSheetId="9">'RES_hr-HR'!$B$132</definedName>
    <definedName name="mg01s.Lower" localSheetId="10">'RES_hu-HU'!$B$132</definedName>
    <definedName name="mg01s.Lower" localSheetId="11">'RES_it-IT'!$B$132</definedName>
    <definedName name="mg01s.Lower" localSheetId="12">'RES_ja-JP'!$B$132</definedName>
    <definedName name="mg01s.Lower" localSheetId="13">'RES_ko-KR'!$B$132</definedName>
    <definedName name="mg01s.Lower" localSheetId="14">'RES_lv-LV'!$B$132</definedName>
    <definedName name="mg01s.Lower" localSheetId="15">'RES_nb-NO'!$B$132</definedName>
    <definedName name="mg01s.Lower" localSheetId="16">'RES_nl-NL'!$B$132</definedName>
    <definedName name="mg01s.Lower" localSheetId="17">'RES_pl-PL'!$B$132</definedName>
    <definedName name="mg01s.Lower" localSheetId="18">'RES_pt-BR'!$B$132</definedName>
    <definedName name="mg01s.Lower" localSheetId="19">'RES_pt-PT'!$B$132</definedName>
    <definedName name="mg01s.Lower" localSheetId="20">'RES_ro-RO'!$B$132</definedName>
    <definedName name="mg01s.Lower" localSheetId="21">'RES_ru-RU'!$B$132</definedName>
    <definedName name="mg01s.Lower" localSheetId="22">'RES_sl-SI'!$B$132</definedName>
    <definedName name="mg01s.Lower" localSheetId="23">'RES_sv-SE'!$B$132</definedName>
    <definedName name="mg01s.Lower" localSheetId="24">'RES_tr-TR'!$B$132</definedName>
    <definedName name="mg01s.Lower" localSheetId="25">'RES_zh-CN'!$B$132</definedName>
    <definedName name="mg01s.Lower" localSheetId="26">'RES_zh-TW'!$B$132</definedName>
    <definedName name="mg01s.Lower95" localSheetId="3">'RES_cs-CZ'!$B$133</definedName>
    <definedName name="mg01s.Lower95" localSheetId="4">'RES_da-DK'!$B$133</definedName>
    <definedName name="mg01s.Lower95" localSheetId="5">'RES_de-DE'!$B$133</definedName>
    <definedName name="mg01s.Lower95" localSheetId="6">'RES_el-GR'!$B$133</definedName>
    <definedName name="mg01s.Lower95" localSheetId="2">'RES_en-US'!$B$133</definedName>
    <definedName name="mg01s.Lower95" localSheetId="7">'RES_es-ES'!$B$133</definedName>
    <definedName name="mg01s.Lower95" localSheetId="8">'RES_fi-FI'!$B$133</definedName>
    <definedName name="mg01s.Lower95" localSheetId="1">'RES_fr-FR'!$B$133</definedName>
    <definedName name="mg01s.Lower95" localSheetId="9">'RES_hr-HR'!$B$133</definedName>
    <definedName name="mg01s.Lower95" localSheetId="10">'RES_hu-HU'!$B$133</definedName>
    <definedName name="mg01s.Lower95" localSheetId="11">'RES_it-IT'!$B$133</definedName>
    <definedName name="mg01s.Lower95" localSheetId="12">'RES_ja-JP'!$B$133</definedName>
    <definedName name="mg01s.Lower95" localSheetId="13">'RES_ko-KR'!$B$133</definedName>
    <definedName name="mg01s.Lower95" localSheetId="14">'RES_lv-LV'!$B$133</definedName>
    <definedName name="mg01s.Lower95" localSheetId="15">'RES_nb-NO'!$B$133</definedName>
    <definedName name="mg01s.Lower95" localSheetId="16">'RES_nl-NL'!$B$133</definedName>
    <definedName name="mg01s.Lower95" localSheetId="17">'RES_pl-PL'!$B$133</definedName>
    <definedName name="mg01s.Lower95" localSheetId="18">'RES_pt-BR'!$B$133</definedName>
    <definedName name="mg01s.Lower95" localSheetId="19">'RES_pt-PT'!$B$133</definedName>
    <definedName name="mg01s.Lower95" localSheetId="20">'RES_ro-RO'!$B$133</definedName>
    <definedName name="mg01s.Lower95" localSheetId="21">'RES_ru-RU'!$B$133</definedName>
    <definedName name="mg01s.Lower95" localSheetId="22">'RES_sl-SI'!$B$133</definedName>
    <definedName name="mg01s.Lower95" localSheetId="23">'RES_sv-SE'!$B$133</definedName>
    <definedName name="mg01s.Lower95" localSheetId="24">'RES_tr-TR'!$B$133</definedName>
    <definedName name="mg01s.Lower95" localSheetId="25">'RES_zh-CN'!$B$133</definedName>
    <definedName name="mg01s.Lower95" localSheetId="26">'RES_zh-TW'!$B$133</definedName>
    <definedName name="mg01s.Math" localSheetId="3">'RES_cs-CZ'!$B$16</definedName>
    <definedName name="mg01s.Math" localSheetId="4">'RES_da-DK'!$B$16</definedName>
    <definedName name="mg01s.Math" localSheetId="5">'RES_de-DE'!$B$16</definedName>
    <definedName name="mg01s.Math" localSheetId="6">'RES_el-GR'!$B$16</definedName>
    <definedName name="mg01s.Math" localSheetId="2">'RES_en-US'!$B$16</definedName>
    <definedName name="mg01s.Math" localSheetId="7">'RES_es-ES'!$B$16</definedName>
    <definedName name="mg01s.Math" localSheetId="8">'RES_fi-FI'!$B$16</definedName>
    <definedName name="mg01s.Math" localSheetId="1">'RES_fr-FR'!$B$16</definedName>
    <definedName name="mg01s.Math" localSheetId="9">'RES_hr-HR'!$B$16</definedName>
    <definedName name="mg01s.Math" localSheetId="10">'RES_hu-HU'!$B$16</definedName>
    <definedName name="mg01s.Math" localSheetId="11">'RES_it-IT'!$B$16</definedName>
    <definedName name="mg01s.Math" localSheetId="12">'RES_ja-JP'!$B$16</definedName>
    <definedName name="mg01s.Math" localSheetId="13">'RES_ko-KR'!$B$16</definedName>
    <definedName name="mg01s.Math" localSheetId="14">'RES_lv-LV'!$B$16</definedName>
    <definedName name="mg01s.Math" localSheetId="15">'RES_nb-NO'!$B$16</definedName>
    <definedName name="mg01s.Math" localSheetId="16">'RES_nl-NL'!$B$16</definedName>
    <definedName name="mg01s.Math" localSheetId="17">'RES_pl-PL'!$B$16</definedName>
    <definedName name="mg01s.Math" localSheetId="18">'RES_pt-BR'!$B$16</definedName>
    <definedName name="mg01s.Math" localSheetId="19">'RES_pt-PT'!$B$16</definedName>
    <definedName name="mg01s.Math" localSheetId="20">'RES_ro-RO'!$B$16</definedName>
    <definedName name="mg01s.Math" localSheetId="21">'RES_ru-RU'!$B$16</definedName>
    <definedName name="mg01s.Math" localSheetId="22">'RES_sl-SI'!$B$16</definedName>
    <definedName name="mg01s.Math" localSheetId="23">'RES_sv-SE'!$B$16</definedName>
    <definedName name="mg01s.Math" localSheetId="24">'RES_tr-TR'!$B$16</definedName>
    <definedName name="mg01s.Math" localSheetId="25">'RES_zh-CN'!$B$16</definedName>
    <definedName name="mg01s.Math" localSheetId="26">'RES_zh-TW'!$B$16</definedName>
    <definedName name="mg01s.Max" localSheetId="3">'RES_cs-CZ'!$B$60</definedName>
    <definedName name="mg01s.Max" localSheetId="4">'RES_da-DK'!$B$60</definedName>
    <definedName name="mg01s.Max" localSheetId="5">'RES_de-DE'!$B$60</definedName>
    <definedName name="mg01s.Max" localSheetId="6">'RES_el-GR'!$B$60</definedName>
    <definedName name="mg01s.Max" localSheetId="2">'RES_en-US'!$B$60</definedName>
    <definedName name="mg01s.Max" localSheetId="7">'RES_es-ES'!$B$60</definedName>
    <definedName name="mg01s.Max" localSheetId="8">'RES_fi-FI'!$B$60</definedName>
    <definedName name="mg01s.Max" localSheetId="1">'RES_fr-FR'!$B$60</definedName>
    <definedName name="mg01s.Max" localSheetId="9">'RES_hr-HR'!$B$60</definedName>
    <definedName name="mg01s.Max" localSheetId="10">'RES_hu-HU'!$B$60</definedName>
    <definedName name="mg01s.Max" localSheetId="11">'RES_it-IT'!$B$60</definedName>
    <definedName name="mg01s.Max" localSheetId="12">'RES_ja-JP'!$B$60</definedName>
    <definedName name="mg01s.Max" localSheetId="13">'RES_ko-KR'!$B$60</definedName>
    <definedName name="mg01s.Max" localSheetId="14">'RES_lv-LV'!$B$60</definedName>
    <definedName name="mg01s.Max" localSheetId="15">'RES_nb-NO'!$B$60</definedName>
    <definedName name="mg01s.Max" localSheetId="16">'RES_nl-NL'!$B$60</definedName>
    <definedName name="mg01s.Max" localSheetId="17">'RES_pl-PL'!$B$60</definedName>
    <definedName name="mg01s.Max" localSheetId="18">'RES_pt-BR'!$B$60</definedName>
    <definedName name="mg01s.Max" localSheetId="19">'RES_pt-PT'!$B$60</definedName>
    <definedName name="mg01s.Max" localSheetId="20">'RES_ro-RO'!$B$60</definedName>
    <definedName name="mg01s.Max" localSheetId="21">'RES_ru-RU'!$B$60</definedName>
    <definedName name="mg01s.Max" localSheetId="22">'RES_sl-SI'!$B$60</definedName>
    <definedName name="mg01s.Max" localSheetId="23">'RES_sv-SE'!$B$60</definedName>
    <definedName name="mg01s.Max" localSheetId="24">'RES_tr-TR'!$B$60</definedName>
    <definedName name="mg01s.Max" localSheetId="25">'RES_zh-CN'!$B$60</definedName>
    <definedName name="mg01s.Max" localSheetId="26">'RES_zh-TW'!$B$60</definedName>
    <definedName name="mg01s.Mean" localSheetId="3">'RES_cs-CZ'!$B$50</definedName>
    <definedName name="mg01s.Mean" localSheetId="4">'RES_da-DK'!$B$50</definedName>
    <definedName name="mg01s.Mean" localSheetId="5">'RES_de-DE'!$B$50</definedName>
    <definedName name="mg01s.Mean" localSheetId="6">'RES_el-GR'!$B$50</definedName>
    <definedName name="mg01s.Mean" localSheetId="2">'RES_en-US'!$B$50</definedName>
    <definedName name="mg01s.Mean" localSheetId="7">'RES_es-ES'!$B$50</definedName>
    <definedName name="mg01s.Mean" localSheetId="8">'RES_fi-FI'!$B$50</definedName>
    <definedName name="mg01s.Mean" localSheetId="1">'RES_fr-FR'!$B$50</definedName>
    <definedName name="mg01s.Mean" localSheetId="9">'RES_hr-HR'!$B$50</definedName>
    <definedName name="mg01s.Mean" localSheetId="10">'RES_hu-HU'!$B$50</definedName>
    <definedName name="mg01s.Mean" localSheetId="11">'RES_it-IT'!$B$50</definedName>
    <definedName name="mg01s.Mean" localSheetId="12">'RES_ja-JP'!$B$50</definedName>
    <definedName name="mg01s.Mean" localSheetId="13">'RES_ko-KR'!$B$50</definedName>
    <definedName name="mg01s.Mean" localSheetId="14">'RES_lv-LV'!$B$50</definedName>
    <definedName name="mg01s.Mean" localSheetId="15">'RES_nb-NO'!$B$50</definedName>
    <definedName name="mg01s.Mean" localSheetId="16">'RES_nl-NL'!$B$50</definedName>
    <definedName name="mg01s.Mean" localSheetId="17">'RES_pl-PL'!$B$50</definedName>
    <definedName name="mg01s.Mean" localSheetId="18">'RES_pt-BR'!$B$50</definedName>
    <definedName name="mg01s.Mean" localSheetId="19">'RES_pt-PT'!$B$50</definedName>
    <definedName name="mg01s.Mean" localSheetId="20">'RES_ro-RO'!$B$50</definedName>
    <definedName name="mg01s.Mean" localSheetId="21">'RES_ru-RU'!$B$50</definedName>
    <definedName name="mg01s.Mean" localSheetId="22">'RES_sl-SI'!$B$50</definedName>
    <definedName name="mg01s.Mean" localSheetId="23">'RES_sv-SE'!$B$50</definedName>
    <definedName name="mg01s.Mean" localSheetId="24">'RES_tr-TR'!$B$50</definedName>
    <definedName name="mg01s.Mean" localSheetId="25">'RES_zh-CN'!$B$50</definedName>
    <definedName name="mg01s.Mean" localSheetId="26">'RES_zh-TW'!$B$50</definedName>
    <definedName name="mg01s.MeanDif" localSheetId="3">'RES_cs-CZ'!$B$85</definedName>
    <definedName name="mg01s.MeanDif" localSheetId="4">'RES_da-DK'!$B$85</definedName>
    <definedName name="mg01s.MeanDif" localSheetId="5">'RES_de-DE'!$B$85</definedName>
    <definedName name="mg01s.MeanDif" localSheetId="6">'RES_el-GR'!$B$85</definedName>
    <definedName name="mg01s.MeanDif" localSheetId="2">'RES_en-US'!$B$85</definedName>
    <definedName name="mg01s.MeanDif" localSheetId="7">'RES_es-ES'!$B$85</definedName>
    <definedName name="mg01s.MeanDif" localSheetId="8">'RES_fi-FI'!$B$85</definedName>
    <definedName name="mg01s.MeanDif" localSheetId="1">'RES_fr-FR'!$B$85</definedName>
    <definedName name="mg01s.MeanDif" localSheetId="9">'RES_hr-HR'!$B$85</definedName>
    <definedName name="mg01s.MeanDif" localSheetId="10">'RES_hu-HU'!$B$85</definedName>
    <definedName name="mg01s.MeanDif" localSheetId="11">'RES_it-IT'!$B$85</definedName>
    <definedName name="mg01s.MeanDif" localSheetId="12">'RES_ja-JP'!$B$85</definedName>
    <definedName name="mg01s.MeanDif" localSheetId="13">'RES_ko-KR'!$B$85</definedName>
    <definedName name="mg01s.MeanDif" localSheetId="14">'RES_lv-LV'!$B$85</definedName>
    <definedName name="mg01s.MeanDif" localSheetId="15">'RES_nb-NO'!$B$85</definedName>
    <definedName name="mg01s.MeanDif" localSheetId="16">'RES_nl-NL'!$B$85</definedName>
    <definedName name="mg01s.MeanDif" localSheetId="17">'RES_pl-PL'!$B$85</definedName>
    <definedName name="mg01s.MeanDif" localSheetId="18">'RES_pt-BR'!$B$85</definedName>
    <definedName name="mg01s.MeanDif" localSheetId="19">'RES_pt-PT'!$B$85</definedName>
    <definedName name="mg01s.MeanDif" localSheetId="20">'RES_ro-RO'!$B$85</definedName>
    <definedName name="mg01s.MeanDif" localSheetId="21">'RES_ru-RU'!$B$85</definedName>
    <definedName name="mg01s.MeanDif" localSheetId="22">'RES_sl-SI'!$B$85</definedName>
    <definedName name="mg01s.MeanDif" localSheetId="23">'RES_sv-SE'!$B$85</definedName>
    <definedName name="mg01s.MeanDif" localSheetId="24">'RES_tr-TR'!$B$85</definedName>
    <definedName name="mg01s.MeanDif" localSheetId="25">'RES_zh-CN'!$B$85</definedName>
    <definedName name="mg01s.MeanDif" localSheetId="26">'RES_zh-TW'!$B$85</definedName>
    <definedName name="mg01s.Median" localSheetId="3">'RES_cs-CZ'!$B$52</definedName>
    <definedName name="mg01s.Median" localSheetId="4">'RES_da-DK'!$B$52</definedName>
    <definedName name="mg01s.Median" localSheetId="5">'RES_de-DE'!$B$52</definedName>
    <definedName name="mg01s.Median" localSheetId="6">'RES_el-GR'!$B$52</definedName>
    <definedName name="mg01s.Median" localSheetId="2">'RES_en-US'!$B$52</definedName>
    <definedName name="mg01s.Median" localSheetId="7">'RES_es-ES'!$B$52</definedName>
    <definedName name="mg01s.Median" localSheetId="8">'RES_fi-FI'!$B$52</definedName>
    <definedName name="mg01s.Median" localSheetId="1">'RES_fr-FR'!$B$52</definedName>
    <definedName name="mg01s.Median" localSheetId="9">'RES_hr-HR'!$B$52</definedName>
    <definedName name="mg01s.Median" localSheetId="10">'RES_hu-HU'!$B$52</definedName>
    <definedName name="mg01s.Median" localSheetId="11">'RES_it-IT'!$B$52</definedName>
    <definedName name="mg01s.Median" localSheetId="12">'RES_ja-JP'!$B$52</definedName>
    <definedName name="mg01s.Median" localSheetId="13">'RES_ko-KR'!$B$52</definedName>
    <definedName name="mg01s.Median" localSheetId="14">'RES_lv-LV'!$B$52</definedName>
    <definedName name="mg01s.Median" localSheetId="15">'RES_nb-NO'!$B$52</definedName>
    <definedName name="mg01s.Median" localSheetId="16">'RES_nl-NL'!$B$52</definedName>
    <definedName name="mg01s.Median" localSheetId="17">'RES_pl-PL'!$B$52</definedName>
    <definedName name="mg01s.Median" localSheetId="18">'RES_pt-BR'!$B$52</definedName>
    <definedName name="mg01s.Median" localSheetId="19">'RES_pt-PT'!$B$52</definedName>
    <definedName name="mg01s.Median" localSheetId="20">'RES_ro-RO'!$B$52</definedName>
    <definedName name="mg01s.Median" localSheetId="21">'RES_ru-RU'!$B$52</definedName>
    <definedName name="mg01s.Median" localSheetId="22">'RES_sl-SI'!$B$52</definedName>
    <definedName name="mg01s.Median" localSheetId="23">'RES_sv-SE'!$B$52</definedName>
    <definedName name="mg01s.Median" localSheetId="24">'RES_tr-TR'!$B$52</definedName>
    <definedName name="mg01s.Median" localSheetId="25">'RES_zh-CN'!$B$52</definedName>
    <definedName name="mg01s.Median" localSheetId="26">'RES_zh-TW'!$B$52</definedName>
    <definedName name="mg01s.Min" localSheetId="3">'RES_cs-CZ'!$B$59</definedName>
    <definedName name="mg01s.Min" localSheetId="4">'RES_da-DK'!$B$59</definedName>
    <definedName name="mg01s.Min" localSheetId="5">'RES_de-DE'!$B$59</definedName>
    <definedName name="mg01s.Min" localSheetId="6">'RES_el-GR'!$B$59</definedName>
    <definedName name="mg01s.Min" localSheetId="2">'RES_en-US'!$B$59</definedName>
    <definedName name="mg01s.Min" localSheetId="7">'RES_es-ES'!$B$59</definedName>
    <definedName name="mg01s.Min" localSheetId="8">'RES_fi-FI'!$B$59</definedName>
    <definedName name="mg01s.Min" localSheetId="1">'RES_fr-FR'!$B$59</definedName>
    <definedName name="mg01s.Min" localSheetId="9">'RES_hr-HR'!$B$59</definedName>
    <definedName name="mg01s.Min" localSheetId="10">'RES_hu-HU'!$B$59</definedName>
    <definedName name="mg01s.Min" localSheetId="11">'RES_it-IT'!$B$59</definedName>
    <definedName name="mg01s.Min" localSheetId="12">'RES_ja-JP'!$B$59</definedName>
    <definedName name="mg01s.Min" localSheetId="13">'RES_ko-KR'!$B$59</definedName>
    <definedName name="mg01s.Min" localSheetId="14">'RES_lv-LV'!$B$59</definedName>
    <definedName name="mg01s.Min" localSheetId="15">'RES_nb-NO'!$B$59</definedName>
    <definedName name="mg01s.Min" localSheetId="16">'RES_nl-NL'!$B$59</definedName>
    <definedName name="mg01s.Min" localSheetId="17">'RES_pl-PL'!$B$59</definedName>
    <definedName name="mg01s.Min" localSheetId="18">'RES_pt-BR'!$B$59</definedName>
    <definedName name="mg01s.Min" localSheetId="19">'RES_pt-PT'!$B$59</definedName>
    <definedName name="mg01s.Min" localSheetId="20">'RES_ro-RO'!$B$59</definedName>
    <definedName name="mg01s.Min" localSheetId="21">'RES_ru-RU'!$B$59</definedName>
    <definedName name="mg01s.Min" localSheetId="22">'RES_sl-SI'!$B$59</definedName>
    <definedName name="mg01s.Min" localSheetId="23">'RES_sv-SE'!$B$59</definedName>
    <definedName name="mg01s.Min" localSheetId="24">'RES_tr-TR'!$B$59</definedName>
    <definedName name="mg01s.Min" localSheetId="25">'RES_zh-CN'!$B$59</definedName>
    <definedName name="mg01s.Min" localSheetId="26">'RES_zh-TW'!$B$59</definedName>
    <definedName name="mg01s.Mode" localSheetId="3">'RES_cs-CZ'!$B$53</definedName>
    <definedName name="mg01s.Mode" localSheetId="4">'RES_da-DK'!$B$53</definedName>
    <definedName name="mg01s.Mode" localSheetId="5">'RES_de-DE'!$B$53</definedName>
    <definedName name="mg01s.Mode" localSheetId="6">'RES_el-GR'!$B$53</definedName>
    <definedName name="mg01s.Mode" localSheetId="2">'RES_en-US'!$B$53</definedName>
    <definedName name="mg01s.Mode" localSheetId="7">'RES_es-ES'!$B$53</definedName>
    <definedName name="mg01s.Mode" localSheetId="8">'RES_fi-FI'!$B$53</definedName>
    <definedName name="mg01s.Mode" localSheetId="1">'RES_fr-FR'!$B$53</definedName>
    <definedName name="mg01s.Mode" localSheetId="9">'RES_hr-HR'!$B$53</definedName>
    <definedName name="mg01s.Mode" localSheetId="10">'RES_hu-HU'!$B$53</definedName>
    <definedName name="mg01s.Mode" localSheetId="11">'RES_it-IT'!$B$53</definedName>
    <definedName name="mg01s.Mode" localSheetId="12">'RES_ja-JP'!$B$53</definedName>
    <definedName name="mg01s.Mode" localSheetId="13">'RES_ko-KR'!$B$53</definedName>
    <definedName name="mg01s.Mode" localSheetId="14">'RES_lv-LV'!$B$53</definedName>
    <definedName name="mg01s.Mode" localSheetId="15">'RES_nb-NO'!$B$53</definedName>
    <definedName name="mg01s.Mode" localSheetId="16">'RES_nl-NL'!$B$53</definedName>
    <definedName name="mg01s.Mode" localSheetId="17">'RES_pl-PL'!$B$53</definedName>
    <definedName name="mg01s.Mode" localSheetId="18">'RES_pt-BR'!$B$53</definedName>
    <definedName name="mg01s.Mode" localSheetId="19">'RES_pt-PT'!$B$53</definedName>
    <definedName name="mg01s.Mode" localSheetId="20">'RES_ro-RO'!$B$53</definedName>
    <definedName name="mg01s.Mode" localSheetId="21">'RES_ru-RU'!$B$53</definedName>
    <definedName name="mg01s.Mode" localSheetId="22">'RES_sl-SI'!$B$53</definedName>
    <definedName name="mg01s.Mode" localSheetId="23">'RES_sv-SE'!$B$53</definedName>
    <definedName name="mg01s.Mode" localSheetId="24">'RES_tr-TR'!$B$53</definedName>
    <definedName name="mg01s.Mode" localSheetId="25">'RES_zh-CN'!$B$53</definedName>
    <definedName name="mg01s.Mode" localSheetId="26">'RES_zh-TW'!$B$53</definedName>
    <definedName name="mg01s.More" localSheetId="3">'RES_cs-CZ'!$B$76</definedName>
    <definedName name="mg01s.More" localSheetId="4">'RES_da-DK'!$B$76</definedName>
    <definedName name="mg01s.More" localSheetId="5">'RES_de-DE'!$B$76</definedName>
    <definedName name="mg01s.More" localSheetId="6">'RES_el-GR'!$B$76</definedName>
    <definedName name="mg01s.More" localSheetId="2">'RES_en-US'!$B$76</definedName>
    <definedName name="mg01s.More" localSheetId="7">'RES_es-ES'!$B$76</definedName>
    <definedName name="mg01s.More" localSheetId="8">'RES_fi-FI'!$B$76</definedName>
    <definedName name="mg01s.More" localSheetId="1">'RES_fr-FR'!$B$76</definedName>
    <definedName name="mg01s.More" localSheetId="9">'RES_hr-HR'!$B$76</definedName>
    <definedName name="mg01s.More" localSheetId="10">'RES_hu-HU'!$B$76</definedName>
    <definedName name="mg01s.More" localSheetId="11">'RES_it-IT'!$B$76</definedName>
    <definedName name="mg01s.More" localSheetId="12">'RES_ja-JP'!$B$76</definedName>
    <definedName name="mg01s.More" localSheetId="13">'RES_ko-KR'!$B$76</definedName>
    <definedName name="mg01s.More" localSheetId="14">'RES_lv-LV'!$B$76</definedName>
    <definedName name="mg01s.More" localSheetId="15">'RES_nb-NO'!$B$76</definedName>
    <definedName name="mg01s.More" localSheetId="16">'RES_nl-NL'!$B$76</definedName>
    <definedName name="mg01s.More" localSheetId="17">'RES_pl-PL'!$B$76</definedName>
    <definedName name="mg01s.More" localSheetId="18">'RES_pt-BR'!$B$76</definedName>
    <definedName name="mg01s.More" localSheetId="19">'RES_pt-PT'!$B$76</definedName>
    <definedName name="mg01s.More" localSheetId="20">'RES_ro-RO'!$B$76</definedName>
    <definedName name="mg01s.More" localSheetId="21">'RES_ru-RU'!$B$76</definedName>
    <definedName name="mg01s.More" localSheetId="22">'RES_sl-SI'!$B$76</definedName>
    <definedName name="mg01s.More" localSheetId="23">'RES_sv-SE'!$B$76</definedName>
    <definedName name="mg01s.More" localSheetId="24">'RES_tr-TR'!$B$76</definedName>
    <definedName name="mg01s.More" localSheetId="25">'RES_zh-CN'!$B$76</definedName>
    <definedName name="mg01s.More" localSheetId="26">'RES_zh-TW'!$B$76</definedName>
    <definedName name="mg01s.MovAvg" localSheetId="3">'RES_cs-CZ'!$B$67</definedName>
    <definedName name="mg01s.MovAvg" localSheetId="4">'RES_da-DK'!$B$67</definedName>
    <definedName name="mg01s.MovAvg" localSheetId="5">'RES_de-DE'!$B$67</definedName>
    <definedName name="mg01s.MovAvg" localSheetId="6">'RES_el-GR'!$B$67</definedName>
    <definedName name="mg01s.MovAvg" localSheetId="2">'RES_en-US'!$B$67</definedName>
    <definedName name="mg01s.MovAvg" localSheetId="7">'RES_es-ES'!$B$67</definedName>
    <definedName name="mg01s.MovAvg" localSheetId="8">'RES_fi-FI'!$B$67</definedName>
    <definedName name="mg01s.MovAvg" localSheetId="1">'RES_fr-FR'!$B$67</definedName>
    <definedName name="mg01s.MovAvg" localSheetId="9">'RES_hr-HR'!$B$67</definedName>
    <definedName name="mg01s.MovAvg" localSheetId="10">'RES_hu-HU'!$B$67</definedName>
    <definedName name="mg01s.MovAvg" localSheetId="11">'RES_it-IT'!$B$67</definedName>
    <definedName name="mg01s.MovAvg" localSheetId="12">'RES_ja-JP'!$B$67</definedName>
    <definedName name="mg01s.MovAvg" localSheetId="13">'RES_ko-KR'!$B$67</definedName>
    <definedName name="mg01s.MovAvg" localSheetId="14">'RES_lv-LV'!$B$67</definedName>
    <definedName name="mg01s.MovAvg" localSheetId="15">'RES_nb-NO'!$B$67</definedName>
    <definedName name="mg01s.MovAvg" localSheetId="16">'RES_nl-NL'!$B$67</definedName>
    <definedName name="mg01s.MovAvg" localSheetId="17">'RES_pl-PL'!$B$67</definedName>
    <definedName name="mg01s.MovAvg" localSheetId="18">'RES_pt-BR'!$B$67</definedName>
    <definedName name="mg01s.MovAvg" localSheetId="19">'RES_pt-PT'!$B$67</definedName>
    <definedName name="mg01s.MovAvg" localSheetId="20">'RES_ro-RO'!$B$67</definedName>
    <definedName name="mg01s.MovAvg" localSheetId="21">'RES_ru-RU'!$B$67</definedName>
    <definedName name="mg01s.MovAvg" localSheetId="22">'RES_sl-SI'!$B$67</definedName>
    <definedName name="mg01s.MovAvg" localSheetId="23">'RES_sv-SE'!$B$67</definedName>
    <definedName name="mg01s.MovAvg" localSheetId="24">'RES_tr-TR'!$B$67</definedName>
    <definedName name="mg01s.MovAvg" localSheetId="25">'RES_zh-CN'!$B$67</definedName>
    <definedName name="mg01s.MovAvg" localSheetId="26">'RES_zh-TW'!$B$67</definedName>
    <definedName name="mg01s.MS" localSheetId="3">'RES_cs-CZ'!$B$35</definedName>
    <definedName name="mg01s.MS" localSheetId="4">'RES_da-DK'!$B$35</definedName>
    <definedName name="mg01s.MS" localSheetId="5">'RES_de-DE'!$B$35</definedName>
    <definedName name="mg01s.MS" localSheetId="6">'RES_el-GR'!$B$35</definedName>
    <definedName name="mg01s.MS" localSheetId="2">'RES_en-US'!$B$35</definedName>
    <definedName name="mg01s.MS" localSheetId="7">'RES_es-ES'!$B$35</definedName>
    <definedName name="mg01s.MS" localSheetId="8">'RES_fi-FI'!$B$35</definedName>
    <definedName name="mg01s.MS" localSheetId="1">'RES_fr-FR'!$B$35</definedName>
    <definedName name="mg01s.MS" localSheetId="9">'RES_hr-HR'!$B$35</definedName>
    <definedName name="mg01s.MS" localSheetId="10">'RES_hu-HU'!$B$35</definedName>
    <definedName name="mg01s.MS" localSheetId="11">'RES_it-IT'!$B$35</definedName>
    <definedName name="mg01s.MS" localSheetId="12">'RES_ja-JP'!$B$35</definedName>
    <definedName name="mg01s.MS" localSheetId="13">'RES_ko-KR'!$B$35</definedName>
    <definedName name="mg01s.MS" localSheetId="14">'RES_lv-LV'!$B$35</definedName>
    <definedName name="mg01s.MS" localSheetId="15">'RES_nb-NO'!$B$35</definedName>
    <definedName name="mg01s.MS" localSheetId="16">'RES_nl-NL'!$B$35</definedName>
    <definedName name="mg01s.MS" localSheetId="17">'RES_pl-PL'!$B$35</definedName>
    <definedName name="mg01s.MS" localSheetId="18">'RES_pt-BR'!$B$35</definedName>
    <definedName name="mg01s.MS" localSheetId="19">'RES_pt-PT'!$B$35</definedName>
    <definedName name="mg01s.MS" localSheetId="20">'RES_ro-RO'!$B$35</definedName>
    <definedName name="mg01s.MS" localSheetId="21">'RES_ru-RU'!$B$35</definedName>
    <definedName name="mg01s.MS" localSheetId="22">'RES_sl-SI'!$B$35</definedName>
    <definedName name="mg01s.MS" localSheetId="23">'RES_sv-SE'!$B$35</definedName>
    <definedName name="mg01s.MS" localSheetId="24">'RES_tr-TR'!$B$35</definedName>
    <definedName name="mg01s.MS" localSheetId="25">'RES_zh-CN'!$B$35</definedName>
    <definedName name="mg01s.MS" localSheetId="26">'RES_zh-TW'!$B$35</definedName>
    <definedName name="mg01s.MultipleR" localSheetId="3">'RES_cs-CZ'!$B$126</definedName>
    <definedName name="mg01s.MultipleR" localSheetId="4">'RES_da-DK'!$B$126</definedName>
    <definedName name="mg01s.MultipleR" localSheetId="5">'RES_de-DE'!$B$126</definedName>
    <definedName name="mg01s.MultipleR" localSheetId="6">'RES_el-GR'!$B$126</definedName>
    <definedName name="mg01s.MultipleR" localSheetId="2">'RES_en-US'!$B$126</definedName>
    <definedName name="mg01s.MultipleR" localSheetId="7">'RES_es-ES'!$B$126</definedName>
    <definedName name="mg01s.MultipleR" localSheetId="8">'RES_fi-FI'!$B$126</definedName>
    <definedName name="mg01s.MultipleR" localSheetId="1">'RES_fr-FR'!$B$126</definedName>
    <definedName name="mg01s.MultipleR" localSheetId="9">'RES_hr-HR'!$B$126</definedName>
    <definedName name="mg01s.MultipleR" localSheetId="10">'RES_hu-HU'!$B$126</definedName>
    <definedName name="mg01s.MultipleR" localSheetId="11">'RES_it-IT'!$B$126</definedName>
    <definedName name="mg01s.MultipleR" localSheetId="12">'RES_ja-JP'!$B$126</definedName>
    <definedName name="mg01s.MultipleR" localSheetId="13">'RES_ko-KR'!$B$126</definedName>
    <definedName name="mg01s.MultipleR" localSheetId="14">'RES_lv-LV'!$B$126</definedName>
    <definedName name="mg01s.MultipleR" localSheetId="15">'RES_nb-NO'!$B$126</definedName>
    <definedName name="mg01s.MultipleR" localSheetId="16">'RES_nl-NL'!$B$126</definedName>
    <definedName name="mg01s.MultipleR" localSheetId="17">'RES_pl-PL'!$B$126</definedName>
    <definedName name="mg01s.MultipleR" localSheetId="18">'RES_pt-BR'!$B$126</definedName>
    <definedName name="mg01s.MultipleR" localSheetId="19">'RES_pt-PT'!$B$126</definedName>
    <definedName name="mg01s.MultipleR" localSheetId="20">'RES_ro-RO'!$B$126</definedName>
    <definedName name="mg01s.MultipleR" localSheetId="21">'RES_ru-RU'!$B$126</definedName>
    <definedName name="mg01s.MultipleR" localSheetId="22">'RES_sl-SI'!$B$126</definedName>
    <definedName name="mg01s.MultipleR" localSheetId="23">'RES_sv-SE'!$B$126</definedName>
    <definedName name="mg01s.MultipleR" localSheetId="24">'RES_tr-TR'!$B$126</definedName>
    <definedName name="mg01s.MultipleR" localSheetId="25">'RES_zh-CN'!$B$126</definedName>
    <definedName name="mg01s.MultipleR" localSheetId="26">'RES_zh-TW'!$B$126</definedName>
    <definedName name="mg01s.Ob" localSheetId="3">'RES_cs-CZ'!$B$117</definedName>
    <definedName name="mg01s.Ob" localSheetId="4">'RES_da-DK'!$B$117</definedName>
    <definedName name="mg01s.Ob" localSheetId="5">'RES_de-DE'!$B$117</definedName>
    <definedName name="mg01s.Ob" localSheetId="6">'RES_el-GR'!$B$117</definedName>
    <definedName name="mg01s.Ob" localSheetId="2">'RES_en-US'!$B$117</definedName>
    <definedName name="mg01s.Ob" localSheetId="7">'RES_es-ES'!$B$117</definedName>
    <definedName name="mg01s.Ob" localSheetId="8">'RES_fi-FI'!$B$117</definedName>
    <definedName name="mg01s.Ob" localSheetId="1">'RES_fr-FR'!$B$117</definedName>
    <definedName name="mg01s.Ob" localSheetId="9">'RES_hr-HR'!$B$117</definedName>
    <definedName name="mg01s.Ob" localSheetId="10">'RES_hu-HU'!$B$117</definedName>
    <definedName name="mg01s.Ob" localSheetId="11">'RES_it-IT'!$B$117</definedName>
    <definedName name="mg01s.Ob" localSheetId="12">'RES_ja-JP'!$B$117</definedName>
    <definedName name="mg01s.Ob" localSheetId="13">'RES_ko-KR'!$B$117</definedName>
    <definedName name="mg01s.Ob" localSheetId="14">'RES_lv-LV'!$B$117</definedName>
    <definedName name="mg01s.Ob" localSheetId="15">'RES_nb-NO'!$B$117</definedName>
    <definedName name="mg01s.Ob" localSheetId="16">'RES_nl-NL'!$B$117</definedName>
    <definedName name="mg01s.Ob" localSheetId="17">'RES_pl-PL'!$B$117</definedName>
    <definedName name="mg01s.Ob" localSheetId="18">'RES_pt-BR'!$B$117</definedName>
    <definedName name="mg01s.Ob" localSheetId="19">'RES_pt-PT'!$B$117</definedName>
    <definedName name="mg01s.Ob" localSheetId="20">'RES_ro-RO'!$B$117</definedName>
    <definedName name="mg01s.Ob" localSheetId="21">'RES_ru-RU'!$B$117</definedName>
    <definedName name="mg01s.Ob" localSheetId="22">'RES_sl-SI'!$B$117</definedName>
    <definedName name="mg01s.Ob" localSheetId="23">'RES_sv-SE'!$B$117</definedName>
    <definedName name="mg01s.Ob" localSheetId="24">'RES_tr-TR'!$B$117</definedName>
    <definedName name="mg01s.Ob" localSheetId="25">'RES_zh-CN'!$B$117</definedName>
    <definedName name="mg01s.Ob" localSheetId="26">'RES_zh-TW'!$B$117</definedName>
    <definedName name="mg01s.Obs" localSheetId="3">'RES_cs-CZ'!$B$82</definedName>
    <definedName name="mg01s.Obs" localSheetId="4">'RES_da-DK'!$B$82</definedName>
    <definedName name="mg01s.Obs" localSheetId="5">'RES_de-DE'!$B$82</definedName>
    <definedName name="mg01s.Obs" localSheetId="6">'RES_el-GR'!$B$82</definedName>
    <definedName name="mg01s.Obs" localSheetId="2">'RES_en-US'!$B$82</definedName>
    <definedName name="mg01s.Obs" localSheetId="7">'RES_es-ES'!$B$82</definedName>
    <definedName name="mg01s.Obs" localSheetId="8">'RES_fi-FI'!$B$82</definedName>
    <definedName name="mg01s.Obs" localSheetId="1">'RES_fr-FR'!$B$82</definedName>
    <definedName name="mg01s.Obs" localSheetId="9">'RES_hr-HR'!$B$82</definedName>
    <definedName name="mg01s.Obs" localSheetId="10">'RES_hu-HU'!$B$82</definedName>
    <definedName name="mg01s.Obs" localSheetId="11">'RES_it-IT'!$B$82</definedName>
    <definedName name="mg01s.Obs" localSheetId="12">'RES_ja-JP'!$B$82</definedName>
    <definedName name="mg01s.Obs" localSheetId="13">'RES_ko-KR'!$B$82</definedName>
    <definedName name="mg01s.Obs" localSheetId="14">'RES_lv-LV'!$B$82</definedName>
    <definedName name="mg01s.Obs" localSheetId="15">'RES_nb-NO'!$B$82</definedName>
    <definedName name="mg01s.Obs" localSheetId="16">'RES_nl-NL'!$B$82</definedName>
    <definedName name="mg01s.Obs" localSheetId="17">'RES_pl-PL'!$B$82</definedName>
    <definedName name="mg01s.Obs" localSheetId="18">'RES_pt-BR'!$B$82</definedName>
    <definedName name="mg01s.Obs" localSheetId="19">'RES_pt-PT'!$B$82</definedName>
    <definedName name="mg01s.Obs" localSheetId="20">'RES_ro-RO'!$B$82</definedName>
    <definedName name="mg01s.Obs" localSheetId="21">'RES_ru-RU'!$B$82</definedName>
    <definedName name="mg01s.Obs" localSheetId="22">'RES_sl-SI'!$B$82</definedName>
    <definedName name="mg01s.Obs" localSheetId="23">'RES_sv-SE'!$B$82</definedName>
    <definedName name="mg01s.Obs" localSheetId="24">'RES_tr-TR'!$B$82</definedName>
    <definedName name="mg01s.Obs" localSheetId="25">'RES_zh-CN'!$B$82</definedName>
    <definedName name="mg01s.Obs" localSheetId="26">'RES_zh-TW'!$B$82</definedName>
    <definedName name="mg01s.PearCorrel" localSheetId="3">'RES_cs-CZ'!$B$87</definedName>
    <definedName name="mg01s.PearCorrel" localSheetId="4">'RES_da-DK'!$B$87</definedName>
    <definedName name="mg01s.PearCorrel" localSheetId="5">'RES_de-DE'!$B$87</definedName>
    <definedName name="mg01s.PearCorrel" localSheetId="6">'RES_el-GR'!$B$87</definedName>
    <definedName name="mg01s.PearCorrel" localSheetId="2">'RES_en-US'!$B$87</definedName>
    <definedName name="mg01s.PearCorrel" localSheetId="7">'RES_es-ES'!$B$87</definedName>
    <definedName name="mg01s.PearCorrel" localSheetId="8">'RES_fi-FI'!$B$87</definedName>
    <definedName name="mg01s.PearCorrel" localSheetId="1">'RES_fr-FR'!$B$87</definedName>
    <definedName name="mg01s.PearCorrel" localSheetId="9">'RES_hr-HR'!$B$87</definedName>
    <definedName name="mg01s.PearCorrel" localSheetId="10">'RES_hu-HU'!$B$87</definedName>
    <definedName name="mg01s.PearCorrel" localSheetId="11">'RES_it-IT'!$B$87</definedName>
    <definedName name="mg01s.PearCorrel" localSheetId="12">'RES_ja-JP'!$B$87</definedName>
    <definedName name="mg01s.PearCorrel" localSheetId="13">'RES_ko-KR'!$B$87</definedName>
    <definedName name="mg01s.PearCorrel" localSheetId="14">'RES_lv-LV'!$B$87</definedName>
    <definedName name="mg01s.PearCorrel" localSheetId="15">'RES_nb-NO'!$B$87</definedName>
    <definedName name="mg01s.PearCorrel" localSheetId="16">'RES_nl-NL'!$B$87</definedName>
    <definedName name="mg01s.PearCorrel" localSheetId="17">'RES_pl-PL'!$B$87</definedName>
    <definedName name="mg01s.PearCorrel" localSheetId="18">'RES_pt-BR'!$B$87</definedName>
    <definedName name="mg01s.PearCorrel" localSheetId="19">'RES_pt-PT'!$B$87</definedName>
    <definedName name="mg01s.PearCorrel" localSheetId="20">'RES_ro-RO'!$B$87</definedName>
    <definedName name="mg01s.PearCorrel" localSheetId="21">'RES_ru-RU'!$B$87</definedName>
    <definedName name="mg01s.PearCorrel" localSheetId="22">'RES_sl-SI'!$B$87</definedName>
    <definedName name="mg01s.PearCorrel" localSheetId="23">'RES_sv-SE'!$B$87</definedName>
    <definedName name="mg01s.PearCorrel" localSheetId="24">'RES_tr-TR'!$B$87</definedName>
    <definedName name="mg01s.PearCorrel" localSheetId="25">'RES_zh-CN'!$B$87</definedName>
    <definedName name="mg01s.PearCorrel" localSheetId="26">'RES_zh-TW'!$B$87</definedName>
    <definedName name="mg01s.Percent" localSheetId="3">'RES_cs-CZ'!$B$104</definedName>
    <definedName name="mg01s.Percent" localSheetId="4">'RES_da-DK'!$B$104</definedName>
    <definedName name="mg01s.Percent" localSheetId="5">'RES_de-DE'!$B$104</definedName>
    <definedName name="mg01s.Percent" localSheetId="6">'RES_el-GR'!$B$104</definedName>
    <definedName name="mg01s.Percent" localSheetId="2">'RES_en-US'!$B$104</definedName>
    <definedName name="mg01s.Percent" localSheetId="7">'RES_es-ES'!$B$104</definedName>
    <definedName name="mg01s.Percent" localSheetId="8">'RES_fi-FI'!$B$104</definedName>
    <definedName name="mg01s.Percent" localSheetId="1">'RES_fr-FR'!$B$104</definedName>
    <definedName name="mg01s.Percent" localSheetId="9">'RES_hr-HR'!$B$104</definedName>
    <definedName name="mg01s.Percent" localSheetId="10">'RES_hu-HU'!$B$104</definedName>
    <definedName name="mg01s.Percent" localSheetId="11">'RES_it-IT'!$B$104</definedName>
    <definedName name="mg01s.Percent" localSheetId="12">'RES_ja-JP'!$B$104</definedName>
    <definedName name="mg01s.Percent" localSheetId="13">'RES_ko-KR'!$B$104</definedName>
    <definedName name="mg01s.Percent" localSheetId="14">'RES_lv-LV'!$B$104</definedName>
    <definedName name="mg01s.Percent" localSheetId="15">'RES_nb-NO'!$B$104</definedName>
    <definedName name="mg01s.Percent" localSheetId="16">'RES_nl-NL'!$B$104</definedName>
    <definedName name="mg01s.Percent" localSheetId="17">'RES_pl-PL'!$B$104</definedName>
    <definedName name="mg01s.Percent" localSheetId="18">'RES_pt-BR'!$B$104</definedName>
    <definedName name="mg01s.Percent" localSheetId="19">'RES_pt-PT'!$B$104</definedName>
    <definedName name="mg01s.Percent" localSheetId="20">'RES_ro-RO'!$B$104</definedName>
    <definedName name="mg01s.Percent" localSheetId="21">'RES_ru-RU'!$B$104</definedName>
    <definedName name="mg01s.Percent" localSheetId="22">'RES_sl-SI'!$B$104</definedName>
    <definedName name="mg01s.Percent" localSheetId="23">'RES_sv-SE'!$B$104</definedName>
    <definedName name="mg01s.Percent" localSheetId="24">'RES_tr-TR'!$B$104</definedName>
    <definedName name="mg01s.Percent" localSheetId="25">'RES_zh-CN'!$B$104</definedName>
    <definedName name="mg01s.Percent" localSheetId="26">'RES_zh-TW'!$B$104</definedName>
    <definedName name="mg01s.Percentile" localSheetId="3">'RES_cs-CZ'!$B$122</definedName>
    <definedName name="mg01s.Percentile" localSheetId="4">'RES_da-DK'!$B$122</definedName>
    <definedName name="mg01s.Percentile" localSheetId="5">'RES_de-DE'!$B$122</definedName>
    <definedName name="mg01s.Percentile" localSheetId="6">'RES_el-GR'!$B$122</definedName>
    <definedName name="mg01s.Percentile" localSheetId="2">'RES_en-US'!$B$122</definedName>
    <definedName name="mg01s.Percentile" localSheetId="7">'RES_es-ES'!$B$122</definedName>
    <definedName name="mg01s.Percentile" localSheetId="8">'RES_fi-FI'!$B$122</definedName>
    <definedName name="mg01s.Percentile" localSheetId="1">'RES_fr-FR'!$B$122</definedName>
    <definedName name="mg01s.Percentile" localSheetId="9">'RES_hr-HR'!$B$122</definedName>
    <definedName name="mg01s.Percentile" localSheetId="10">'RES_hu-HU'!$B$122</definedName>
    <definedName name="mg01s.Percentile" localSheetId="11">'RES_it-IT'!$B$122</definedName>
    <definedName name="mg01s.Percentile" localSheetId="12">'RES_ja-JP'!$B$122</definedName>
    <definedName name="mg01s.Percentile" localSheetId="13">'RES_ko-KR'!$B$122</definedName>
    <definedName name="mg01s.Percentile" localSheetId="14">'RES_lv-LV'!$B$122</definedName>
    <definedName name="mg01s.Percentile" localSheetId="15">'RES_nb-NO'!$B$122</definedName>
    <definedName name="mg01s.Percentile" localSheetId="16">'RES_nl-NL'!$B$122</definedName>
    <definedName name="mg01s.Percentile" localSheetId="17">'RES_pl-PL'!$B$122</definedName>
    <definedName name="mg01s.Percentile" localSheetId="18">'RES_pt-BR'!$B$122</definedName>
    <definedName name="mg01s.Percentile" localSheetId="19">'RES_pt-PT'!$B$122</definedName>
    <definedName name="mg01s.Percentile" localSheetId="20">'RES_ro-RO'!$B$122</definedName>
    <definedName name="mg01s.Percentile" localSheetId="21">'RES_ru-RU'!$B$122</definedName>
    <definedName name="mg01s.Percentile" localSheetId="22">'RES_sl-SI'!$B$122</definedName>
    <definedName name="mg01s.Percentile" localSheetId="23">'RES_sv-SE'!$B$122</definedName>
    <definedName name="mg01s.Percentile" localSheetId="24">'RES_tr-TR'!$B$122</definedName>
    <definedName name="mg01s.Percentile" localSheetId="25">'RES_zh-CN'!$B$122</definedName>
    <definedName name="mg01s.Percentile" localSheetId="26">'RES_zh-TW'!$B$122</definedName>
    <definedName name="mg01s.Point" localSheetId="3">'RES_cs-CZ'!$B$105</definedName>
    <definedName name="mg01s.Point" localSheetId="4">'RES_da-DK'!$B$105</definedName>
    <definedName name="mg01s.Point" localSheetId="5">'RES_de-DE'!$B$105</definedName>
    <definedName name="mg01s.Point" localSheetId="6">'RES_el-GR'!$B$105</definedName>
    <definedName name="mg01s.Point" localSheetId="2">'RES_en-US'!$B$105</definedName>
    <definedName name="mg01s.Point" localSheetId="7">'RES_es-ES'!$B$105</definedName>
    <definedName name="mg01s.Point" localSheetId="8">'RES_fi-FI'!$B$105</definedName>
    <definedName name="mg01s.Point" localSheetId="1">'RES_fr-FR'!$B$105</definedName>
    <definedName name="mg01s.Point" localSheetId="9">'RES_hr-HR'!$B$105</definedName>
    <definedName name="mg01s.Point" localSheetId="10">'RES_hu-HU'!$B$105</definedName>
    <definedName name="mg01s.Point" localSheetId="11">'RES_it-IT'!$B$105</definedName>
    <definedName name="mg01s.Point" localSheetId="12">'RES_ja-JP'!$B$105</definedName>
    <definedName name="mg01s.Point" localSheetId="13">'RES_ko-KR'!$B$105</definedName>
    <definedName name="mg01s.Point" localSheetId="14">'RES_lv-LV'!$B$105</definedName>
    <definedName name="mg01s.Point" localSheetId="15">'RES_nb-NO'!$B$105</definedName>
    <definedName name="mg01s.Point" localSheetId="16">'RES_nl-NL'!$B$105</definedName>
    <definedName name="mg01s.Point" localSheetId="17">'RES_pl-PL'!$B$105</definedName>
    <definedName name="mg01s.Point" localSheetId="18">'RES_pt-BR'!$B$105</definedName>
    <definedName name="mg01s.Point" localSheetId="19">'RES_pt-PT'!$B$105</definedName>
    <definedName name="mg01s.Point" localSheetId="20">'RES_ro-RO'!$B$105</definedName>
    <definedName name="mg01s.Point" localSheetId="21">'RES_ru-RU'!$B$105</definedName>
    <definedName name="mg01s.Point" localSheetId="22">'RES_sl-SI'!$B$105</definedName>
    <definedName name="mg01s.Point" localSheetId="23">'RES_sv-SE'!$B$105</definedName>
    <definedName name="mg01s.Point" localSheetId="24">'RES_tr-TR'!$B$105</definedName>
    <definedName name="mg01s.Point" localSheetId="25">'RES_zh-CN'!$B$105</definedName>
    <definedName name="mg01s.Point" localSheetId="26">'RES_zh-TW'!$B$105</definedName>
    <definedName name="mg01s.PoolVar" localSheetId="3">'RES_cs-CZ'!$B$86</definedName>
    <definedName name="mg01s.PoolVar" localSheetId="4">'RES_da-DK'!$B$86</definedName>
    <definedName name="mg01s.PoolVar" localSheetId="5">'RES_de-DE'!$B$86</definedName>
    <definedName name="mg01s.PoolVar" localSheetId="6">'RES_el-GR'!$B$86</definedName>
    <definedName name="mg01s.PoolVar" localSheetId="2">'RES_en-US'!$B$86</definedName>
    <definedName name="mg01s.PoolVar" localSheetId="7">'RES_es-ES'!$B$86</definedName>
    <definedName name="mg01s.PoolVar" localSheetId="8">'RES_fi-FI'!$B$86</definedName>
    <definedName name="mg01s.PoolVar" localSheetId="1">'RES_fr-FR'!$B$86</definedName>
    <definedName name="mg01s.PoolVar" localSheetId="9">'RES_hr-HR'!$B$86</definedName>
    <definedName name="mg01s.PoolVar" localSheetId="10">'RES_hu-HU'!$B$86</definedName>
    <definedName name="mg01s.PoolVar" localSheetId="11">'RES_it-IT'!$B$86</definedName>
    <definedName name="mg01s.PoolVar" localSheetId="12">'RES_ja-JP'!$B$86</definedName>
    <definedName name="mg01s.PoolVar" localSheetId="13">'RES_ko-KR'!$B$86</definedName>
    <definedName name="mg01s.PoolVar" localSheetId="14">'RES_lv-LV'!$B$86</definedName>
    <definedName name="mg01s.PoolVar" localSheetId="15">'RES_nb-NO'!$B$86</definedName>
    <definedName name="mg01s.PoolVar" localSheetId="16">'RES_nl-NL'!$B$86</definedName>
    <definedName name="mg01s.PoolVar" localSheetId="17">'RES_pl-PL'!$B$86</definedName>
    <definedName name="mg01s.PoolVar" localSheetId="18">'RES_pt-BR'!$B$86</definedName>
    <definedName name="mg01s.PoolVar" localSheetId="19">'RES_pt-PT'!$B$86</definedName>
    <definedName name="mg01s.PoolVar" localSheetId="20">'RES_ro-RO'!$B$86</definedName>
    <definedName name="mg01s.PoolVar" localSheetId="21">'RES_ru-RU'!$B$86</definedName>
    <definedName name="mg01s.PoolVar" localSheetId="22">'RES_sl-SI'!$B$86</definedName>
    <definedName name="mg01s.PoolVar" localSheetId="23">'RES_sv-SE'!$B$86</definedName>
    <definedName name="mg01s.PoolVar" localSheetId="24">'RES_tr-TR'!$B$86</definedName>
    <definedName name="mg01s.PoolVar" localSheetId="25">'RES_zh-CN'!$B$86</definedName>
    <definedName name="mg01s.PoolVar" localSheetId="26">'RES_zh-TW'!$B$86</definedName>
    <definedName name="mg01s.Predicted" localSheetId="3">'RES_cs-CZ'!$B$118</definedName>
    <definedName name="mg01s.Predicted" localSheetId="4">'RES_da-DK'!$B$118</definedName>
    <definedName name="mg01s.Predicted" localSheetId="5">'RES_de-DE'!$B$118</definedName>
    <definedName name="mg01s.Predicted" localSheetId="6">'RES_el-GR'!$B$118</definedName>
    <definedName name="mg01s.Predicted" localSheetId="2">'RES_en-US'!$B$118</definedName>
    <definedName name="mg01s.Predicted" localSheetId="7">'RES_es-ES'!$B$118</definedName>
    <definedName name="mg01s.Predicted" localSheetId="8">'RES_fi-FI'!$B$118</definedName>
    <definedName name="mg01s.Predicted" localSheetId="1">'RES_fr-FR'!$B$118</definedName>
    <definedName name="mg01s.Predicted" localSheetId="9">'RES_hr-HR'!$B$118</definedName>
    <definedName name="mg01s.Predicted" localSheetId="10">'RES_hu-HU'!$B$118</definedName>
    <definedName name="mg01s.Predicted" localSheetId="11">'RES_it-IT'!$B$118</definedName>
    <definedName name="mg01s.Predicted" localSheetId="12">'RES_ja-JP'!$B$118</definedName>
    <definedName name="mg01s.Predicted" localSheetId="13">'RES_ko-KR'!$B$118</definedName>
    <definedName name="mg01s.Predicted" localSheetId="14">'RES_lv-LV'!$B$118</definedName>
    <definedName name="mg01s.Predicted" localSheetId="15">'RES_nb-NO'!$B$118</definedName>
    <definedName name="mg01s.Predicted" localSheetId="16">'RES_nl-NL'!$B$118</definedName>
    <definedName name="mg01s.Predicted" localSheetId="17">'RES_pl-PL'!$B$118</definedName>
    <definedName name="mg01s.Predicted" localSheetId="18">'RES_pt-BR'!$B$118</definedName>
    <definedName name="mg01s.Predicted" localSheetId="19">'RES_pt-PT'!$B$118</definedName>
    <definedName name="mg01s.Predicted" localSheetId="20">'RES_ro-RO'!$B$118</definedName>
    <definedName name="mg01s.Predicted" localSheetId="21">'RES_ru-RU'!$B$118</definedName>
    <definedName name="mg01s.Predicted" localSheetId="22">'RES_sl-SI'!$B$118</definedName>
    <definedName name="mg01s.Predicted" localSheetId="23">'RES_sv-SE'!$B$118</definedName>
    <definedName name="mg01s.Predicted" localSheetId="24">'RES_tr-TR'!$B$118</definedName>
    <definedName name="mg01s.Predicted" localSheetId="25">'RES_zh-CN'!$B$118</definedName>
    <definedName name="mg01s.Predicted" localSheetId="26">'RES_zh-TW'!$B$118</definedName>
    <definedName name="mg01s.PredictedY" localSheetId="3">'RES_cs-CZ'!$B$119</definedName>
    <definedName name="mg01s.PredictedY" localSheetId="4">'RES_da-DK'!$B$119</definedName>
    <definedName name="mg01s.PredictedY" localSheetId="5">'RES_de-DE'!$B$119</definedName>
    <definedName name="mg01s.PredictedY" localSheetId="6">'RES_el-GR'!$B$119</definedName>
    <definedName name="mg01s.PredictedY" localSheetId="2">'RES_en-US'!$B$119</definedName>
    <definedName name="mg01s.PredictedY" localSheetId="7">'RES_es-ES'!$B$119</definedName>
    <definedName name="mg01s.PredictedY" localSheetId="8">'RES_fi-FI'!$B$119</definedName>
    <definedName name="mg01s.PredictedY" localSheetId="1">'RES_fr-FR'!$B$119</definedName>
    <definedName name="mg01s.PredictedY" localSheetId="9">'RES_hr-HR'!$B$119</definedName>
    <definedName name="mg01s.PredictedY" localSheetId="10">'RES_hu-HU'!$B$119</definedName>
    <definedName name="mg01s.PredictedY" localSheetId="11">'RES_it-IT'!$B$119</definedName>
    <definedName name="mg01s.PredictedY" localSheetId="12">'RES_ja-JP'!$B$119</definedName>
    <definedName name="mg01s.PredictedY" localSheetId="13">'RES_ko-KR'!$B$119</definedName>
    <definedName name="mg01s.PredictedY" localSheetId="14">'RES_lv-LV'!$B$119</definedName>
    <definedName name="mg01s.PredictedY" localSheetId="15">'RES_nb-NO'!$B$119</definedName>
    <definedName name="mg01s.PredictedY" localSheetId="16">'RES_nl-NL'!$B$119</definedName>
    <definedName name="mg01s.PredictedY" localSheetId="17">'RES_pl-PL'!$B$119</definedName>
    <definedName name="mg01s.PredictedY" localSheetId="18">'RES_pt-BR'!$B$119</definedName>
    <definedName name="mg01s.PredictedY" localSheetId="19">'RES_pt-PT'!$B$119</definedName>
    <definedName name="mg01s.PredictedY" localSheetId="20">'RES_ro-RO'!$B$119</definedName>
    <definedName name="mg01s.PredictedY" localSheetId="21">'RES_ru-RU'!$B$119</definedName>
    <definedName name="mg01s.PredictedY" localSheetId="22">'RES_sl-SI'!$B$119</definedName>
    <definedName name="mg01s.PredictedY" localSheetId="23">'RES_sv-SE'!$B$119</definedName>
    <definedName name="mg01s.PredictedY" localSheetId="24">'RES_tr-TR'!$B$119</definedName>
    <definedName name="mg01s.PredictedY" localSheetId="25">'RES_zh-CN'!$B$119</definedName>
    <definedName name="mg01s.PredictedY" localSheetId="26">'RES_zh-TW'!$B$119</definedName>
    <definedName name="mg01s.ProbChartTitle" localSheetId="3">'RES_cs-CZ'!$B$140</definedName>
    <definedName name="mg01s.ProbChartTitle" localSheetId="4">'RES_da-DK'!$B$140</definedName>
    <definedName name="mg01s.ProbChartTitle" localSheetId="5">'RES_de-DE'!$B$140</definedName>
    <definedName name="mg01s.ProbChartTitle" localSheetId="6">'RES_el-GR'!$B$140</definedName>
    <definedName name="mg01s.ProbChartTitle" localSheetId="2">'RES_en-US'!$B$140</definedName>
    <definedName name="mg01s.ProbChartTitle" localSheetId="7">'RES_es-ES'!$B$140</definedName>
    <definedName name="mg01s.ProbChartTitle" localSheetId="8">'RES_fi-FI'!$B$140</definedName>
    <definedName name="mg01s.ProbChartTitle" localSheetId="1">'RES_fr-FR'!$B$140</definedName>
    <definedName name="mg01s.ProbChartTitle" localSheetId="9">'RES_hr-HR'!$B$140</definedName>
    <definedName name="mg01s.ProbChartTitle" localSheetId="10">'RES_hu-HU'!$B$140</definedName>
    <definedName name="mg01s.ProbChartTitle" localSheetId="11">'RES_it-IT'!$B$140</definedName>
    <definedName name="mg01s.ProbChartTitle" localSheetId="12">'RES_ja-JP'!$B$140</definedName>
    <definedName name="mg01s.ProbChartTitle" localSheetId="13">'RES_ko-KR'!$B$140</definedName>
    <definedName name="mg01s.ProbChartTitle" localSheetId="14">'RES_lv-LV'!$B$140</definedName>
    <definedName name="mg01s.ProbChartTitle" localSheetId="15">'RES_nb-NO'!$B$140</definedName>
    <definedName name="mg01s.ProbChartTitle" localSheetId="16">'RES_nl-NL'!$B$140</definedName>
    <definedName name="mg01s.ProbChartTitle" localSheetId="17">'RES_pl-PL'!$B$140</definedName>
    <definedName name="mg01s.ProbChartTitle" localSheetId="18">'RES_pt-BR'!$B$140</definedName>
    <definedName name="mg01s.ProbChartTitle" localSheetId="19">'RES_pt-PT'!$B$140</definedName>
    <definedName name="mg01s.ProbChartTitle" localSheetId="20">'RES_ro-RO'!$B$140</definedName>
    <definedName name="mg01s.ProbChartTitle" localSheetId="21">'RES_ru-RU'!$B$140</definedName>
    <definedName name="mg01s.ProbChartTitle" localSheetId="22">'RES_sl-SI'!$B$140</definedName>
    <definedName name="mg01s.ProbChartTitle" localSheetId="23">'RES_sv-SE'!$B$140</definedName>
    <definedName name="mg01s.ProbChartTitle" localSheetId="24">'RES_tr-TR'!$B$140</definedName>
    <definedName name="mg01s.ProbChartTitle" localSheetId="25">'RES_zh-CN'!$B$140</definedName>
    <definedName name="mg01s.ProbChartTitle" localSheetId="26">'RES_zh-TW'!$B$140</definedName>
    <definedName name="mg01s.ProbOut" localSheetId="3">'RES_cs-CZ'!$B$121</definedName>
    <definedName name="mg01s.ProbOut" localSheetId="4">'RES_da-DK'!$B$121</definedName>
    <definedName name="mg01s.ProbOut" localSheetId="5">'RES_de-DE'!$B$121</definedName>
    <definedName name="mg01s.ProbOut" localSheetId="6">'RES_el-GR'!$B$121</definedName>
    <definedName name="mg01s.ProbOut" localSheetId="2">'RES_en-US'!$B$121</definedName>
    <definedName name="mg01s.ProbOut" localSheetId="7">'RES_es-ES'!$B$121</definedName>
    <definedName name="mg01s.ProbOut" localSheetId="8">'RES_fi-FI'!$B$121</definedName>
    <definedName name="mg01s.ProbOut" localSheetId="1">'RES_fr-FR'!$B$121</definedName>
    <definedName name="mg01s.ProbOut" localSheetId="9">'RES_hr-HR'!$B$121</definedName>
    <definedName name="mg01s.ProbOut" localSheetId="10">'RES_hu-HU'!$B$121</definedName>
    <definedName name="mg01s.ProbOut" localSheetId="11">'RES_it-IT'!$B$121</definedName>
    <definedName name="mg01s.ProbOut" localSheetId="12">'RES_ja-JP'!$B$121</definedName>
    <definedName name="mg01s.ProbOut" localSheetId="13">'RES_ko-KR'!$B$121</definedName>
    <definedName name="mg01s.ProbOut" localSheetId="14">'RES_lv-LV'!$B$121</definedName>
    <definedName name="mg01s.ProbOut" localSheetId="15">'RES_nb-NO'!$B$121</definedName>
    <definedName name="mg01s.ProbOut" localSheetId="16">'RES_nl-NL'!$B$121</definedName>
    <definedName name="mg01s.ProbOut" localSheetId="17">'RES_pl-PL'!$B$121</definedName>
    <definedName name="mg01s.ProbOut" localSheetId="18">'RES_pt-BR'!$B$121</definedName>
    <definedName name="mg01s.ProbOut" localSheetId="19">'RES_pt-PT'!$B$121</definedName>
    <definedName name="mg01s.ProbOut" localSheetId="20">'RES_ro-RO'!$B$121</definedName>
    <definedName name="mg01s.ProbOut" localSheetId="21">'RES_ru-RU'!$B$121</definedName>
    <definedName name="mg01s.ProbOut" localSheetId="22">'RES_sl-SI'!$B$121</definedName>
    <definedName name="mg01s.ProbOut" localSheetId="23">'RES_sv-SE'!$B$121</definedName>
    <definedName name="mg01s.ProbOut" localSheetId="24">'RES_tr-TR'!$B$121</definedName>
    <definedName name="mg01s.ProbOut" localSheetId="25">'RES_zh-CN'!$B$121</definedName>
    <definedName name="mg01s.ProbOut" localSheetId="26">'RES_zh-TW'!$B$121</definedName>
    <definedName name="mg01s.PT1Tail" localSheetId="3">'RES_cs-CZ'!$B$88</definedName>
    <definedName name="mg01s.PT1Tail" localSheetId="4">'RES_da-DK'!$B$88</definedName>
    <definedName name="mg01s.PT1Tail" localSheetId="5">'RES_de-DE'!$B$88</definedName>
    <definedName name="mg01s.PT1Tail" localSheetId="6">'RES_el-GR'!$B$88</definedName>
    <definedName name="mg01s.PT1Tail" localSheetId="2">'RES_en-US'!$B$88</definedName>
    <definedName name="mg01s.PT1Tail" localSheetId="7">'RES_es-ES'!$B$88</definedName>
    <definedName name="mg01s.PT1Tail" localSheetId="8">'RES_fi-FI'!$B$88</definedName>
    <definedName name="mg01s.PT1Tail" localSheetId="1">'RES_fr-FR'!$B$88</definedName>
    <definedName name="mg01s.PT1Tail" localSheetId="9">'RES_hr-HR'!$B$88</definedName>
    <definedName name="mg01s.PT1Tail" localSheetId="10">'RES_hu-HU'!$B$88</definedName>
    <definedName name="mg01s.PT1Tail" localSheetId="11">'RES_it-IT'!$B$88</definedName>
    <definedName name="mg01s.PT1Tail" localSheetId="12">'RES_ja-JP'!$B$88</definedName>
    <definedName name="mg01s.PT1Tail" localSheetId="13">'RES_ko-KR'!$B$88</definedName>
    <definedName name="mg01s.PT1Tail" localSheetId="14">'RES_lv-LV'!$B$88</definedName>
    <definedName name="mg01s.PT1Tail" localSheetId="15">'RES_nb-NO'!$B$88</definedName>
    <definedName name="mg01s.PT1Tail" localSheetId="16">'RES_nl-NL'!$B$88</definedName>
    <definedName name="mg01s.PT1Tail" localSheetId="17">'RES_pl-PL'!$B$88</definedName>
    <definedName name="mg01s.PT1Tail" localSheetId="18">'RES_pt-BR'!$B$88</definedName>
    <definedName name="mg01s.PT1Tail" localSheetId="19">'RES_pt-PT'!$B$88</definedName>
    <definedName name="mg01s.PT1Tail" localSheetId="20">'RES_ro-RO'!$B$88</definedName>
    <definedName name="mg01s.PT1Tail" localSheetId="21">'RES_ru-RU'!$B$88</definedName>
    <definedName name="mg01s.PT1Tail" localSheetId="22">'RES_sl-SI'!$B$88</definedName>
    <definedName name="mg01s.PT1Tail" localSheetId="23">'RES_sv-SE'!$B$88</definedName>
    <definedName name="mg01s.PT1Tail" localSheetId="24">'RES_tr-TR'!$B$88</definedName>
    <definedName name="mg01s.PT1Tail" localSheetId="25">'RES_zh-CN'!$B$88</definedName>
    <definedName name="mg01s.PT1Tail" localSheetId="26">'RES_zh-TW'!$B$88</definedName>
    <definedName name="mg01s.PT2Tail" localSheetId="3">'RES_cs-CZ'!$B$89</definedName>
    <definedName name="mg01s.PT2Tail" localSheetId="4">'RES_da-DK'!$B$89</definedName>
    <definedName name="mg01s.PT2Tail" localSheetId="5">'RES_de-DE'!$B$89</definedName>
    <definedName name="mg01s.PT2Tail" localSheetId="6">'RES_el-GR'!$B$89</definedName>
    <definedName name="mg01s.PT2Tail" localSheetId="2">'RES_en-US'!$B$89</definedName>
    <definedName name="mg01s.PT2Tail" localSheetId="7">'RES_es-ES'!$B$89</definedName>
    <definedName name="mg01s.PT2Tail" localSheetId="8">'RES_fi-FI'!$B$89</definedName>
    <definedName name="mg01s.PT2Tail" localSheetId="1">'RES_fr-FR'!$B$89</definedName>
    <definedName name="mg01s.PT2Tail" localSheetId="9">'RES_hr-HR'!$B$89</definedName>
    <definedName name="mg01s.PT2Tail" localSheetId="10">'RES_hu-HU'!$B$89</definedName>
    <definedName name="mg01s.PT2Tail" localSheetId="11">'RES_it-IT'!$B$89</definedName>
    <definedName name="mg01s.PT2Tail" localSheetId="12">'RES_ja-JP'!$B$89</definedName>
    <definedName name="mg01s.PT2Tail" localSheetId="13">'RES_ko-KR'!$B$89</definedName>
    <definedName name="mg01s.PT2Tail" localSheetId="14">'RES_lv-LV'!$B$89</definedName>
    <definedName name="mg01s.PT2Tail" localSheetId="15">'RES_nb-NO'!$B$89</definedName>
    <definedName name="mg01s.PT2Tail" localSheetId="16">'RES_nl-NL'!$B$89</definedName>
    <definedName name="mg01s.PT2Tail" localSheetId="17">'RES_pl-PL'!$B$89</definedName>
    <definedName name="mg01s.PT2Tail" localSheetId="18">'RES_pt-BR'!$B$89</definedName>
    <definedName name="mg01s.PT2Tail" localSheetId="19">'RES_pt-PT'!$B$89</definedName>
    <definedName name="mg01s.PT2Tail" localSheetId="20">'RES_ro-RO'!$B$89</definedName>
    <definedName name="mg01s.PT2Tail" localSheetId="21">'RES_ru-RU'!$B$89</definedName>
    <definedName name="mg01s.PT2Tail" localSheetId="22">'RES_sl-SI'!$B$89</definedName>
    <definedName name="mg01s.PT2Tail" localSheetId="23">'RES_sv-SE'!$B$89</definedName>
    <definedName name="mg01s.PT2Tail" localSheetId="24">'RES_tr-TR'!$B$89</definedName>
    <definedName name="mg01s.PT2Tail" localSheetId="25">'RES_zh-CN'!$B$89</definedName>
    <definedName name="mg01s.PT2Tail" localSheetId="26">'RES_zh-TW'!$B$89</definedName>
    <definedName name="mg01s.PVal" localSheetId="3">'RES_cs-CZ'!$B$37</definedName>
    <definedName name="mg01s.PVal" localSheetId="4">'RES_da-DK'!$B$37</definedName>
    <definedName name="mg01s.PVal" localSheetId="5">'RES_de-DE'!$B$37</definedName>
    <definedName name="mg01s.PVal" localSheetId="6">'RES_el-GR'!$B$37</definedName>
    <definedName name="mg01s.PVal" localSheetId="2">'RES_en-US'!$B$37</definedName>
    <definedName name="mg01s.PVal" localSheetId="7">'RES_es-ES'!$B$37</definedName>
    <definedName name="mg01s.PVal" localSheetId="8">'RES_fi-FI'!$B$37</definedName>
    <definedName name="mg01s.PVal" localSheetId="1">'RES_fr-FR'!$B$37</definedName>
    <definedName name="mg01s.PVal" localSheetId="9">'RES_hr-HR'!$B$37</definedName>
    <definedName name="mg01s.PVal" localSheetId="10">'RES_hu-HU'!$B$37</definedName>
    <definedName name="mg01s.PVal" localSheetId="11">'RES_it-IT'!$B$37</definedName>
    <definedName name="mg01s.PVal" localSheetId="12">'RES_ja-JP'!$B$37</definedName>
    <definedName name="mg01s.PVal" localSheetId="13">'RES_ko-KR'!$B$37</definedName>
    <definedName name="mg01s.PVal" localSheetId="14">'RES_lv-LV'!$B$37</definedName>
    <definedName name="mg01s.PVal" localSheetId="15">'RES_nb-NO'!$B$37</definedName>
    <definedName name="mg01s.PVal" localSheetId="16">'RES_nl-NL'!$B$37</definedName>
    <definedName name="mg01s.PVal" localSheetId="17">'RES_pl-PL'!$B$37</definedName>
    <definedName name="mg01s.PVal" localSheetId="18">'RES_pt-BR'!$B$37</definedName>
    <definedName name="mg01s.PVal" localSheetId="19">'RES_pt-PT'!$B$37</definedName>
    <definedName name="mg01s.PVal" localSheetId="20">'RES_ro-RO'!$B$37</definedName>
    <definedName name="mg01s.PVal" localSheetId="21">'RES_ru-RU'!$B$37</definedName>
    <definedName name="mg01s.PVal" localSheetId="22">'RES_sl-SI'!$B$37</definedName>
    <definedName name="mg01s.PVal" localSheetId="23">'RES_sv-SE'!$B$37</definedName>
    <definedName name="mg01s.PVal" localSheetId="24">'RES_tr-TR'!$B$37</definedName>
    <definedName name="mg01s.PVal" localSheetId="25">'RES_zh-CN'!$B$37</definedName>
    <definedName name="mg01s.PVal" localSheetId="26">'RES_zh-TW'!$B$37</definedName>
    <definedName name="mg01s.RandBernoulli" localSheetId="3">'RES_cs-CZ'!$B$110</definedName>
    <definedName name="mg01s.RandBernoulli" localSheetId="4">'RES_da-DK'!$B$110</definedName>
    <definedName name="mg01s.RandBernoulli" localSheetId="5">'RES_de-DE'!$B$110</definedName>
    <definedName name="mg01s.RandBernoulli" localSheetId="6">'RES_el-GR'!$B$110</definedName>
    <definedName name="mg01s.RandBernoulli" localSheetId="2">'RES_en-US'!$B$110</definedName>
    <definedName name="mg01s.RandBernoulli" localSheetId="7">'RES_es-ES'!$B$110</definedName>
    <definedName name="mg01s.RandBernoulli" localSheetId="8">'RES_fi-FI'!$B$110</definedName>
    <definedName name="mg01s.RandBernoulli" localSheetId="1">'RES_fr-FR'!$B$110</definedName>
    <definedName name="mg01s.RandBernoulli" localSheetId="9">'RES_hr-HR'!$B$110</definedName>
    <definedName name="mg01s.RandBernoulli" localSheetId="10">'RES_hu-HU'!$B$110</definedName>
    <definedName name="mg01s.RandBernoulli" localSheetId="11">'RES_it-IT'!$B$110</definedName>
    <definedName name="mg01s.RandBernoulli" localSheetId="12">'RES_ja-JP'!$B$110</definedName>
    <definedName name="mg01s.RandBernoulli" localSheetId="13">'RES_ko-KR'!$B$110</definedName>
    <definedName name="mg01s.RandBernoulli" localSheetId="14">'RES_lv-LV'!$B$110</definedName>
    <definedName name="mg01s.RandBernoulli" localSheetId="15">'RES_nb-NO'!$B$110</definedName>
    <definedName name="mg01s.RandBernoulli" localSheetId="16">'RES_nl-NL'!$B$110</definedName>
    <definedName name="mg01s.RandBernoulli" localSheetId="17">'RES_pl-PL'!$B$110</definedName>
    <definedName name="mg01s.RandBernoulli" localSheetId="18">'RES_pt-BR'!$B$110</definedName>
    <definedName name="mg01s.RandBernoulli" localSheetId="19">'RES_pt-PT'!$B$110</definedName>
    <definedName name="mg01s.RandBernoulli" localSheetId="20">'RES_ro-RO'!$B$110</definedName>
    <definedName name="mg01s.RandBernoulli" localSheetId="21">'RES_ru-RU'!$B$110</definedName>
    <definedName name="mg01s.RandBernoulli" localSheetId="22">'RES_sl-SI'!$B$110</definedName>
    <definedName name="mg01s.RandBernoulli" localSheetId="23">'RES_sv-SE'!$B$110</definedName>
    <definedName name="mg01s.RandBernoulli" localSheetId="24">'RES_tr-TR'!$B$110</definedName>
    <definedName name="mg01s.RandBernoulli" localSheetId="25">'RES_zh-CN'!$B$110</definedName>
    <definedName name="mg01s.RandBernoulli" localSheetId="26">'RES_zh-TW'!$B$110</definedName>
    <definedName name="mg01s.RandBinomial" localSheetId="3">'RES_cs-CZ'!$B$111</definedName>
    <definedName name="mg01s.RandBinomial" localSheetId="4">'RES_da-DK'!$B$111</definedName>
    <definedName name="mg01s.RandBinomial" localSheetId="5">'RES_de-DE'!$B$111</definedName>
    <definedName name="mg01s.RandBinomial" localSheetId="6">'RES_el-GR'!$B$111</definedName>
    <definedName name="mg01s.RandBinomial" localSheetId="2">'RES_en-US'!$B$111</definedName>
    <definedName name="mg01s.RandBinomial" localSheetId="7">'RES_es-ES'!$B$111</definedName>
    <definedName name="mg01s.RandBinomial" localSheetId="8">'RES_fi-FI'!$B$111</definedName>
    <definedName name="mg01s.RandBinomial" localSheetId="1">'RES_fr-FR'!$B$111</definedName>
    <definedName name="mg01s.RandBinomial" localSheetId="9">'RES_hr-HR'!$B$111</definedName>
    <definedName name="mg01s.RandBinomial" localSheetId="10">'RES_hu-HU'!$B$111</definedName>
    <definedName name="mg01s.RandBinomial" localSheetId="11">'RES_it-IT'!$B$111</definedName>
    <definedName name="mg01s.RandBinomial" localSheetId="12">'RES_ja-JP'!$B$111</definedName>
    <definedName name="mg01s.RandBinomial" localSheetId="13">'RES_ko-KR'!$B$111</definedName>
    <definedName name="mg01s.RandBinomial" localSheetId="14">'RES_lv-LV'!$B$111</definedName>
    <definedName name="mg01s.RandBinomial" localSheetId="15">'RES_nb-NO'!$B$111</definedName>
    <definedName name="mg01s.RandBinomial" localSheetId="16">'RES_nl-NL'!$B$111</definedName>
    <definedName name="mg01s.RandBinomial" localSheetId="17">'RES_pl-PL'!$B$111</definedName>
    <definedName name="mg01s.RandBinomial" localSheetId="18">'RES_pt-BR'!$B$111</definedName>
    <definedName name="mg01s.RandBinomial" localSheetId="19">'RES_pt-PT'!$B$111</definedName>
    <definedName name="mg01s.RandBinomial" localSheetId="20">'RES_ro-RO'!$B$111</definedName>
    <definedName name="mg01s.RandBinomial" localSheetId="21">'RES_ru-RU'!$B$111</definedName>
    <definedName name="mg01s.RandBinomial" localSheetId="22">'RES_sl-SI'!$B$111</definedName>
    <definedName name="mg01s.RandBinomial" localSheetId="23">'RES_sv-SE'!$B$111</definedName>
    <definedName name="mg01s.RandBinomial" localSheetId="24">'RES_tr-TR'!$B$111</definedName>
    <definedName name="mg01s.RandBinomial" localSheetId="25">'RES_zh-CN'!$B$111</definedName>
    <definedName name="mg01s.RandBinomial" localSheetId="26">'RES_zh-TW'!$B$111</definedName>
    <definedName name="mg01s.RandDiscrete" localSheetId="3">'RES_cs-CZ'!$B$114</definedName>
    <definedName name="mg01s.RandDiscrete" localSheetId="4">'RES_da-DK'!$B$114</definedName>
    <definedName name="mg01s.RandDiscrete" localSheetId="5">'RES_de-DE'!$B$114</definedName>
    <definedName name="mg01s.RandDiscrete" localSheetId="6">'RES_el-GR'!$B$114</definedName>
    <definedName name="mg01s.RandDiscrete" localSheetId="2">'RES_en-US'!$B$114</definedName>
    <definedName name="mg01s.RandDiscrete" localSheetId="7">'RES_es-ES'!$B$114</definedName>
    <definedName name="mg01s.RandDiscrete" localSheetId="8">'RES_fi-FI'!$B$114</definedName>
    <definedName name="mg01s.RandDiscrete" localSheetId="1">'RES_fr-FR'!$B$114</definedName>
    <definedName name="mg01s.RandDiscrete" localSheetId="9">'RES_hr-HR'!$B$114</definedName>
    <definedName name="mg01s.RandDiscrete" localSheetId="10">'RES_hu-HU'!$B$114</definedName>
    <definedName name="mg01s.RandDiscrete" localSheetId="11">'RES_it-IT'!$B$114</definedName>
    <definedName name="mg01s.RandDiscrete" localSheetId="12">'RES_ja-JP'!$B$114</definedName>
    <definedName name="mg01s.RandDiscrete" localSheetId="13">'RES_ko-KR'!$B$114</definedName>
    <definedName name="mg01s.RandDiscrete" localSheetId="14">'RES_lv-LV'!$B$114</definedName>
    <definedName name="mg01s.RandDiscrete" localSheetId="15">'RES_nb-NO'!$B$114</definedName>
    <definedName name="mg01s.RandDiscrete" localSheetId="16">'RES_nl-NL'!$B$114</definedName>
    <definedName name="mg01s.RandDiscrete" localSheetId="17">'RES_pl-PL'!$B$114</definedName>
    <definedName name="mg01s.RandDiscrete" localSheetId="18">'RES_pt-BR'!$B$114</definedName>
    <definedName name="mg01s.RandDiscrete" localSheetId="19">'RES_pt-PT'!$B$114</definedName>
    <definedName name="mg01s.RandDiscrete" localSheetId="20">'RES_ro-RO'!$B$114</definedName>
    <definedName name="mg01s.RandDiscrete" localSheetId="21">'RES_ru-RU'!$B$114</definedName>
    <definedName name="mg01s.RandDiscrete" localSheetId="22">'RES_sl-SI'!$B$114</definedName>
    <definedName name="mg01s.RandDiscrete" localSheetId="23">'RES_sv-SE'!$B$114</definedName>
    <definedName name="mg01s.RandDiscrete" localSheetId="24">'RES_tr-TR'!$B$114</definedName>
    <definedName name="mg01s.RandDiscrete" localSheetId="25">'RES_zh-CN'!$B$114</definedName>
    <definedName name="mg01s.RandDiscrete" localSheetId="26">'RES_zh-TW'!$B$114</definedName>
    <definedName name="mg01s.RandNormal" localSheetId="3">'RES_cs-CZ'!$B$109</definedName>
    <definedName name="mg01s.RandNormal" localSheetId="4">'RES_da-DK'!$B$109</definedName>
    <definedName name="mg01s.RandNormal" localSheetId="5">'RES_de-DE'!$B$109</definedName>
    <definedName name="mg01s.RandNormal" localSheetId="6">'RES_el-GR'!$B$109</definedName>
    <definedName name="mg01s.RandNormal" localSheetId="2">'RES_en-US'!$B$109</definedName>
    <definedName name="mg01s.RandNormal" localSheetId="7">'RES_es-ES'!$B$109</definedName>
    <definedName name="mg01s.RandNormal" localSheetId="8">'RES_fi-FI'!$B$109</definedName>
    <definedName name="mg01s.RandNormal" localSheetId="1">'RES_fr-FR'!$B$109</definedName>
    <definedName name="mg01s.RandNormal" localSheetId="9">'RES_hr-HR'!$B$109</definedName>
    <definedName name="mg01s.RandNormal" localSheetId="10">'RES_hu-HU'!$B$109</definedName>
    <definedName name="mg01s.RandNormal" localSheetId="11">'RES_it-IT'!$B$109</definedName>
    <definedName name="mg01s.RandNormal" localSheetId="12">'RES_ja-JP'!$B$109</definedName>
    <definedName name="mg01s.RandNormal" localSheetId="13">'RES_ko-KR'!$B$109</definedName>
    <definedName name="mg01s.RandNormal" localSheetId="14">'RES_lv-LV'!$B$109</definedName>
    <definedName name="mg01s.RandNormal" localSheetId="15">'RES_nb-NO'!$B$109</definedName>
    <definedName name="mg01s.RandNormal" localSheetId="16">'RES_nl-NL'!$B$109</definedName>
    <definedName name="mg01s.RandNormal" localSheetId="17">'RES_pl-PL'!$B$109</definedName>
    <definedName name="mg01s.RandNormal" localSheetId="18">'RES_pt-BR'!$B$109</definedName>
    <definedName name="mg01s.RandNormal" localSheetId="19">'RES_pt-PT'!$B$109</definedName>
    <definedName name="mg01s.RandNormal" localSheetId="20">'RES_ro-RO'!$B$109</definedName>
    <definedName name="mg01s.RandNormal" localSheetId="21">'RES_ru-RU'!$B$109</definedName>
    <definedName name="mg01s.RandNormal" localSheetId="22">'RES_sl-SI'!$B$109</definedName>
    <definedName name="mg01s.RandNormal" localSheetId="23">'RES_sv-SE'!$B$109</definedName>
    <definedName name="mg01s.RandNormal" localSheetId="24">'RES_tr-TR'!$B$109</definedName>
    <definedName name="mg01s.RandNormal" localSheetId="25">'RES_zh-CN'!$B$109</definedName>
    <definedName name="mg01s.RandNormal" localSheetId="26">'RES_zh-TW'!$B$109</definedName>
    <definedName name="mg01s.RandNum" localSheetId="3">'RES_cs-CZ'!$B$107</definedName>
    <definedName name="mg01s.RandNum" localSheetId="4">'RES_da-DK'!$B$107</definedName>
    <definedName name="mg01s.RandNum" localSheetId="5">'RES_de-DE'!$B$107</definedName>
    <definedName name="mg01s.RandNum" localSheetId="6">'RES_el-GR'!$B$107</definedName>
    <definedName name="mg01s.RandNum" localSheetId="2">'RES_en-US'!$B$107</definedName>
    <definedName name="mg01s.RandNum" localSheetId="7">'RES_es-ES'!$B$107</definedName>
    <definedName name="mg01s.RandNum" localSheetId="8">'RES_fi-FI'!$B$107</definedName>
    <definedName name="mg01s.RandNum" localSheetId="1">'RES_fr-FR'!$B$107</definedName>
    <definedName name="mg01s.RandNum" localSheetId="9">'RES_hr-HR'!$B$107</definedName>
    <definedName name="mg01s.RandNum" localSheetId="10">'RES_hu-HU'!$B$107</definedName>
    <definedName name="mg01s.RandNum" localSheetId="11">'RES_it-IT'!$B$107</definedName>
    <definedName name="mg01s.RandNum" localSheetId="12">'RES_ja-JP'!$B$107</definedName>
    <definedName name="mg01s.RandNum" localSheetId="13">'RES_ko-KR'!$B$107</definedName>
    <definedName name="mg01s.RandNum" localSheetId="14">'RES_lv-LV'!$B$107</definedName>
    <definedName name="mg01s.RandNum" localSheetId="15">'RES_nb-NO'!$B$107</definedName>
    <definedName name="mg01s.RandNum" localSheetId="16">'RES_nl-NL'!$B$107</definedName>
    <definedName name="mg01s.RandNum" localSheetId="17">'RES_pl-PL'!$B$107</definedName>
    <definedName name="mg01s.RandNum" localSheetId="18">'RES_pt-BR'!$B$107</definedName>
    <definedName name="mg01s.RandNum" localSheetId="19">'RES_pt-PT'!$B$107</definedName>
    <definedName name="mg01s.RandNum" localSheetId="20">'RES_ro-RO'!$B$107</definedName>
    <definedName name="mg01s.RandNum" localSheetId="21">'RES_ru-RU'!$B$107</definedName>
    <definedName name="mg01s.RandNum" localSheetId="22">'RES_sl-SI'!$B$107</definedName>
    <definedName name="mg01s.RandNum" localSheetId="23">'RES_sv-SE'!$B$107</definedName>
    <definedName name="mg01s.RandNum" localSheetId="24">'RES_tr-TR'!$B$107</definedName>
    <definedName name="mg01s.RandNum" localSheetId="25">'RES_zh-CN'!$B$107</definedName>
    <definedName name="mg01s.RandNum" localSheetId="26">'RES_zh-TW'!$B$107</definedName>
    <definedName name="mg01s.RandPatterned" localSheetId="3">'RES_cs-CZ'!$B$113</definedName>
    <definedName name="mg01s.RandPatterned" localSheetId="4">'RES_da-DK'!$B$113</definedName>
    <definedName name="mg01s.RandPatterned" localSheetId="5">'RES_de-DE'!$B$113</definedName>
    <definedName name="mg01s.RandPatterned" localSheetId="6">'RES_el-GR'!$B$113</definedName>
    <definedName name="mg01s.RandPatterned" localSheetId="2">'RES_en-US'!$B$113</definedName>
    <definedName name="mg01s.RandPatterned" localSheetId="7">'RES_es-ES'!$B$113</definedName>
    <definedName name="mg01s.RandPatterned" localSheetId="8">'RES_fi-FI'!$B$113</definedName>
    <definedName name="mg01s.RandPatterned" localSheetId="1">'RES_fr-FR'!$B$113</definedName>
    <definedName name="mg01s.RandPatterned" localSheetId="9">'RES_hr-HR'!$B$113</definedName>
    <definedName name="mg01s.RandPatterned" localSheetId="10">'RES_hu-HU'!$B$113</definedName>
    <definedName name="mg01s.RandPatterned" localSheetId="11">'RES_it-IT'!$B$113</definedName>
    <definedName name="mg01s.RandPatterned" localSheetId="12">'RES_ja-JP'!$B$113</definedName>
    <definedName name="mg01s.RandPatterned" localSheetId="13">'RES_ko-KR'!$B$113</definedName>
    <definedName name="mg01s.RandPatterned" localSheetId="14">'RES_lv-LV'!$B$113</definedName>
    <definedName name="mg01s.RandPatterned" localSheetId="15">'RES_nb-NO'!$B$113</definedName>
    <definedName name="mg01s.RandPatterned" localSheetId="16">'RES_nl-NL'!$B$113</definedName>
    <definedName name="mg01s.RandPatterned" localSheetId="17">'RES_pl-PL'!$B$113</definedName>
    <definedName name="mg01s.RandPatterned" localSheetId="18">'RES_pt-BR'!$B$113</definedName>
    <definedName name="mg01s.RandPatterned" localSheetId="19">'RES_pt-PT'!$B$113</definedName>
    <definedName name="mg01s.RandPatterned" localSheetId="20">'RES_ro-RO'!$B$113</definedName>
    <definedName name="mg01s.RandPatterned" localSheetId="21">'RES_ru-RU'!$B$113</definedName>
    <definedName name="mg01s.RandPatterned" localSheetId="22">'RES_sl-SI'!$B$113</definedName>
    <definedName name="mg01s.RandPatterned" localSheetId="23">'RES_sv-SE'!$B$113</definedName>
    <definedName name="mg01s.RandPatterned" localSheetId="24">'RES_tr-TR'!$B$113</definedName>
    <definedName name="mg01s.RandPatterned" localSheetId="25">'RES_zh-CN'!$B$113</definedName>
    <definedName name="mg01s.RandPatterned" localSheetId="26">'RES_zh-TW'!$B$113</definedName>
    <definedName name="mg01s.RandPoisson" localSheetId="3">'RES_cs-CZ'!$B$112</definedName>
    <definedName name="mg01s.RandPoisson" localSheetId="4">'RES_da-DK'!$B$112</definedName>
    <definedName name="mg01s.RandPoisson" localSheetId="5">'RES_de-DE'!$B$112</definedName>
    <definedName name="mg01s.RandPoisson" localSheetId="6">'RES_el-GR'!$B$112</definedName>
    <definedName name="mg01s.RandPoisson" localSheetId="2">'RES_en-US'!$B$112</definedName>
    <definedName name="mg01s.RandPoisson" localSheetId="7">'RES_es-ES'!$B$112</definedName>
    <definedName name="mg01s.RandPoisson" localSheetId="8">'RES_fi-FI'!$B$112</definedName>
    <definedName name="mg01s.RandPoisson" localSheetId="1">'RES_fr-FR'!$B$112</definedName>
    <definedName name="mg01s.RandPoisson" localSheetId="9">'RES_hr-HR'!$B$112</definedName>
    <definedName name="mg01s.RandPoisson" localSheetId="10">'RES_hu-HU'!$B$112</definedName>
    <definedName name="mg01s.RandPoisson" localSheetId="11">'RES_it-IT'!$B$112</definedName>
    <definedName name="mg01s.RandPoisson" localSheetId="12">'RES_ja-JP'!$B$112</definedName>
    <definedName name="mg01s.RandPoisson" localSheetId="13">'RES_ko-KR'!$B$112</definedName>
    <definedName name="mg01s.RandPoisson" localSheetId="14">'RES_lv-LV'!$B$112</definedName>
    <definedName name="mg01s.RandPoisson" localSheetId="15">'RES_nb-NO'!$B$112</definedName>
    <definedName name="mg01s.RandPoisson" localSheetId="16">'RES_nl-NL'!$B$112</definedName>
    <definedName name="mg01s.RandPoisson" localSheetId="17">'RES_pl-PL'!$B$112</definedName>
    <definedName name="mg01s.RandPoisson" localSheetId="18">'RES_pt-BR'!$B$112</definedName>
    <definedName name="mg01s.RandPoisson" localSheetId="19">'RES_pt-PT'!$B$112</definedName>
    <definedName name="mg01s.RandPoisson" localSheetId="20">'RES_ro-RO'!$B$112</definedName>
    <definedName name="mg01s.RandPoisson" localSheetId="21">'RES_ru-RU'!$B$112</definedName>
    <definedName name="mg01s.RandPoisson" localSheetId="22">'RES_sl-SI'!$B$112</definedName>
    <definedName name="mg01s.RandPoisson" localSheetId="23">'RES_sv-SE'!$B$112</definedName>
    <definedName name="mg01s.RandPoisson" localSheetId="24">'RES_tr-TR'!$B$112</definedName>
    <definedName name="mg01s.RandPoisson" localSheetId="25">'RES_zh-CN'!$B$112</definedName>
    <definedName name="mg01s.RandPoisson" localSheetId="26">'RES_zh-TW'!$B$112</definedName>
    <definedName name="mg01s.RandUniform" localSheetId="3">'RES_cs-CZ'!$B$108</definedName>
    <definedName name="mg01s.RandUniform" localSheetId="4">'RES_da-DK'!$B$108</definedName>
    <definedName name="mg01s.RandUniform" localSheetId="5">'RES_de-DE'!$B$108</definedName>
    <definedName name="mg01s.RandUniform" localSheetId="6">'RES_el-GR'!$B$108</definedName>
    <definedName name="mg01s.RandUniform" localSheetId="2">'RES_en-US'!$B$108</definedName>
    <definedName name="mg01s.RandUniform" localSheetId="7">'RES_es-ES'!$B$108</definedName>
    <definedName name="mg01s.RandUniform" localSheetId="8">'RES_fi-FI'!$B$108</definedName>
    <definedName name="mg01s.RandUniform" localSheetId="1">'RES_fr-FR'!$B$108</definedName>
    <definedName name="mg01s.RandUniform" localSheetId="9">'RES_hr-HR'!$B$108</definedName>
    <definedName name="mg01s.RandUniform" localSheetId="10">'RES_hu-HU'!$B$108</definedName>
    <definedName name="mg01s.RandUniform" localSheetId="11">'RES_it-IT'!$B$108</definedName>
    <definedName name="mg01s.RandUniform" localSheetId="12">'RES_ja-JP'!$B$108</definedName>
    <definedName name="mg01s.RandUniform" localSheetId="13">'RES_ko-KR'!$B$108</definedName>
    <definedName name="mg01s.RandUniform" localSheetId="14">'RES_lv-LV'!$B$108</definedName>
    <definedName name="mg01s.RandUniform" localSheetId="15">'RES_nb-NO'!$B$108</definedName>
    <definedName name="mg01s.RandUniform" localSheetId="16">'RES_nl-NL'!$B$108</definedName>
    <definedName name="mg01s.RandUniform" localSheetId="17">'RES_pl-PL'!$B$108</definedName>
    <definedName name="mg01s.RandUniform" localSheetId="18">'RES_pt-BR'!$B$108</definedName>
    <definedName name="mg01s.RandUniform" localSheetId="19">'RES_pt-PT'!$B$108</definedName>
    <definedName name="mg01s.RandUniform" localSheetId="20">'RES_ro-RO'!$B$108</definedName>
    <definedName name="mg01s.RandUniform" localSheetId="21">'RES_ru-RU'!$B$108</definedName>
    <definedName name="mg01s.RandUniform" localSheetId="22">'RES_sl-SI'!$B$108</definedName>
    <definedName name="mg01s.RandUniform" localSheetId="23">'RES_sv-SE'!$B$108</definedName>
    <definedName name="mg01s.RandUniform" localSheetId="24">'RES_tr-TR'!$B$108</definedName>
    <definedName name="mg01s.RandUniform" localSheetId="25">'RES_zh-CN'!$B$108</definedName>
    <definedName name="mg01s.RandUniform" localSheetId="26">'RES_zh-TW'!$B$108</definedName>
    <definedName name="mg01s.Range" localSheetId="3">'RES_cs-CZ'!$B$58</definedName>
    <definedName name="mg01s.Range" localSheetId="4">'RES_da-DK'!$B$58</definedName>
    <definedName name="mg01s.Range" localSheetId="5">'RES_de-DE'!$B$58</definedName>
    <definedName name="mg01s.Range" localSheetId="6">'RES_el-GR'!$B$58</definedName>
    <definedName name="mg01s.Range" localSheetId="2">'RES_en-US'!$B$58</definedName>
    <definedName name="mg01s.Range" localSheetId="7">'RES_es-ES'!$B$58</definedName>
    <definedName name="mg01s.Range" localSheetId="8">'RES_fi-FI'!$B$58</definedName>
    <definedName name="mg01s.Range" localSheetId="1">'RES_fr-FR'!$B$58</definedName>
    <definedName name="mg01s.Range" localSheetId="9">'RES_hr-HR'!$B$58</definedName>
    <definedName name="mg01s.Range" localSheetId="10">'RES_hu-HU'!$B$58</definedName>
    <definedName name="mg01s.Range" localSheetId="11">'RES_it-IT'!$B$58</definedName>
    <definedName name="mg01s.Range" localSheetId="12">'RES_ja-JP'!$B$58</definedName>
    <definedName name="mg01s.Range" localSheetId="13">'RES_ko-KR'!$B$58</definedName>
    <definedName name="mg01s.Range" localSheetId="14">'RES_lv-LV'!$B$58</definedName>
    <definedName name="mg01s.Range" localSheetId="15">'RES_nb-NO'!$B$58</definedName>
    <definedName name="mg01s.Range" localSheetId="16">'RES_nl-NL'!$B$58</definedName>
    <definedName name="mg01s.Range" localSheetId="17">'RES_pl-PL'!$B$58</definedName>
    <definedName name="mg01s.Range" localSheetId="18">'RES_pt-BR'!$B$58</definedName>
    <definedName name="mg01s.Range" localSheetId="19">'RES_pt-PT'!$B$58</definedName>
    <definedName name="mg01s.Range" localSheetId="20">'RES_ro-RO'!$B$58</definedName>
    <definedName name="mg01s.Range" localSheetId="21">'RES_ru-RU'!$B$58</definedName>
    <definedName name="mg01s.Range" localSheetId="22">'RES_sl-SI'!$B$58</definedName>
    <definedName name="mg01s.Range" localSheetId="23">'RES_sv-SE'!$B$58</definedName>
    <definedName name="mg01s.Range" localSheetId="24">'RES_tr-TR'!$B$58</definedName>
    <definedName name="mg01s.Range" localSheetId="25">'RES_zh-CN'!$B$58</definedName>
    <definedName name="mg01s.Range" localSheetId="26">'RES_zh-TW'!$B$58</definedName>
    <definedName name="mg01s.Rank" localSheetId="3">'RES_cs-CZ'!$B$103</definedName>
    <definedName name="mg01s.Rank" localSheetId="4">'RES_da-DK'!$B$103</definedName>
    <definedName name="mg01s.Rank" localSheetId="5">'RES_de-DE'!$B$103</definedName>
    <definedName name="mg01s.Rank" localSheetId="6">'RES_el-GR'!$B$103</definedName>
    <definedName name="mg01s.Rank" localSheetId="2">'RES_en-US'!$B$103</definedName>
    <definedName name="mg01s.Rank" localSheetId="7">'RES_es-ES'!$B$103</definedName>
    <definedName name="mg01s.Rank" localSheetId="8">'RES_fi-FI'!$B$103</definedName>
    <definedName name="mg01s.Rank" localSheetId="1">'RES_fr-FR'!$B$103</definedName>
    <definedName name="mg01s.Rank" localSheetId="9">'RES_hr-HR'!$B$103</definedName>
    <definedName name="mg01s.Rank" localSheetId="10">'RES_hu-HU'!$B$103</definedName>
    <definedName name="mg01s.Rank" localSheetId="11">'RES_it-IT'!$B$103</definedName>
    <definedName name="mg01s.Rank" localSheetId="12">'RES_ja-JP'!$B$103</definedName>
    <definedName name="mg01s.Rank" localSheetId="13">'RES_ko-KR'!$B$103</definedName>
    <definedName name="mg01s.Rank" localSheetId="14">'RES_lv-LV'!$B$103</definedName>
    <definedName name="mg01s.Rank" localSheetId="15">'RES_nb-NO'!$B$103</definedName>
    <definedName name="mg01s.Rank" localSheetId="16">'RES_nl-NL'!$B$103</definedName>
    <definedName name="mg01s.Rank" localSheetId="17">'RES_pl-PL'!$B$103</definedName>
    <definedName name="mg01s.Rank" localSheetId="18">'RES_pt-BR'!$B$103</definedName>
    <definedName name="mg01s.Rank" localSheetId="19">'RES_pt-PT'!$B$103</definedName>
    <definedName name="mg01s.Rank" localSheetId="20">'RES_ro-RO'!$B$103</definedName>
    <definedName name="mg01s.Rank" localSheetId="21">'RES_ru-RU'!$B$103</definedName>
    <definedName name="mg01s.Rank" localSheetId="22">'RES_sl-SI'!$B$103</definedName>
    <definedName name="mg01s.Rank" localSheetId="23">'RES_sv-SE'!$B$103</definedName>
    <definedName name="mg01s.Rank" localSheetId="24">'RES_tr-TR'!$B$103</definedName>
    <definedName name="mg01s.Rank" localSheetId="25">'RES_zh-CN'!$B$103</definedName>
    <definedName name="mg01s.Rank" localSheetId="26">'RES_zh-TW'!$B$103</definedName>
    <definedName name="mg01s.RankPer" localSheetId="3">'RES_cs-CZ'!$B$102</definedName>
    <definedName name="mg01s.RankPer" localSheetId="4">'RES_da-DK'!$B$102</definedName>
    <definedName name="mg01s.RankPer" localSheetId="5">'RES_de-DE'!$B$102</definedName>
    <definedName name="mg01s.RankPer" localSheetId="6">'RES_el-GR'!$B$102</definedName>
    <definedName name="mg01s.RankPer" localSheetId="2">'RES_en-US'!$B$102</definedName>
    <definedName name="mg01s.RankPer" localSheetId="7">'RES_es-ES'!$B$102</definedName>
    <definedName name="mg01s.RankPer" localSheetId="8">'RES_fi-FI'!$B$102</definedName>
    <definedName name="mg01s.RankPer" localSheetId="1">'RES_fr-FR'!$B$102</definedName>
    <definedName name="mg01s.RankPer" localSheetId="9">'RES_hr-HR'!$B$102</definedName>
    <definedName name="mg01s.RankPer" localSheetId="10">'RES_hu-HU'!$B$102</definedName>
    <definedName name="mg01s.RankPer" localSheetId="11">'RES_it-IT'!$B$102</definedName>
    <definedName name="mg01s.RankPer" localSheetId="12">'RES_ja-JP'!$B$102</definedName>
    <definedName name="mg01s.RankPer" localSheetId="13">'RES_ko-KR'!$B$102</definedName>
    <definedName name="mg01s.RankPer" localSheetId="14">'RES_lv-LV'!$B$102</definedName>
    <definedName name="mg01s.RankPer" localSheetId="15">'RES_nb-NO'!$B$102</definedName>
    <definedName name="mg01s.RankPer" localSheetId="16">'RES_nl-NL'!$B$102</definedName>
    <definedName name="mg01s.RankPer" localSheetId="17">'RES_pl-PL'!$B$102</definedName>
    <definedName name="mg01s.RankPer" localSheetId="18">'RES_pt-BR'!$B$102</definedName>
    <definedName name="mg01s.RankPer" localSheetId="19">'RES_pt-PT'!$B$102</definedName>
    <definedName name="mg01s.RankPer" localSheetId="20">'RES_ro-RO'!$B$102</definedName>
    <definedName name="mg01s.RankPer" localSheetId="21">'RES_ru-RU'!$B$102</definedName>
    <definedName name="mg01s.RankPer" localSheetId="22">'RES_sl-SI'!$B$102</definedName>
    <definedName name="mg01s.RankPer" localSheetId="23">'RES_sv-SE'!$B$102</definedName>
    <definedName name="mg01s.RankPer" localSheetId="24">'RES_tr-TR'!$B$102</definedName>
    <definedName name="mg01s.RankPer" localSheetId="25">'RES_zh-CN'!$B$102</definedName>
    <definedName name="mg01s.RankPer" localSheetId="26">'RES_zh-TW'!$B$102</definedName>
    <definedName name="mg01s.Regression" localSheetId="3">'RES_cs-CZ'!$B$115</definedName>
    <definedName name="mg01s.Regression" localSheetId="4">'RES_da-DK'!$B$115</definedName>
    <definedName name="mg01s.Regression" localSheetId="5">'RES_de-DE'!$B$115</definedName>
    <definedName name="mg01s.Regression" localSheetId="6">'RES_el-GR'!$B$115</definedName>
    <definedName name="mg01s.Regression" localSheetId="2">'RES_en-US'!$B$115</definedName>
    <definedName name="mg01s.Regression" localSheetId="7">'RES_es-ES'!$B$115</definedName>
    <definedName name="mg01s.Regression" localSheetId="8">'RES_fi-FI'!$B$115</definedName>
    <definedName name="mg01s.Regression" localSheetId="1">'RES_fr-FR'!$B$115</definedName>
    <definedName name="mg01s.Regression" localSheetId="9">'RES_hr-HR'!$B$115</definedName>
    <definedName name="mg01s.Regression" localSheetId="10">'RES_hu-HU'!$B$115</definedName>
    <definedName name="mg01s.Regression" localSheetId="11">'RES_it-IT'!$B$115</definedName>
    <definedName name="mg01s.Regression" localSheetId="12">'RES_ja-JP'!$B$115</definedName>
    <definedName name="mg01s.Regression" localSheetId="13">'RES_ko-KR'!$B$115</definedName>
    <definedName name="mg01s.Regression" localSheetId="14">'RES_lv-LV'!$B$115</definedName>
    <definedName name="mg01s.Regression" localSheetId="15">'RES_nb-NO'!$B$115</definedName>
    <definedName name="mg01s.Regression" localSheetId="16">'RES_nl-NL'!$B$115</definedName>
    <definedName name="mg01s.Regression" localSheetId="17">'RES_pl-PL'!$B$115</definedName>
    <definedName name="mg01s.Regression" localSheetId="18">'RES_pt-BR'!$B$115</definedName>
    <definedName name="mg01s.Regression" localSheetId="19">'RES_pt-PT'!$B$115</definedName>
    <definedName name="mg01s.Regression" localSheetId="20">'RES_ro-RO'!$B$115</definedName>
    <definedName name="mg01s.Regression" localSheetId="21">'RES_ru-RU'!$B$115</definedName>
    <definedName name="mg01s.Regression" localSheetId="22">'RES_sl-SI'!$B$115</definedName>
    <definedName name="mg01s.Regression" localSheetId="23">'RES_sv-SE'!$B$115</definedName>
    <definedName name="mg01s.Regression" localSheetId="24">'RES_tr-TR'!$B$115</definedName>
    <definedName name="mg01s.Regression" localSheetId="25">'RES_zh-CN'!$B$115</definedName>
    <definedName name="mg01s.Regression" localSheetId="26">'RES_zh-TW'!$B$115</definedName>
    <definedName name="mg01s.RegressStat" localSheetId="3">'RES_cs-CZ'!$B$125</definedName>
    <definedName name="mg01s.RegressStat" localSheetId="4">'RES_da-DK'!$B$125</definedName>
    <definedName name="mg01s.RegressStat" localSheetId="5">'RES_de-DE'!$B$125</definedName>
    <definedName name="mg01s.RegressStat" localSheetId="6">'RES_el-GR'!$B$125</definedName>
    <definedName name="mg01s.RegressStat" localSheetId="2">'RES_en-US'!$B$125</definedName>
    <definedName name="mg01s.RegressStat" localSheetId="7">'RES_es-ES'!$B$125</definedName>
    <definedName name="mg01s.RegressStat" localSheetId="8">'RES_fi-FI'!$B$125</definedName>
    <definedName name="mg01s.RegressStat" localSheetId="1">'RES_fr-FR'!$B$125</definedName>
    <definedName name="mg01s.RegressStat" localSheetId="9">'RES_hr-HR'!$B$125</definedName>
    <definedName name="mg01s.RegressStat" localSheetId="10">'RES_hu-HU'!$B$125</definedName>
    <definedName name="mg01s.RegressStat" localSheetId="11">'RES_it-IT'!$B$125</definedName>
    <definedName name="mg01s.RegressStat" localSheetId="12">'RES_ja-JP'!$B$125</definedName>
    <definedName name="mg01s.RegressStat" localSheetId="13">'RES_ko-KR'!$B$125</definedName>
    <definedName name="mg01s.RegressStat" localSheetId="14">'RES_lv-LV'!$B$125</definedName>
    <definedName name="mg01s.RegressStat" localSheetId="15">'RES_nb-NO'!$B$125</definedName>
    <definedName name="mg01s.RegressStat" localSheetId="16">'RES_nl-NL'!$B$125</definedName>
    <definedName name="mg01s.RegressStat" localSheetId="17">'RES_pl-PL'!$B$125</definedName>
    <definedName name="mg01s.RegressStat" localSheetId="18">'RES_pt-BR'!$B$125</definedName>
    <definedName name="mg01s.RegressStat" localSheetId="19">'RES_pt-PT'!$B$125</definedName>
    <definedName name="mg01s.RegressStat" localSheetId="20">'RES_ro-RO'!$B$125</definedName>
    <definedName name="mg01s.RegressStat" localSheetId="21">'RES_ru-RU'!$B$125</definedName>
    <definedName name="mg01s.RegressStat" localSheetId="22">'RES_sl-SI'!$B$125</definedName>
    <definedName name="mg01s.RegressStat" localSheetId="23">'RES_sv-SE'!$B$125</definedName>
    <definedName name="mg01s.RegressStat" localSheetId="24">'RES_tr-TR'!$B$125</definedName>
    <definedName name="mg01s.RegressStat" localSheetId="25">'RES_zh-CN'!$B$125</definedName>
    <definedName name="mg01s.RegressStat" localSheetId="26">'RES_zh-TW'!$B$125</definedName>
    <definedName name="mg01s.Resid" localSheetId="3">'RES_cs-CZ'!$B$129</definedName>
    <definedName name="mg01s.Resid" localSheetId="4">'RES_da-DK'!$B$129</definedName>
    <definedName name="mg01s.Resid" localSheetId="5">'RES_de-DE'!$B$129</definedName>
    <definedName name="mg01s.Resid" localSheetId="6">'RES_el-GR'!$B$129</definedName>
    <definedName name="mg01s.Resid" localSheetId="2">'RES_en-US'!$B$129</definedName>
    <definedName name="mg01s.Resid" localSheetId="7">'RES_es-ES'!$B$129</definedName>
    <definedName name="mg01s.Resid" localSheetId="8">'RES_fi-FI'!$B$129</definedName>
    <definedName name="mg01s.Resid" localSheetId="1">'RES_fr-FR'!$B$129</definedName>
    <definedName name="mg01s.Resid" localSheetId="9">'RES_hr-HR'!$B$129</definedName>
    <definedName name="mg01s.Resid" localSheetId="10">'RES_hu-HU'!$B$129</definedName>
    <definedName name="mg01s.Resid" localSheetId="11">'RES_it-IT'!$B$129</definedName>
    <definedName name="mg01s.Resid" localSheetId="12">'RES_ja-JP'!$B$129</definedName>
    <definedName name="mg01s.Resid" localSheetId="13">'RES_ko-KR'!$B$129</definedName>
    <definedName name="mg01s.Resid" localSheetId="14">'RES_lv-LV'!$B$129</definedName>
    <definedName name="mg01s.Resid" localSheetId="15">'RES_nb-NO'!$B$129</definedName>
    <definedName name="mg01s.Resid" localSheetId="16">'RES_nl-NL'!$B$129</definedName>
    <definedName name="mg01s.Resid" localSheetId="17">'RES_pl-PL'!$B$129</definedName>
    <definedName name="mg01s.Resid" localSheetId="18">'RES_pt-BR'!$B$129</definedName>
    <definedName name="mg01s.Resid" localSheetId="19">'RES_pt-PT'!$B$129</definedName>
    <definedName name="mg01s.Resid" localSheetId="20">'RES_ro-RO'!$B$129</definedName>
    <definedName name="mg01s.Resid" localSheetId="21">'RES_ru-RU'!$B$129</definedName>
    <definedName name="mg01s.Resid" localSheetId="22">'RES_sl-SI'!$B$129</definedName>
    <definedName name="mg01s.Resid" localSheetId="23">'RES_sv-SE'!$B$129</definedName>
    <definedName name="mg01s.Resid" localSheetId="24">'RES_tr-TR'!$B$129</definedName>
    <definedName name="mg01s.Resid" localSheetId="25">'RES_zh-CN'!$B$129</definedName>
    <definedName name="mg01s.Resid" localSheetId="26">'RES_zh-TW'!$B$129</definedName>
    <definedName name="mg01s.ResidChartTitle" localSheetId="3">'RES_cs-CZ'!$B$138</definedName>
    <definedName name="mg01s.ResidChartTitle" localSheetId="4">'RES_da-DK'!$B$138</definedName>
    <definedName name="mg01s.ResidChartTitle" localSheetId="5">'RES_de-DE'!$B$138</definedName>
    <definedName name="mg01s.ResidChartTitle" localSheetId="6">'RES_el-GR'!$B$138</definedName>
    <definedName name="mg01s.ResidChartTitle" localSheetId="2">'RES_en-US'!$B$138</definedName>
    <definedName name="mg01s.ResidChartTitle" localSheetId="7">'RES_es-ES'!$B$138</definedName>
    <definedName name="mg01s.ResidChartTitle" localSheetId="8">'RES_fi-FI'!$B$138</definedName>
    <definedName name="mg01s.ResidChartTitle" localSheetId="1">'RES_fr-FR'!$B$138</definedName>
    <definedName name="mg01s.ResidChartTitle" localSheetId="9">'RES_hr-HR'!$B$138</definedName>
    <definedName name="mg01s.ResidChartTitle" localSheetId="10">'RES_hu-HU'!$B$138</definedName>
    <definedName name="mg01s.ResidChartTitle" localSheetId="11">'RES_it-IT'!$B$138</definedName>
    <definedName name="mg01s.ResidChartTitle" localSheetId="12">'RES_ja-JP'!$B$138</definedName>
    <definedName name="mg01s.ResidChartTitle" localSheetId="13">'RES_ko-KR'!$B$138</definedName>
    <definedName name="mg01s.ResidChartTitle" localSheetId="14">'RES_lv-LV'!$B$138</definedName>
    <definedName name="mg01s.ResidChartTitle" localSheetId="15">'RES_nb-NO'!$B$138</definedName>
    <definedName name="mg01s.ResidChartTitle" localSheetId="16">'RES_nl-NL'!$B$138</definedName>
    <definedName name="mg01s.ResidChartTitle" localSheetId="17">'RES_pl-PL'!$B$138</definedName>
    <definedName name="mg01s.ResidChartTitle" localSheetId="18">'RES_pt-BR'!$B$138</definedName>
    <definedName name="mg01s.ResidChartTitle" localSheetId="19">'RES_pt-PT'!$B$138</definedName>
    <definedName name="mg01s.ResidChartTitle" localSheetId="20">'RES_ro-RO'!$B$138</definedName>
    <definedName name="mg01s.ResidChartTitle" localSheetId="21">'RES_ru-RU'!$B$138</definedName>
    <definedName name="mg01s.ResidChartTitle" localSheetId="22">'RES_sl-SI'!$B$138</definedName>
    <definedName name="mg01s.ResidChartTitle" localSheetId="23">'RES_sv-SE'!$B$138</definedName>
    <definedName name="mg01s.ResidChartTitle" localSheetId="24">'RES_tr-TR'!$B$138</definedName>
    <definedName name="mg01s.ResidChartTitle" localSheetId="25">'RES_zh-CN'!$B$138</definedName>
    <definedName name="mg01s.ResidChartTitle" localSheetId="26">'RES_zh-TW'!$B$138</definedName>
    <definedName name="mg01s.ResiOut" localSheetId="3">'RES_cs-CZ'!$B$116</definedName>
    <definedName name="mg01s.ResiOut" localSheetId="4">'RES_da-DK'!$B$116</definedName>
    <definedName name="mg01s.ResiOut" localSheetId="5">'RES_de-DE'!$B$116</definedName>
    <definedName name="mg01s.ResiOut" localSheetId="6">'RES_el-GR'!$B$116</definedName>
    <definedName name="mg01s.ResiOut" localSheetId="2">'RES_en-US'!$B$116</definedName>
    <definedName name="mg01s.ResiOut" localSheetId="7">'RES_es-ES'!$B$116</definedName>
    <definedName name="mg01s.ResiOut" localSheetId="8">'RES_fi-FI'!$B$116</definedName>
    <definedName name="mg01s.ResiOut" localSheetId="1">'RES_fr-FR'!$B$116</definedName>
    <definedName name="mg01s.ResiOut" localSheetId="9">'RES_hr-HR'!$B$116</definedName>
    <definedName name="mg01s.ResiOut" localSheetId="10">'RES_hu-HU'!$B$116</definedName>
    <definedName name="mg01s.ResiOut" localSheetId="11">'RES_it-IT'!$B$116</definedName>
    <definedName name="mg01s.ResiOut" localSheetId="12">'RES_ja-JP'!$B$116</definedName>
    <definedName name="mg01s.ResiOut" localSheetId="13">'RES_ko-KR'!$B$116</definedName>
    <definedName name="mg01s.ResiOut" localSheetId="14">'RES_lv-LV'!$B$116</definedName>
    <definedName name="mg01s.ResiOut" localSheetId="15">'RES_nb-NO'!$B$116</definedName>
    <definedName name="mg01s.ResiOut" localSheetId="16">'RES_nl-NL'!$B$116</definedName>
    <definedName name="mg01s.ResiOut" localSheetId="17">'RES_pl-PL'!$B$116</definedName>
    <definedName name="mg01s.ResiOut" localSheetId="18">'RES_pt-BR'!$B$116</definedName>
    <definedName name="mg01s.ResiOut" localSheetId="19">'RES_pt-PT'!$B$116</definedName>
    <definedName name="mg01s.ResiOut" localSheetId="20">'RES_ro-RO'!$B$116</definedName>
    <definedName name="mg01s.ResiOut" localSheetId="21">'RES_ru-RU'!$B$116</definedName>
    <definedName name="mg01s.ResiOut" localSheetId="22">'RES_sl-SI'!$B$116</definedName>
    <definedName name="mg01s.ResiOut" localSheetId="23">'RES_sv-SE'!$B$116</definedName>
    <definedName name="mg01s.ResiOut" localSheetId="24">'RES_tr-TR'!$B$116</definedName>
    <definedName name="mg01s.ResiOut" localSheetId="25">'RES_zh-CN'!$B$116</definedName>
    <definedName name="mg01s.ResiOut" localSheetId="26">'RES_zh-TW'!$B$116</definedName>
    <definedName name="mg01s.Row" localSheetId="3">'RES_cs-CZ'!$B$106</definedName>
    <definedName name="mg01s.Row" localSheetId="4">'RES_da-DK'!$B$106</definedName>
    <definedName name="mg01s.Row" localSheetId="5">'RES_de-DE'!$B$106</definedName>
    <definedName name="mg01s.Row" localSheetId="6">'RES_el-GR'!$B$106</definedName>
    <definedName name="mg01s.Row" localSheetId="2">'RES_en-US'!$B$106</definedName>
    <definedName name="mg01s.Row" localSheetId="7">'RES_es-ES'!$B$106</definedName>
    <definedName name="mg01s.Row" localSheetId="8">'RES_fi-FI'!$B$106</definedName>
    <definedName name="mg01s.Row" localSheetId="1">'RES_fr-FR'!$B$106</definedName>
    <definedName name="mg01s.Row" localSheetId="9">'RES_hr-HR'!$B$106</definedName>
    <definedName name="mg01s.Row" localSheetId="10">'RES_hu-HU'!$B$106</definedName>
    <definedName name="mg01s.Row" localSheetId="11">'RES_it-IT'!$B$106</definedName>
    <definedName name="mg01s.Row" localSheetId="12">'RES_ja-JP'!$B$106</definedName>
    <definedName name="mg01s.Row" localSheetId="13">'RES_ko-KR'!$B$106</definedName>
    <definedName name="mg01s.Row" localSheetId="14">'RES_lv-LV'!$B$106</definedName>
    <definedName name="mg01s.Row" localSheetId="15">'RES_nb-NO'!$B$106</definedName>
    <definedName name="mg01s.Row" localSheetId="16">'RES_nl-NL'!$B$106</definedName>
    <definedName name="mg01s.Row" localSheetId="17">'RES_pl-PL'!$B$106</definedName>
    <definedName name="mg01s.Row" localSheetId="18">'RES_pt-BR'!$B$106</definedName>
    <definedName name="mg01s.Row" localSheetId="19">'RES_pt-PT'!$B$106</definedName>
    <definedName name="mg01s.Row" localSheetId="20">'RES_ro-RO'!$B$106</definedName>
    <definedName name="mg01s.Row" localSheetId="21">'RES_ru-RU'!$B$106</definedName>
    <definedName name="mg01s.Row" localSheetId="22">'RES_sl-SI'!$B$106</definedName>
    <definedName name="mg01s.Row" localSheetId="23">'RES_sv-SE'!$B$106</definedName>
    <definedName name="mg01s.Row" localSheetId="24">'RES_tr-TR'!$B$106</definedName>
    <definedName name="mg01s.Row" localSheetId="25">'RES_zh-CN'!$B$106</definedName>
    <definedName name="mg01s.Row" localSheetId="26">'RES_zh-TW'!$B$106</definedName>
    <definedName name="mg01s.Rows" localSheetId="3">'RES_cs-CZ'!$B$46</definedName>
    <definedName name="mg01s.Rows" localSheetId="4">'RES_da-DK'!$B$46</definedName>
    <definedName name="mg01s.Rows" localSheetId="5">'RES_de-DE'!$B$46</definedName>
    <definedName name="mg01s.Rows" localSheetId="6">'RES_el-GR'!$B$46</definedName>
    <definedName name="mg01s.Rows" localSheetId="2">'RES_en-US'!$B$46</definedName>
    <definedName name="mg01s.Rows" localSheetId="7">'RES_es-ES'!$B$46</definedName>
    <definedName name="mg01s.Rows" localSheetId="8">'RES_fi-FI'!$B$46</definedName>
    <definedName name="mg01s.Rows" localSheetId="1">'RES_fr-FR'!$B$46</definedName>
    <definedName name="mg01s.Rows" localSheetId="9">'RES_hr-HR'!$B$46</definedName>
    <definedName name="mg01s.Rows" localSheetId="10">'RES_hu-HU'!$B$46</definedName>
    <definedName name="mg01s.Rows" localSheetId="11">'RES_it-IT'!$B$46</definedName>
    <definedName name="mg01s.Rows" localSheetId="12">'RES_ja-JP'!$B$46</definedName>
    <definedName name="mg01s.Rows" localSheetId="13">'RES_ko-KR'!$B$46</definedName>
    <definedName name="mg01s.Rows" localSheetId="14">'RES_lv-LV'!$B$46</definedName>
    <definedName name="mg01s.Rows" localSheetId="15">'RES_nb-NO'!$B$46</definedName>
    <definedName name="mg01s.Rows" localSheetId="16">'RES_nl-NL'!$B$46</definedName>
    <definedName name="mg01s.Rows" localSheetId="17">'RES_pl-PL'!$B$46</definedName>
    <definedName name="mg01s.Rows" localSheetId="18">'RES_pt-BR'!$B$46</definedName>
    <definedName name="mg01s.Rows" localSheetId="19">'RES_pt-PT'!$B$46</definedName>
    <definedName name="mg01s.Rows" localSheetId="20">'RES_ro-RO'!$B$46</definedName>
    <definedName name="mg01s.Rows" localSheetId="21">'RES_ru-RU'!$B$46</definedName>
    <definedName name="mg01s.Rows" localSheetId="22">'RES_sl-SI'!$B$46</definedName>
    <definedName name="mg01s.Rows" localSheetId="23">'RES_sv-SE'!$B$46</definedName>
    <definedName name="mg01s.Rows" localSheetId="24">'RES_tr-TR'!$B$46</definedName>
    <definedName name="mg01s.Rows" localSheetId="25">'RES_zh-CN'!$B$46</definedName>
    <definedName name="mg01s.Rows" localSheetId="26">'RES_zh-TW'!$B$46</definedName>
    <definedName name="mg01s.RSquare" localSheetId="3">'RES_cs-CZ'!$B$127</definedName>
    <definedName name="mg01s.RSquare" localSheetId="4">'RES_da-DK'!$B$127</definedName>
    <definedName name="mg01s.RSquare" localSheetId="5">'RES_de-DE'!$B$127</definedName>
    <definedName name="mg01s.RSquare" localSheetId="6">'RES_el-GR'!$B$127</definedName>
    <definedName name="mg01s.RSquare" localSheetId="2">'RES_en-US'!$B$127</definedName>
    <definedName name="mg01s.RSquare" localSheetId="7">'RES_es-ES'!$B$127</definedName>
    <definedName name="mg01s.RSquare" localSheetId="8">'RES_fi-FI'!$B$127</definedName>
    <definedName name="mg01s.RSquare" localSheetId="1">'RES_fr-FR'!$B$127</definedName>
    <definedName name="mg01s.RSquare" localSheetId="9">'RES_hr-HR'!$B$127</definedName>
    <definedName name="mg01s.RSquare" localSheetId="10">'RES_hu-HU'!$B$127</definedName>
    <definedName name="mg01s.RSquare" localSheetId="11">'RES_it-IT'!$B$127</definedName>
    <definedName name="mg01s.RSquare" localSheetId="12">'RES_ja-JP'!$B$127</definedName>
    <definedName name="mg01s.RSquare" localSheetId="13">'RES_ko-KR'!$B$127</definedName>
    <definedName name="mg01s.RSquare" localSheetId="14">'RES_lv-LV'!$B$127</definedName>
    <definedName name="mg01s.RSquare" localSheetId="15">'RES_nb-NO'!$B$127</definedName>
    <definedName name="mg01s.RSquare" localSheetId="16">'RES_nl-NL'!$B$127</definedName>
    <definedName name="mg01s.RSquare" localSheetId="17">'RES_pl-PL'!$B$127</definedName>
    <definedName name="mg01s.RSquare" localSheetId="18">'RES_pt-BR'!$B$127</definedName>
    <definedName name="mg01s.RSquare" localSheetId="19">'RES_pt-PT'!$B$127</definedName>
    <definedName name="mg01s.RSquare" localSheetId="20">'RES_ro-RO'!$B$127</definedName>
    <definedName name="mg01s.RSquare" localSheetId="21">'RES_ru-RU'!$B$127</definedName>
    <definedName name="mg01s.RSquare" localSheetId="22">'RES_sl-SI'!$B$127</definedName>
    <definedName name="mg01s.RSquare" localSheetId="23">'RES_sv-SE'!$B$127</definedName>
    <definedName name="mg01s.RSquare" localSheetId="24">'RES_tr-TR'!$B$127</definedName>
    <definedName name="mg01s.RSquare" localSheetId="25">'RES_zh-CN'!$B$127</definedName>
    <definedName name="mg01s.RSquare" localSheetId="26">'RES_zh-TW'!$B$127</definedName>
    <definedName name="mg01s.Sample" localSheetId="3">'RES_cs-CZ'!$B$42</definedName>
    <definedName name="mg01s.Sample" localSheetId="4">'RES_da-DK'!$B$42</definedName>
    <definedName name="mg01s.Sample" localSheetId="5">'RES_de-DE'!$B$42</definedName>
    <definedName name="mg01s.Sample" localSheetId="6">'RES_el-GR'!$B$42</definedName>
    <definedName name="mg01s.Sample" localSheetId="2">'RES_en-US'!$B$42</definedName>
    <definedName name="mg01s.Sample" localSheetId="7">'RES_es-ES'!$B$42</definedName>
    <definedName name="mg01s.Sample" localSheetId="8">'RES_fi-FI'!$B$42</definedName>
    <definedName name="mg01s.Sample" localSheetId="1">'RES_fr-FR'!$B$42</definedName>
    <definedName name="mg01s.Sample" localSheetId="9">'RES_hr-HR'!$B$42</definedName>
    <definedName name="mg01s.Sample" localSheetId="10">'RES_hu-HU'!$B$42</definedName>
    <definedName name="mg01s.Sample" localSheetId="11">'RES_it-IT'!$B$42</definedName>
    <definedName name="mg01s.Sample" localSheetId="12">'RES_ja-JP'!$B$42</definedName>
    <definedName name="mg01s.Sample" localSheetId="13">'RES_ko-KR'!$B$42</definedName>
    <definedName name="mg01s.Sample" localSheetId="14">'RES_lv-LV'!$B$42</definedName>
    <definedName name="mg01s.Sample" localSheetId="15">'RES_nb-NO'!$B$42</definedName>
    <definedName name="mg01s.Sample" localSheetId="16">'RES_nl-NL'!$B$42</definedName>
    <definedName name="mg01s.Sample" localSheetId="17">'RES_pl-PL'!$B$42</definedName>
    <definedName name="mg01s.Sample" localSheetId="18">'RES_pt-BR'!$B$42</definedName>
    <definedName name="mg01s.Sample" localSheetId="19">'RES_pt-PT'!$B$42</definedName>
    <definedName name="mg01s.Sample" localSheetId="20">'RES_ro-RO'!$B$42</definedName>
    <definedName name="mg01s.Sample" localSheetId="21">'RES_ru-RU'!$B$42</definedName>
    <definedName name="mg01s.Sample" localSheetId="22">'RES_sl-SI'!$B$42</definedName>
    <definedName name="mg01s.Sample" localSheetId="23">'RES_sv-SE'!$B$42</definedName>
    <definedName name="mg01s.Sample" localSheetId="24">'RES_tr-TR'!$B$42</definedName>
    <definedName name="mg01s.Sample" localSheetId="25">'RES_zh-CN'!$B$42</definedName>
    <definedName name="mg01s.Sample" localSheetId="26">'RES_zh-TW'!$B$42</definedName>
    <definedName name="mg01s.SampleVar" localSheetId="3">'RES_cs-CZ'!$B$55</definedName>
    <definedName name="mg01s.SampleVar" localSheetId="4">'RES_da-DK'!$B$55</definedName>
    <definedName name="mg01s.SampleVar" localSheetId="5">'RES_de-DE'!$B$55</definedName>
    <definedName name="mg01s.SampleVar" localSheetId="6">'RES_el-GR'!$B$55</definedName>
    <definedName name="mg01s.SampleVar" localSheetId="2">'RES_en-US'!$B$55</definedName>
    <definedName name="mg01s.SampleVar" localSheetId="7">'RES_es-ES'!$B$55</definedName>
    <definedName name="mg01s.SampleVar" localSheetId="8">'RES_fi-FI'!$B$55</definedName>
    <definedName name="mg01s.SampleVar" localSheetId="1">'RES_fr-FR'!$B$55</definedName>
    <definedName name="mg01s.SampleVar" localSheetId="9">'RES_hr-HR'!$B$55</definedName>
    <definedName name="mg01s.SampleVar" localSheetId="10">'RES_hu-HU'!$B$55</definedName>
    <definedName name="mg01s.SampleVar" localSheetId="11">'RES_it-IT'!$B$55</definedName>
    <definedName name="mg01s.SampleVar" localSheetId="12">'RES_ja-JP'!$B$55</definedName>
    <definedName name="mg01s.SampleVar" localSheetId="13">'RES_ko-KR'!$B$55</definedName>
    <definedName name="mg01s.SampleVar" localSheetId="14">'RES_lv-LV'!$B$55</definedName>
    <definedName name="mg01s.SampleVar" localSheetId="15">'RES_nb-NO'!$B$55</definedName>
    <definedName name="mg01s.SampleVar" localSheetId="16">'RES_nl-NL'!$B$55</definedName>
    <definedName name="mg01s.SampleVar" localSheetId="17">'RES_pl-PL'!$B$55</definedName>
    <definedName name="mg01s.SampleVar" localSheetId="18">'RES_pt-BR'!$B$55</definedName>
    <definedName name="mg01s.SampleVar" localSheetId="19">'RES_pt-PT'!$B$55</definedName>
    <definedName name="mg01s.SampleVar" localSheetId="20">'RES_ro-RO'!$B$55</definedName>
    <definedName name="mg01s.SampleVar" localSheetId="21">'RES_ru-RU'!$B$55</definedName>
    <definedName name="mg01s.SampleVar" localSheetId="22">'RES_sl-SI'!$B$55</definedName>
    <definedName name="mg01s.SampleVar" localSheetId="23">'RES_sv-SE'!$B$55</definedName>
    <definedName name="mg01s.SampleVar" localSheetId="24">'RES_tr-TR'!$B$55</definedName>
    <definedName name="mg01s.SampleVar" localSheetId="25">'RES_zh-CN'!$B$55</definedName>
    <definedName name="mg01s.SampleVar" localSheetId="26">'RES_zh-TW'!$B$55</definedName>
    <definedName name="mg01s.Sampling" localSheetId="3">'RES_cs-CZ'!$B$142</definedName>
    <definedName name="mg01s.Sampling" localSheetId="4">'RES_da-DK'!$B$142</definedName>
    <definedName name="mg01s.Sampling" localSheetId="5">'RES_de-DE'!$B$142</definedName>
    <definedName name="mg01s.Sampling" localSheetId="6">'RES_el-GR'!$B$142</definedName>
    <definedName name="mg01s.Sampling" localSheetId="2">'RES_en-US'!$B$142</definedName>
    <definedName name="mg01s.Sampling" localSheetId="7">'RES_es-ES'!$B$142</definedName>
    <definedName name="mg01s.Sampling" localSheetId="8">'RES_fi-FI'!$B$142</definedName>
    <definedName name="mg01s.Sampling" localSheetId="1">'RES_fr-FR'!$B$142</definedName>
    <definedName name="mg01s.Sampling" localSheetId="9">'RES_hr-HR'!$B$142</definedName>
    <definedName name="mg01s.Sampling" localSheetId="10">'RES_hu-HU'!$B$142</definedName>
    <definedName name="mg01s.Sampling" localSheetId="11">'RES_it-IT'!$B$142</definedName>
    <definedName name="mg01s.Sampling" localSheetId="12">'RES_ja-JP'!$B$142</definedName>
    <definedName name="mg01s.Sampling" localSheetId="13">'RES_ko-KR'!$B$142</definedName>
    <definedName name="mg01s.Sampling" localSheetId="14">'RES_lv-LV'!$B$142</definedName>
    <definedName name="mg01s.Sampling" localSheetId="15">'RES_nb-NO'!$B$142</definedName>
    <definedName name="mg01s.Sampling" localSheetId="16">'RES_nl-NL'!$B$142</definedName>
    <definedName name="mg01s.Sampling" localSheetId="17">'RES_pl-PL'!$B$142</definedName>
    <definedName name="mg01s.Sampling" localSheetId="18">'RES_pt-BR'!$B$142</definedName>
    <definedName name="mg01s.Sampling" localSheetId="19">'RES_pt-PT'!$B$142</definedName>
    <definedName name="mg01s.Sampling" localSheetId="20">'RES_ro-RO'!$B$142</definedName>
    <definedName name="mg01s.Sampling" localSheetId="21">'RES_ru-RU'!$B$142</definedName>
    <definedName name="mg01s.Sampling" localSheetId="22">'RES_sl-SI'!$B$142</definedName>
    <definedName name="mg01s.Sampling" localSheetId="23">'RES_sv-SE'!$B$142</definedName>
    <definedName name="mg01s.Sampling" localSheetId="24">'RES_tr-TR'!$B$142</definedName>
    <definedName name="mg01s.Sampling" localSheetId="25">'RES_zh-CN'!$B$142</definedName>
    <definedName name="mg01s.Sampling" localSheetId="26">'RES_zh-TW'!$B$142</definedName>
    <definedName name="mg01s.SampP" localSheetId="3">'RES_cs-CZ'!$B$12</definedName>
    <definedName name="mg01s.SampP" localSheetId="4">'RES_da-DK'!$B$12</definedName>
    <definedName name="mg01s.SampP" localSheetId="5">'RES_de-DE'!$B$12</definedName>
    <definedName name="mg01s.SampP" localSheetId="6">'RES_el-GR'!$B$12</definedName>
    <definedName name="mg01s.SampP" localSheetId="2">'RES_en-US'!$B$12</definedName>
    <definedName name="mg01s.SampP" localSheetId="7">'RES_es-ES'!$B$12</definedName>
    <definedName name="mg01s.SampP" localSheetId="8">'RES_fi-FI'!$B$12</definedName>
    <definedName name="mg01s.SampP" localSheetId="1">'RES_fr-FR'!$B$12</definedName>
    <definedName name="mg01s.SampP" localSheetId="9">'RES_hr-HR'!$B$12</definedName>
    <definedName name="mg01s.SampP" localSheetId="10">'RES_hu-HU'!$B$12</definedName>
    <definedName name="mg01s.SampP" localSheetId="11">'RES_it-IT'!$B$12</definedName>
    <definedName name="mg01s.SampP" localSheetId="12">'RES_ja-JP'!$B$12</definedName>
    <definedName name="mg01s.SampP" localSheetId="13">'RES_ko-KR'!$B$12</definedName>
    <definedName name="mg01s.SampP" localSheetId="14">'RES_lv-LV'!$B$12</definedName>
    <definedName name="mg01s.SampP" localSheetId="15">'RES_nb-NO'!$B$12</definedName>
    <definedName name="mg01s.SampP" localSheetId="16">'RES_nl-NL'!$B$12</definedName>
    <definedName name="mg01s.SampP" localSheetId="17">'RES_pl-PL'!$B$12</definedName>
    <definedName name="mg01s.SampP" localSheetId="18">'RES_pt-BR'!$B$12</definedName>
    <definedName name="mg01s.SampP" localSheetId="19">'RES_pt-PT'!$B$12</definedName>
    <definedName name="mg01s.SampP" localSheetId="20">'RES_ro-RO'!$B$12</definedName>
    <definedName name="mg01s.SampP" localSheetId="21">'RES_ru-RU'!$B$12</definedName>
    <definedName name="mg01s.SampP" localSheetId="22">'RES_sl-SI'!$B$12</definedName>
    <definedName name="mg01s.SampP" localSheetId="23">'RES_sv-SE'!$B$12</definedName>
    <definedName name="mg01s.SampP" localSheetId="24">'RES_tr-TR'!$B$12</definedName>
    <definedName name="mg01s.SampP" localSheetId="25">'RES_zh-CN'!$B$12</definedName>
    <definedName name="mg01s.SampP" localSheetId="26">'RES_zh-TW'!$B$12</definedName>
    <definedName name="mg01s.SampPercentile" localSheetId="3">'RES_cs-CZ'!$B$141</definedName>
    <definedName name="mg01s.SampPercentile" localSheetId="4">'RES_da-DK'!$B$141</definedName>
    <definedName name="mg01s.SampPercentile" localSheetId="5">'RES_de-DE'!$B$141</definedName>
    <definedName name="mg01s.SampPercentile" localSheetId="6">'RES_el-GR'!$B$141</definedName>
    <definedName name="mg01s.SampPercentile" localSheetId="2">'RES_en-US'!$B$141</definedName>
    <definedName name="mg01s.SampPercentile" localSheetId="7">'RES_es-ES'!$B$141</definedName>
    <definedName name="mg01s.SampPercentile" localSheetId="8">'RES_fi-FI'!$B$141</definedName>
    <definedName name="mg01s.SampPercentile" localSheetId="1">'RES_fr-FR'!$B$141</definedName>
    <definedName name="mg01s.SampPercentile" localSheetId="9">'RES_hr-HR'!$B$141</definedName>
    <definedName name="mg01s.SampPercentile" localSheetId="10">'RES_hu-HU'!$B$141</definedName>
    <definedName name="mg01s.SampPercentile" localSheetId="11">'RES_it-IT'!$B$141</definedName>
    <definedName name="mg01s.SampPercentile" localSheetId="12">'RES_ja-JP'!$B$141</definedName>
    <definedName name="mg01s.SampPercentile" localSheetId="13">'RES_ko-KR'!$B$141</definedName>
    <definedName name="mg01s.SampPercentile" localSheetId="14">'RES_lv-LV'!$B$141</definedName>
    <definedName name="mg01s.SampPercentile" localSheetId="15">'RES_nb-NO'!$B$141</definedName>
    <definedName name="mg01s.SampPercentile" localSheetId="16">'RES_nl-NL'!$B$141</definedName>
    <definedName name="mg01s.SampPercentile" localSheetId="17">'RES_pl-PL'!$B$141</definedName>
    <definedName name="mg01s.SampPercentile" localSheetId="18">'RES_pt-BR'!$B$141</definedName>
    <definedName name="mg01s.SampPercentile" localSheetId="19">'RES_pt-PT'!$B$141</definedName>
    <definedName name="mg01s.SampPercentile" localSheetId="20">'RES_ro-RO'!$B$141</definedName>
    <definedName name="mg01s.SampPercentile" localSheetId="21">'RES_ru-RU'!$B$141</definedName>
    <definedName name="mg01s.SampPercentile" localSheetId="22">'RES_sl-SI'!$B$141</definedName>
    <definedName name="mg01s.SampPercentile" localSheetId="23">'RES_sv-SE'!$B$141</definedName>
    <definedName name="mg01s.SampPercentile" localSheetId="24">'RES_tr-TR'!$B$141</definedName>
    <definedName name="mg01s.SampPercentile" localSheetId="25">'RES_zh-CN'!$B$141</definedName>
    <definedName name="mg01s.SampPercentile" localSheetId="26">'RES_zh-TW'!$B$141</definedName>
    <definedName name="mg01s.SampR" localSheetId="3">'RES_cs-CZ'!$B$13</definedName>
    <definedName name="mg01s.SampR" localSheetId="4">'RES_da-DK'!$B$13</definedName>
    <definedName name="mg01s.SampR" localSheetId="5">'RES_de-DE'!$B$13</definedName>
    <definedName name="mg01s.SampR" localSheetId="6">'RES_el-GR'!$B$13</definedName>
    <definedName name="mg01s.SampR" localSheetId="2">'RES_en-US'!$B$13</definedName>
    <definedName name="mg01s.SampR" localSheetId="7">'RES_es-ES'!$B$13</definedName>
    <definedName name="mg01s.SampR" localSheetId="8">'RES_fi-FI'!$B$13</definedName>
    <definedName name="mg01s.SampR" localSheetId="1">'RES_fr-FR'!$B$13</definedName>
    <definedName name="mg01s.SampR" localSheetId="9">'RES_hr-HR'!$B$13</definedName>
    <definedName name="mg01s.SampR" localSheetId="10">'RES_hu-HU'!$B$13</definedName>
    <definedName name="mg01s.SampR" localSheetId="11">'RES_it-IT'!$B$13</definedName>
    <definedName name="mg01s.SampR" localSheetId="12">'RES_ja-JP'!$B$13</definedName>
    <definedName name="mg01s.SampR" localSheetId="13">'RES_ko-KR'!$B$13</definedName>
    <definedName name="mg01s.SampR" localSheetId="14">'RES_lv-LV'!$B$13</definedName>
    <definedName name="mg01s.SampR" localSheetId="15">'RES_nb-NO'!$B$13</definedName>
    <definedName name="mg01s.SampR" localSheetId="16">'RES_nl-NL'!$B$13</definedName>
    <definedName name="mg01s.SampR" localSheetId="17">'RES_pl-PL'!$B$13</definedName>
    <definedName name="mg01s.SampR" localSheetId="18">'RES_pt-BR'!$B$13</definedName>
    <definedName name="mg01s.SampR" localSheetId="19">'RES_pt-PT'!$B$13</definedName>
    <definedName name="mg01s.SampR" localSheetId="20">'RES_ro-RO'!$B$13</definedName>
    <definedName name="mg01s.SampR" localSheetId="21">'RES_ru-RU'!$B$13</definedName>
    <definedName name="mg01s.SampR" localSheetId="22">'RES_sl-SI'!$B$13</definedName>
    <definedName name="mg01s.SampR" localSheetId="23">'RES_sv-SE'!$B$13</definedName>
    <definedName name="mg01s.SampR" localSheetId="24">'RES_tr-TR'!$B$13</definedName>
    <definedName name="mg01s.SampR" localSheetId="25">'RES_zh-CN'!$B$13</definedName>
    <definedName name="mg01s.SampR" localSheetId="26">'RES_zh-TW'!$B$13</definedName>
    <definedName name="mg01s.SigniF" localSheetId="3">'RES_cs-CZ'!$B$130</definedName>
    <definedName name="mg01s.SigniF" localSheetId="4">'RES_da-DK'!$B$130</definedName>
    <definedName name="mg01s.SigniF" localSheetId="5">'RES_de-DE'!$B$130</definedName>
    <definedName name="mg01s.SigniF" localSheetId="6">'RES_el-GR'!$B$130</definedName>
    <definedName name="mg01s.SigniF" localSheetId="2">'RES_en-US'!$B$130</definedName>
    <definedName name="mg01s.SigniF" localSheetId="7">'RES_es-ES'!$B$130</definedName>
    <definedName name="mg01s.SigniF" localSheetId="8">'RES_fi-FI'!$B$130</definedName>
    <definedName name="mg01s.SigniF" localSheetId="1">'RES_fr-FR'!$B$130</definedName>
    <definedName name="mg01s.SigniF" localSheetId="9">'RES_hr-HR'!$B$130</definedName>
    <definedName name="mg01s.SigniF" localSheetId="10">'RES_hu-HU'!$B$130</definedName>
    <definedName name="mg01s.SigniF" localSheetId="11">'RES_it-IT'!$B$130</definedName>
    <definedName name="mg01s.SigniF" localSheetId="12">'RES_ja-JP'!$B$130</definedName>
    <definedName name="mg01s.SigniF" localSheetId="13">'RES_ko-KR'!$B$130</definedName>
    <definedName name="mg01s.SigniF" localSheetId="14">'RES_lv-LV'!$B$130</definedName>
    <definedName name="mg01s.SigniF" localSheetId="15">'RES_nb-NO'!$B$130</definedName>
    <definedName name="mg01s.SigniF" localSheetId="16">'RES_nl-NL'!$B$130</definedName>
    <definedName name="mg01s.SigniF" localSheetId="17">'RES_pl-PL'!$B$130</definedName>
    <definedName name="mg01s.SigniF" localSheetId="18">'RES_pt-BR'!$B$130</definedName>
    <definedName name="mg01s.SigniF" localSheetId="19">'RES_pt-PT'!$B$130</definedName>
    <definedName name="mg01s.SigniF" localSheetId="20">'RES_ro-RO'!$B$130</definedName>
    <definedName name="mg01s.SigniF" localSheetId="21">'RES_ru-RU'!$B$130</definedName>
    <definedName name="mg01s.SigniF" localSheetId="22">'RES_sl-SI'!$B$130</definedName>
    <definedName name="mg01s.SigniF" localSheetId="23">'RES_sv-SE'!$B$130</definedName>
    <definedName name="mg01s.SigniF" localSheetId="24">'RES_tr-TR'!$B$130</definedName>
    <definedName name="mg01s.SigniF" localSheetId="25">'RES_zh-CN'!$B$130</definedName>
    <definedName name="mg01s.SigniF" localSheetId="26">'RES_zh-TW'!$B$130</definedName>
    <definedName name="mg01s.Skewness" localSheetId="3">'RES_cs-CZ'!$B$57</definedName>
    <definedName name="mg01s.Skewness" localSheetId="4">'RES_da-DK'!$B$57</definedName>
    <definedName name="mg01s.Skewness" localSheetId="5">'RES_de-DE'!$B$57</definedName>
    <definedName name="mg01s.Skewness" localSheetId="6">'RES_el-GR'!$B$57</definedName>
    <definedName name="mg01s.Skewness" localSheetId="2">'RES_en-US'!$B$57</definedName>
    <definedName name="mg01s.Skewness" localSheetId="7">'RES_es-ES'!$B$57</definedName>
    <definedName name="mg01s.Skewness" localSheetId="8">'RES_fi-FI'!$B$57</definedName>
    <definedName name="mg01s.Skewness" localSheetId="1">'RES_fr-FR'!$B$57</definedName>
    <definedName name="mg01s.Skewness" localSheetId="9">'RES_hr-HR'!$B$57</definedName>
    <definedName name="mg01s.Skewness" localSheetId="10">'RES_hu-HU'!$B$57</definedName>
    <definedName name="mg01s.Skewness" localSheetId="11">'RES_it-IT'!$B$57</definedName>
    <definedName name="mg01s.Skewness" localSheetId="12">'RES_ja-JP'!$B$57</definedName>
    <definedName name="mg01s.Skewness" localSheetId="13">'RES_ko-KR'!$B$57</definedName>
    <definedName name="mg01s.Skewness" localSheetId="14">'RES_lv-LV'!$B$57</definedName>
    <definedName name="mg01s.Skewness" localSheetId="15">'RES_nb-NO'!$B$57</definedName>
    <definedName name="mg01s.Skewness" localSheetId="16">'RES_nl-NL'!$B$57</definedName>
    <definedName name="mg01s.Skewness" localSheetId="17">'RES_pl-PL'!$B$57</definedName>
    <definedName name="mg01s.Skewness" localSheetId="18">'RES_pt-BR'!$B$57</definedName>
    <definedName name="mg01s.Skewness" localSheetId="19">'RES_pt-PT'!$B$57</definedName>
    <definedName name="mg01s.Skewness" localSheetId="20">'RES_ro-RO'!$B$57</definedName>
    <definedName name="mg01s.Skewness" localSheetId="21">'RES_ru-RU'!$B$57</definedName>
    <definedName name="mg01s.Skewness" localSheetId="22">'RES_sl-SI'!$B$57</definedName>
    <definedName name="mg01s.Skewness" localSheetId="23">'RES_sv-SE'!$B$57</definedName>
    <definedName name="mg01s.Skewness" localSheetId="24">'RES_tr-TR'!$B$57</definedName>
    <definedName name="mg01s.Skewness" localSheetId="25">'RES_zh-CN'!$B$57</definedName>
    <definedName name="mg01s.Skewness" localSheetId="26">'RES_zh-TW'!$B$57</definedName>
    <definedName name="mg01s.Smallest" localSheetId="3">'RES_cs-CZ'!$B$62</definedName>
    <definedName name="mg01s.Smallest" localSheetId="4">'RES_da-DK'!$B$62</definedName>
    <definedName name="mg01s.Smallest" localSheetId="5">'RES_de-DE'!$B$62</definedName>
    <definedName name="mg01s.Smallest" localSheetId="6">'RES_el-GR'!$B$62</definedName>
    <definedName name="mg01s.Smallest" localSheetId="2">'RES_en-US'!$B$62</definedName>
    <definedName name="mg01s.Smallest" localSheetId="7">'RES_es-ES'!$B$62</definedName>
    <definedName name="mg01s.Smallest" localSheetId="8">'RES_fi-FI'!$B$62</definedName>
    <definedName name="mg01s.Smallest" localSheetId="1">'RES_fr-FR'!$B$62</definedName>
    <definedName name="mg01s.Smallest" localSheetId="9">'RES_hr-HR'!$B$62</definedName>
    <definedName name="mg01s.Smallest" localSheetId="10">'RES_hu-HU'!$B$62</definedName>
    <definedName name="mg01s.Smallest" localSheetId="11">'RES_it-IT'!$B$62</definedName>
    <definedName name="mg01s.Smallest" localSheetId="12">'RES_ja-JP'!$B$62</definedName>
    <definedName name="mg01s.Smallest" localSheetId="13">'RES_ko-KR'!$B$62</definedName>
    <definedName name="mg01s.Smallest" localSheetId="14">'RES_lv-LV'!$B$62</definedName>
    <definedName name="mg01s.Smallest" localSheetId="15">'RES_nb-NO'!$B$62</definedName>
    <definedName name="mg01s.Smallest" localSheetId="16">'RES_nl-NL'!$B$62</definedName>
    <definedName name="mg01s.Smallest" localSheetId="17">'RES_pl-PL'!$B$62</definedName>
    <definedName name="mg01s.Smallest" localSheetId="18">'RES_pt-BR'!$B$62</definedName>
    <definedName name="mg01s.Smallest" localSheetId="19">'RES_pt-PT'!$B$62</definedName>
    <definedName name="mg01s.Smallest" localSheetId="20">'RES_ro-RO'!$B$62</definedName>
    <definedName name="mg01s.Smallest" localSheetId="21">'RES_ru-RU'!$B$62</definedName>
    <definedName name="mg01s.Smallest" localSheetId="22">'RES_sl-SI'!$B$62</definedName>
    <definedName name="mg01s.Smallest" localSheetId="23">'RES_sv-SE'!$B$62</definedName>
    <definedName name="mg01s.Smallest" localSheetId="24">'RES_tr-TR'!$B$62</definedName>
    <definedName name="mg01s.Smallest" localSheetId="25">'RES_zh-CN'!$B$62</definedName>
    <definedName name="mg01s.Smallest" localSheetId="26">'RES_zh-TW'!$B$62</definedName>
    <definedName name="mg01s.SrcVar" localSheetId="3">'RES_cs-CZ'!$B$32</definedName>
    <definedName name="mg01s.SrcVar" localSheetId="4">'RES_da-DK'!$B$32</definedName>
    <definedName name="mg01s.SrcVar" localSheetId="5">'RES_de-DE'!$B$32</definedName>
    <definedName name="mg01s.SrcVar" localSheetId="6">'RES_el-GR'!$B$32</definedName>
    <definedName name="mg01s.SrcVar" localSheetId="2">'RES_en-US'!$B$32</definedName>
    <definedName name="mg01s.SrcVar" localSheetId="7">'RES_es-ES'!$B$32</definedName>
    <definedName name="mg01s.SrcVar" localSheetId="8">'RES_fi-FI'!$B$32</definedName>
    <definedName name="mg01s.SrcVar" localSheetId="1">'RES_fr-FR'!$B$32</definedName>
    <definedName name="mg01s.SrcVar" localSheetId="9">'RES_hr-HR'!$B$32</definedName>
    <definedName name="mg01s.SrcVar" localSheetId="10">'RES_hu-HU'!$B$32</definedName>
    <definedName name="mg01s.SrcVar" localSheetId="11">'RES_it-IT'!$B$32</definedName>
    <definedName name="mg01s.SrcVar" localSheetId="12">'RES_ja-JP'!$B$32</definedName>
    <definedName name="mg01s.SrcVar" localSheetId="13">'RES_ko-KR'!$B$32</definedName>
    <definedName name="mg01s.SrcVar" localSheetId="14">'RES_lv-LV'!$B$32</definedName>
    <definedName name="mg01s.SrcVar" localSheetId="15">'RES_nb-NO'!$B$32</definedName>
    <definedName name="mg01s.SrcVar" localSheetId="16">'RES_nl-NL'!$B$32</definedName>
    <definedName name="mg01s.SrcVar" localSheetId="17">'RES_pl-PL'!$B$32</definedName>
    <definedName name="mg01s.SrcVar" localSheetId="18">'RES_pt-BR'!$B$32</definedName>
    <definedName name="mg01s.SrcVar" localSheetId="19">'RES_pt-PT'!$B$32</definedName>
    <definedName name="mg01s.SrcVar" localSheetId="20">'RES_ro-RO'!$B$32</definedName>
    <definedName name="mg01s.SrcVar" localSheetId="21">'RES_ru-RU'!$B$32</definedName>
    <definedName name="mg01s.SrcVar" localSheetId="22">'RES_sl-SI'!$B$32</definedName>
    <definedName name="mg01s.SrcVar" localSheetId="23">'RES_sv-SE'!$B$32</definedName>
    <definedName name="mg01s.SrcVar" localSheetId="24">'RES_tr-TR'!$B$32</definedName>
    <definedName name="mg01s.SrcVar" localSheetId="25">'RES_zh-CN'!$B$32</definedName>
    <definedName name="mg01s.SrcVar" localSheetId="26">'RES_zh-TW'!$B$32</definedName>
    <definedName name="mg01s.SS" localSheetId="3">'RES_cs-CZ'!$B$33</definedName>
    <definedName name="mg01s.SS" localSheetId="4">'RES_da-DK'!$B$33</definedName>
    <definedName name="mg01s.SS" localSheetId="5">'RES_de-DE'!$B$33</definedName>
    <definedName name="mg01s.SS" localSheetId="6">'RES_el-GR'!$B$33</definedName>
    <definedName name="mg01s.SS" localSheetId="2">'RES_en-US'!$B$33</definedName>
    <definedName name="mg01s.SS" localSheetId="7">'RES_es-ES'!$B$33</definedName>
    <definedName name="mg01s.SS" localSheetId="8">'RES_fi-FI'!$B$33</definedName>
    <definedName name="mg01s.SS" localSheetId="1">'RES_fr-FR'!$B$33</definedName>
    <definedName name="mg01s.SS" localSheetId="9">'RES_hr-HR'!$B$33</definedName>
    <definedName name="mg01s.SS" localSheetId="10">'RES_hu-HU'!$B$33</definedName>
    <definedName name="mg01s.SS" localSheetId="11">'RES_it-IT'!$B$33</definedName>
    <definedName name="mg01s.SS" localSheetId="12">'RES_ja-JP'!$B$33</definedName>
    <definedName name="mg01s.SS" localSheetId="13">'RES_ko-KR'!$B$33</definedName>
    <definedName name="mg01s.SS" localSheetId="14">'RES_lv-LV'!$B$33</definedName>
    <definedName name="mg01s.SS" localSheetId="15">'RES_nb-NO'!$B$33</definedName>
    <definedName name="mg01s.SS" localSheetId="16">'RES_nl-NL'!$B$33</definedName>
    <definedName name="mg01s.SS" localSheetId="17">'RES_pl-PL'!$B$33</definedName>
    <definedName name="mg01s.SS" localSheetId="18">'RES_pt-BR'!$B$33</definedName>
    <definedName name="mg01s.SS" localSheetId="19">'RES_pt-PT'!$B$33</definedName>
    <definedName name="mg01s.SS" localSheetId="20">'RES_ro-RO'!$B$33</definedName>
    <definedName name="mg01s.SS" localSheetId="21">'RES_ru-RU'!$B$33</definedName>
    <definedName name="mg01s.SS" localSheetId="22">'RES_sl-SI'!$B$33</definedName>
    <definedName name="mg01s.SS" localSheetId="23">'RES_sv-SE'!$B$33</definedName>
    <definedName name="mg01s.SS" localSheetId="24">'RES_tr-TR'!$B$33</definedName>
    <definedName name="mg01s.SS" localSheetId="25">'RES_zh-CN'!$B$33</definedName>
    <definedName name="mg01s.SS" localSheetId="26">'RES_zh-TW'!$B$33</definedName>
    <definedName name="mg01s.Stat" localSheetId="3">'RES_cs-CZ'!$B$17</definedName>
    <definedName name="mg01s.Stat" localSheetId="4">'RES_da-DK'!$B$17</definedName>
    <definedName name="mg01s.Stat" localSheetId="5">'RES_de-DE'!$B$17</definedName>
    <definedName name="mg01s.Stat" localSheetId="6">'RES_el-GR'!$B$17</definedName>
    <definedName name="mg01s.Stat" localSheetId="2">'RES_en-US'!$B$17</definedName>
    <definedName name="mg01s.Stat" localSheetId="7">'RES_es-ES'!$B$17</definedName>
    <definedName name="mg01s.Stat" localSheetId="8">'RES_fi-FI'!$B$17</definedName>
    <definedName name="mg01s.Stat" localSheetId="1">'RES_fr-FR'!$B$17</definedName>
    <definedName name="mg01s.Stat" localSheetId="9">'RES_hr-HR'!$B$17</definedName>
    <definedName name="mg01s.Stat" localSheetId="10">'RES_hu-HU'!$B$17</definedName>
    <definedName name="mg01s.Stat" localSheetId="11">'RES_it-IT'!$B$17</definedName>
    <definedName name="mg01s.Stat" localSheetId="12">'RES_ja-JP'!$B$17</definedName>
    <definedName name="mg01s.Stat" localSheetId="13">'RES_ko-KR'!$B$17</definedName>
    <definedName name="mg01s.Stat" localSheetId="14">'RES_lv-LV'!$B$17</definedName>
    <definedName name="mg01s.Stat" localSheetId="15">'RES_nb-NO'!$B$17</definedName>
    <definedName name="mg01s.Stat" localSheetId="16">'RES_nl-NL'!$B$17</definedName>
    <definedName name="mg01s.Stat" localSheetId="17">'RES_pl-PL'!$B$17</definedName>
    <definedName name="mg01s.Stat" localSheetId="18">'RES_pt-BR'!$B$17</definedName>
    <definedName name="mg01s.Stat" localSheetId="19">'RES_pt-PT'!$B$17</definedName>
    <definedName name="mg01s.Stat" localSheetId="20">'RES_ro-RO'!$B$17</definedName>
    <definedName name="mg01s.Stat" localSheetId="21">'RES_ru-RU'!$B$17</definedName>
    <definedName name="mg01s.Stat" localSheetId="22">'RES_sl-SI'!$B$17</definedName>
    <definedName name="mg01s.Stat" localSheetId="23">'RES_sv-SE'!$B$17</definedName>
    <definedName name="mg01s.Stat" localSheetId="24">'RES_tr-TR'!$B$17</definedName>
    <definedName name="mg01s.Stat" localSheetId="25">'RES_zh-CN'!$B$17</definedName>
    <definedName name="mg01s.Stat" localSheetId="26">'RES_zh-TW'!$B$17</definedName>
    <definedName name="mg01s.StdDev" localSheetId="3">'RES_cs-CZ'!$B$54</definedName>
    <definedName name="mg01s.StdDev" localSheetId="4">'RES_da-DK'!$B$54</definedName>
    <definedName name="mg01s.StdDev" localSheetId="5">'RES_de-DE'!$B$54</definedName>
    <definedName name="mg01s.StdDev" localSheetId="6">'RES_el-GR'!$B$54</definedName>
    <definedName name="mg01s.StdDev" localSheetId="2">'RES_en-US'!$B$54</definedName>
    <definedName name="mg01s.StdDev" localSheetId="7">'RES_es-ES'!$B$54</definedName>
    <definedName name="mg01s.StdDev" localSheetId="8">'RES_fi-FI'!$B$54</definedName>
    <definedName name="mg01s.StdDev" localSheetId="1">'RES_fr-FR'!$B$54</definedName>
    <definedName name="mg01s.StdDev" localSheetId="9">'RES_hr-HR'!$B$54</definedName>
    <definedName name="mg01s.StdDev" localSheetId="10">'RES_hu-HU'!$B$54</definedName>
    <definedName name="mg01s.StdDev" localSheetId="11">'RES_it-IT'!$B$54</definedName>
    <definedName name="mg01s.StdDev" localSheetId="12">'RES_ja-JP'!$B$54</definedName>
    <definedName name="mg01s.StdDev" localSheetId="13">'RES_ko-KR'!$B$54</definedName>
    <definedName name="mg01s.StdDev" localSheetId="14">'RES_lv-LV'!$B$54</definedName>
    <definedName name="mg01s.StdDev" localSheetId="15">'RES_nb-NO'!$B$54</definedName>
    <definedName name="mg01s.StdDev" localSheetId="16">'RES_nl-NL'!$B$54</definedName>
    <definedName name="mg01s.StdDev" localSheetId="17">'RES_pl-PL'!$B$54</definedName>
    <definedName name="mg01s.StdDev" localSheetId="18">'RES_pt-BR'!$B$54</definedName>
    <definedName name="mg01s.StdDev" localSheetId="19">'RES_pt-PT'!$B$54</definedName>
    <definedName name="mg01s.StdDev" localSheetId="20">'RES_ro-RO'!$B$54</definedName>
    <definedName name="mg01s.StdDev" localSheetId="21">'RES_ru-RU'!$B$54</definedName>
    <definedName name="mg01s.StdDev" localSheetId="22">'RES_sl-SI'!$B$54</definedName>
    <definedName name="mg01s.StdDev" localSheetId="23">'RES_sv-SE'!$B$54</definedName>
    <definedName name="mg01s.StdDev" localSheetId="24">'RES_tr-TR'!$B$54</definedName>
    <definedName name="mg01s.StdDev" localSheetId="25">'RES_zh-CN'!$B$54</definedName>
    <definedName name="mg01s.StdDev" localSheetId="26">'RES_zh-TW'!$B$54</definedName>
    <definedName name="mg01s.StdErr" localSheetId="3">'RES_cs-CZ'!$B$51</definedName>
    <definedName name="mg01s.StdErr" localSheetId="4">'RES_da-DK'!$B$51</definedName>
    <definedName name="mg01s.StdErr" localSheetId="5">'RES_de-DE'!$B$51</definedName>
    <definedName name="mg01s.StdErr" localSheetId="6">'RES_el-GR'!$B$51</definedName>
    <definedName name="mg01s.StdErr" localSheetId="2">'RES_en-US'!$B$51</definedName>
    <definedName name="mg01s.StdErr" localSheetId="7">'RES_es-ES'!$B$51</definedName>
    <definedName name="mg01s.StdErr" localSheetId="8">'RES_fi-FI'!$B$51</definedName>
    <definedName name="mg01s.StdErr" localSheetId="1">'RES_fr-FR'!$B$51</definedName>
    <definedName name="mg01s.StdErr" localSheetId="9">'RES_hr-HR'!$B$51</definedName>
    <definedName name="mg01s.StdErr" localSheetId="10">'RES_hu-HU'!$B$51</definedName>
    <definedName name="mg01s.StdErr" localSheetId="11">'RES_it-IT'!$B$51</definedName>
    <definedName name="mg01s.StdErr" localSheetId="12">'RES_ja-JP'!$B$51</definedName>
    <definedName name="mg01s.StdErr" localSheetId="13">'RES_ko-KR'!$B$51</definedName>
    <definedName name="mg01s.StdErr" localSheetId="14">'RES_lv-LV'!$B$51</definedName>
    <definedName name="mg01s.StdErr" localSheetId="15">'RES_nb-NO'!$B$51</definedName>
    <definedName name="mg01s.StdErr" localSheetId="16">'RES_nl-NL'!$B$51</definedName>
    <definedName name="mg01s.StdErr" localSheetId="17">'RES_pl-PL'!$B$51</definedName>
    <definedName name="mg01s.StdErr" localSheetId="18">'RES_pt-BR'!$B$51</definedName>
    <definedName name="mg01s.StdErr" localSheetId="19">'RES_pt-PT'!$B$51</definedName>
    <definedName name="mg01s.StdErr" localSheetId="20">'RES_ro-RO'!$B$51</definedName>
    <definedName name="mg01s.StdErr" localSheetId="21">'RES_ru-RU'!$B$51</definedName>
    <definedName name="mg01s.StdErr" localSheetId="22">'RES_sl-SI'!$B$51</definedName>
    <definedName name="mg01s.StdErr" localSheetId="23">'RES_sv-SE'!$B$51</definedName>
    <definedName name="mg01s.StdErr" localSheetId="24">'RES_tr-TR'!$B$51</definedName>
    <definedName name="mg01s.StdErr" localSheetId="25">'RES_zh-CN'!$B$51</definedName>
    <definedName name="mg01s.StdErr" localSheetId="26">'RES_zh-TW'!$B$51</definedName>
    <definedName name="mg01s.StdResid" localSheetId="3">'RES_cs-CZ'!$B$120</definedName>
    <definedName name="mg01s.StdResid" localSheetId="4">'RES_da-DK'!$B$120</definedName>
    <definedName name="mg01s.StdResid" localSheetId="5">'RES_de-DE'!$B$120</definedName>
    <definedName name="mg01s.StdResid" localSheetId="6">'RES_el-GR'!$B$120</definedName>
    <definedName name="mg01s.StdResid" localSheetId="2">'RES_en-US'!$B$120</definedName>
    <definedName name="mg01s.StdResid" localSheetId="7">'RES_es-ES'!$B$120</definedName>
    <definedName name="mg01s.StdResid" localSheetId="8">'RES_fi-FI'!$B$120</definedName>
    <definedName name="mg01s.StdResid" localSheetId="1">'RES_fr-FR'!$B$120</definedName>
    <definedName name="mg01s.StdResid" localSheetId="9">'RES_hr-HR'!$B$120</definedName>
    <definedName name="mg01s.StdResid" localSheetId="10">'RES_hu-HU'!$B$120</definedName>
    <definedName name="mg01s.StdResid" localSheetId="11">'RES_it-IT'!$B$120</definedName>
    <definedName name="mg01s.StdResid" localSheetId="12">'RES_ja-JP'!$B$120</definedName>
    <definedName name="mg01s.StdResid" localSheetId="13">'RES_ko-KR'!$B$120</definedName>
    <definedName name="mg01s.StdResid" localSheetId="14">'RES_lv-LV'!$B$120</definedName>
    <definedName name="mg01s.StdResid" localSheetId="15">'RES_nb-NO'!$B$120</definedName>
    <definedName name="mg01s.StdResid" localSheetId="16">'RES_nl-NL'!$B$120</definedName>
    <definedName name="mg01s.StdResid" localSheetId="17">'RES_pl-PL'!$B$120</definedName>
    <definedName name="mg01s.StdResid" localSheetId="18">'RES_pt-BR'!$B$120</definedName>
    <definedName name="mg01s.StdResid" localSheetId="19">'RES_pt-PT'!$B$120</definedName>
    <definedName name="mg01s.StdResid" localSheetId="20">'RES_ro-RO'!$B$120</definedName>
    <definedName name="mg01s.StdResid" localSheetId="21">'RES_ru-RU'!$B$120</definedName>
    <definedName name="mg01s.StdResid" localSheetId="22">'RES_sl-SI'!$B$120</definedName>
    <definedName name="mg01s.StdResid" localSheetId="23">'RES_sv-SE'!$B$120</definedName>
    <definedName name="mg01s.StdResid" localSheetId="24">'RES_tr-TR'!$B$120</definedName>
    <definedName name="mg01s.StdResid" localSheetId="25">'RES_zh-CN'!$B$120</definedName>
    <definedName name="mg01s.StdResid" localSheetId="26">'RES_zh-TW'!$B$120</definedName>
    <definedName name="mg01s.Sum" localSheetId="3">'RES_cs-CZ'!$B$28</definedName>
    <definedName name="mg01s.Sum" localSheetId="4">'RES_da-DK'!$B$28</definedName>
    <definedName name="mg01s.Sum" localSheetId="5">'RES_de-DE'!$B$28</definedName>
    <definedName name="mg01s.Sum" localSheetId="6">'RES_el-GR'!$B$28</definedName>
    <definedName name="mg01s.Sum" localSheetId="2">'RES_en-US'!$B$28</definedName>
    <definedName name="mg01s.Sum" localSheetId="7">'RES_es-ES'!$B$28</definedName>
    <definedName name="mg01s.Sum" localSheetId="8">'RES_fi-FI'!$B$28</definedName>
    <definedName name="mg01s.Sum" localSheetId="1">'RES_fr-FR'!$B$28</definedName>
    <definedName name="mg01s.Sum" localSheetId="9">'RES_hr-HR'!$B$28</definedName>
    <definedName name="mg01s.Sum" localSheetId="10">'RES_hu-HU'!$B$28</definedName>
    <definedName name="mg01s.Sum" localSheetId="11">'RES_it-IT'!$B$28</definedName>
    <definedName name="mg01s.Sum" localSheetId="12">'RES_ja-JP'!$B$28</definedName>
    <definedName name="mg01s.Sum" localSheetId="13">'RES_ko-KR'!$B$28</definedName>
    <definedName name="mg01s.Sum" localSheetId="14">'RES_lv-LV'!$B$28</definedName>
    <definedName name="mg01s.Sum" localSheetId="15">'RES_nb-NO'!$B$28</definedName>
    <definedName name="mg01s.Sum" localSheetId="16">'RES_nl-NL'!$B$28</definedName>
    <definedName name="mg01s.Sum" localSheetId="17">'RES_pl-PL'!$B$28</definedName>
    <definedName name="mg01s.Sum" localSheetId="18">'RES_pt-BR'!$B$28</definedName>
    <definedName name="mg01s.Sum" localSheetId="19">'RES_pt-PT'!$B$28</definedName>
    <definedName name="mg01s.Sum" localSheetId="20">'RES_ro-RO'!$B$28</definedName>
    <definedName name="mg01s.Sum" localSheetId="21">'RES_ru-RU'!$B$28</definedName>
    <definedName name="mg01s.Sum" localSheetId="22">'RES_sl-SI'!$B$28</definedName>
    <definedName name="mg01s.Sum" localSheetId="23">'RES_sv-SE'!$B$28</definedName>
    <definedName name="mg01s.Sum" localSheetId="24">'RES_tr-TR'!$B$28</definedName>
    <definedName name="mg01s.Sum" localSheetId="25">'RES_zh-CN'!$B$28</definedName>
    <definedName name="mg01s.Sum" localSheetId="26">'RES_zh-TW'!$B$28</definedName>
    <definedName name="mg01s.Summary" localSheetId="3">'RES_cs-CZ'!$B$25</definedName>
    <definedName name="mg01s.Summary" localSheetId="4">'RES_da-DK'!$B$25</definedName>
    <definedName name="mg01s.Summary" localSheetId="5">'RES_de-DE'!$B$25</definedName>
    <definedName name="mg01s.Summary" localSheetId="6">'RES_el-GR'!$B$25</definedName>
    <definedName name="mg01s.Summary" localSheetId="2">'RES_en-US'!$B$25</definedName>
    <definedName name="mg01s.Summary" localSheetId="7">'RES_es-ES'!$B$25</definedName>
    <definedName name="mg01s.Summary" localSheetId="8">'RES_fi-FI'!$B$25</definedName>
    <definedName name="mg01s.Summary" localSheetId="1">'RES_fr-FR'!$B$25</definedName>
    <definedName name="mg01s.Summary" localSheetId="9">'RES_hr-HR'!$B$25</definedName>
    <definedName name="mg01s.Summary" localSheetId="10">'RES_hu-HU'!$B$25</definedName>
    <definedName name="mg01s.Summary" localSheetId="11">'RES_it-IT'!$B$25</definedName>
    <definedName name="mg01s.Summary" localSheetId="12">'RES_ja-JP'!$B$25</definedName>
    <definedName name="mg01s.Summary" localSheetId="13">'RES_ko-KR'!$B$25</definedName>
    <definedName name="mg01s.Summary" localSheetId="14">'RES_lv-LV'!$B$25</definedName>
    <definedName name="mg01s.Summary" localSheetId="15">'RES_nb-NO'!$B$25</definedName>
    <definedName name="mg01s.Summary" localSheetId="16">'RES_nl-NL'!$B$25</definedName>
    <definedName name="mg01s.Summary" localSheetId="17">'RES_pl-PL'!$B$25</definedName>
    <definedName name="mg01s.Summary" localSheetId="18">'RES_pt-BR'!$B$25</definedName>
    <definedName name="mg01s.Summary" localSheetId="19">'RES_pt-PT'!$B$25</definedName>
    <definedName name="mg01s.Summary" localSheetId="20">'RES_ro-RO'!$B$25</definedName>
    <definedName name="mg01s.Summary" localSheetId="21">'RES_ru-RU'!$B$25</definedName>
    <definedName name="mg01s.Summary" localSheetId="22">'RES_sl-SI'!$B$25</definedName>
    <definedName name="mg01s.Summary" localSheetId="23">'RES_sv-SE'!$B$25</definedName>
    <definedName name="mg01s.Summary" localSheetId="24">'RES_tr-TR'!$B$25</definedName>
    <definedName name="mg01s.Summary" localSheetId="25">'RES_zh-CN'!$B$25</definedName>
    <definedName name="mg01s.Summary" localSheetId="26">'RES_zh-TW'!$B$25</definedName>
    <definedName name="mg01s.SumOut" localSheetId="3">'RES_cs-CZ'!$B$124</definedName>
    <definedName name="mg01s.SumOut" localSheetId="4">'RES_da-DK'!$B$124</definedName>
    <definedName name="mg01s.SumOut" localSheetId="5">'RES_de-DE'!$B$124</definedName>
    <definedName name="mg01s.SumOut" localSheetId="6">'RES_el-GR'!$B$124</definedName>
    <definedName name="mg01s.SumOut" localSheetId="2">'RES_en-US'!$B$124</definedName>
    <definedName name="mg01s.SumOut" localSheetId="7">'RES_es-ES'!$B$124</definedName>
    <definedName name="mg01s.SumOut" localSheetId="8">'RES_fi-FI'!$B$124</definedName>
    <definedName name="mg01s.SumOut" localSheetId="1">'RES_fr-FR'!$B$124</definedName>
    <definedName name="mg01s.SumOut" localSheetId="9">'RES_hr-HR'!$B$124</definedName>
    <definedName name="mg01s.SumOut" localSheetId="10">'RES_hu-HU'!$B$124</definedName>
    <definedName name="mg01s.SumOut" localSheetId="11">'RES_it-IT'!$B$124</definedName>
    <definedName name="mg01s.SumOut" localSheetId="12">'RES_ja-JP'!$B$124</definedName>
    <definedName name="mg01s.SumOut" localSheetId="13">'RES_ko-KR'!$B$124</definedName>
    <definedName name="mg01s.SumOut" localSheetId="14">'RES_lv-LV'!$B$124</definedName>
    <definedName name="mg01s.SumOut" localSheetId="15">'RES_nb-NO'!$B$124</definedName>
    <definedName name="mg01s.SumOut" localSheetId="16">'RES_nl-NL'!$B$124</definedName>
    <definedName name="mg01s.SumOut" localSheetId="17">'RES_pl-PL'!$B$124</definedName>
    <definedName name="mg01s.SumOut" localSheetId="18">'RES_pt-BR'!$B$124</definedName>
    <definedName name="mg01s.SumOut" localSheetId="19">'RES_pt-PT'!$B$124</definedName>
    <definedName name="mg01s.SumOut" localSheetId="20">'RES_ro-RO'!$B$124</definedName>
    <definedName name="mg01s.SumOut" localSheetId="21">'RES_ru-RU'!$B$124</definedName>
    <definedName name="mg01s.SumOut" localSheetId="22">'RES_sl-SI'!$B$124</definedName>
    <definedName name="mg01s.SumOut" localSheetId="23">'RES_sv-SE'!$B$124</definedName>
    <definedName name="mg01s.SumOut" localSheetId="24">'RES_tr-TR'!$B$124</definedName>
    <definedName name="mg01s.SumOut" localSheetId="25">'RES_zh-CN'!$B$124</definedName>
    <definedName name="mg01s.SumOut" localSheetId="26">'RES_zh-TW'!$B$124</definedName>
    <definedName name="mg01s.TCrit1" localSheetId="3">'RES_cs-CZ'!$B$91</definedName>
    <definedName name="mg01s.TCrit1" localSheetId="4">'RES_da-DK'!$B$91</definedName>
    <definedName name="mg01s.TCrit1" localSheetId="5">'RES_de-DE'!$B$91</definedName>
    <definedName name="mg01s.TCrit1" localSheetId="6">'RES_el-GR'!$B$91</definedName>
    <definedName name="mg01s.TCrit1" localSheetId="2">'RES_en-US'!$B$91</definedName>
    <definedName name="mg01s.TCrit1" localSheetId="7">'RES_es-ES'!$B$91</definedName>
    <definedName name="mg01s.TCrit1" localSheetId="8">'RES_fi-FI'!$B$91</definedName>
    <definedName name="mg01s.TCrit1" localSheetId="1">'RES_fr-FR'!$B$91</definedName>
    <definedName name="mg01s.TCrit1" localSheetId="9">'RES_hr-HR'!$B$91</definedName>
    <definedName name="mg01s.TCrit1" localSheetId="10">'RES_hu-HU'!$B$91</definedName>
    <definedName name="mg01s.TCrit1" localSheetId="11">'RES_it-IT'!$B$91</definedName>
    <definedName name="mg01s.TCrit1" localSheetId="12">'RES_ja-JP'!$B$91</definedName>
    <definedName name="mg01s.TCrit1" localSheetId="13">'RES_ko-KR'!$B$91</definedName>
    <definedName name="mg01s.TCrit1" localSheetId="14">'RES_lv-LV'!$B$91</definedName>
    <definedName name="mg01s.TCrit1" localSheetId="15">'RES_nb-NO'!$B$91</definedName>
    <definedName name="mg01s.TCrit1" localSheetId="16">'RES_nl-NL'!$B$91</definedName>
    <definedName name="mg01s.TCrit1" localSheetId="17">'RES_pl-PL'!$B$91</definedName>
    <definedName name="mg01s.TCrit1" localSheetId="18">'RES_pt-BR'!$B$91</definedName>
    <definedName name="mg01s.TCrit1" localSheetId="19">'RES_pt-PT'!$B$91</definedName>
    <definedName name="mg01s.TCrit1" localSheetId="20">'RES_ro-RO'!$B$91</definedName>
    <definedName name="mg01s.TCrit1" localSheetId="21">'RES_ru-RU'!$B$91</definedName>
    <definedName name="mg01s.TCrit1" localSheetId="22">'RES_sl-SI'!$B$91</definedName>
    <definedName name="mg01s.TCrit1" localSheetId="23">'RES_sv-SE'!$B$91</definedName>
    <definedName name="mg01s.TCrit1" localSheetId="24">'RES_tr-TR'!$B$91</definedName>
    <definedName name="mg01s.TCrit1" localSheetId="25">'RES_zh-CN'!$B$91</definedName>
    <definedName name="mg01s.TCrit1" localSheetId="26">'RES_zh-TW'!$B$91</definedName>
    <definedName name="mg01s.TCrit2" localSheetId="3">'RES_cs-CZ'!$B$92</definedName>
    <definedName name="mg01s.TCrit2" localSheetId="4">'RES_da-DK'!$B$92</definedName>
    <definedName name="mg01s.TCrit2" localSheetId="5">'RES_de-DE'!$B$92</definedName>
    <definedName name="mg01s.TCrit2" localSheetId="6">'RES_el-GR'!$B$92</definedName>
    <definedName name="mg01s.TCrit2" localSheetId="2">'RES_en-US'!$B$92</definedName>
    <definedName name="mg01s.TCrit2" localSheetId="7">'RES_es-ES'!$B$92</definedName>
    <definedName name="mg01s.TCrit2" localSheetId="8">'RES_fi-FI'!$B$92</definedName>
    <definedName name="mg01s.TCrit2" localSheetId="1">'RES_fr-FR'!$B$92</definedName>
    <definedName name="mg01s.TCrit2" localSheetId="9">'RES_hr-HR'!$B$92</definedName>
    <definedName name="mg01s.TCrit2" localSheetId="10">'RES_hu-HU'!$B$92</definedName>
    <definedName name="mg01s.TCrit2" localSheetId="11">'RES_it-IT'!$B$92</definedName>
    <definedName name="mg01s.TCrit2" localSheetId="12">'RES_ja-JP'!$B$92</definedName>
    <definedName name="mg01s.TCrit2" localSheetId="13">'RES_ko-KR'!$B$92</definedName>
    <definedName name="mg01s.TCrit2" localSheetId="14">'RES_lv-LV'!$B$92</definedName>
    <definedName name="mg01s.TCrit2" localSheetId="15">'RES_nb-NO'!$B$92</definedName>
    <definedName name="mg01s.TCrit2" localSheetId="16">'RES_nl-NL'!$B$92</definedName>
    <definedName name="mg01s.TCrit2" localSheetId="17">'RES_pl-PL'!$B$92</definedName>
    <definedName name="mg01s.TCrit2" localSheetId="18">'RES_pt-BR'!$B$92</definedName>
    <definedName name="mg01s.TCrit2" localSheetId="19">'RES_pt-PT'!$B$92</definedName>
    <definedName name="mg01s.TCrit2" localSheetId="20">'RES_ro-RO'!$B$92</definedName>
    <definedName name="mg01s.TCrit2" localSheetId="21">'RES_ru-RU'!$B$92</definedName>
    <definedName name="mg01s.TCrit2" localSheetId="22">'RES_sl-SI'!$B$92</definedName>
    <definedName name="mg01s.TCrit2" localSheetId="23">'RES_sv-SE'!$B$92</definedName>
    <definedName name="mg01s.TCrit2" localSheetId="24">'RES_tr-TR'!$B$92</definedName>
    <definedName name="mg01s.TCrit2" localSheetId="25">'RES_zh-CN'!$B$92</definedName>
    <definedName name="mg01s.TCrit2" localSheetId="26">'RES_zh-TW'!$B$92</definedName>
    <definedName name="mg01s.Total" localSheetId="3">'RES_cs-CZ'!$B$39</definedName>
    <definedName name="mg01s.Total" localSheetId="4">'RES_da-DK'!$B$39</definedName>
    <definedName name="mg01s.Total" localSheetId="5">'RES_de-DE'!$B$39</definedName>
    <definedName name="mg01s.Total" localSheetId="6">'RES_el-GR'!$B$39</definedName>
    <definedName name="mg01s.Total" localSheetId="2">'RES_en-US'!$B$39</definedName>
    <definedName name="mg01s.Total" localSheetId="7">'RES_es-ES'!$B$39</definedName>
    <definedName name="mg01s.Total" localSheetId="8">'RES_fi-FI'!$B$39</definedName>
    <definedName name="mg01s.Total" localSheetId="1">'RES_fr-FR'!$B$39</definedName>
    <definedName name="mg01s.Total" localSheetId="9">'RES_hr-HR'!$B$39</definedName>
    <definedName name="mg01s.Total" localSheetId="10">'RES_hu-HU'!$B$39</definedName>
    <definedName name="mg01s.Total" localSheetId="11">'RES_it-IT'!$B$39</definedName>
    <definedName name="mg01s.Total" localSheetId="12">'RES_ja-JP'!$B$39</definedName>
    <definedName name="mg01s.Total" localSheetId="13">'RES_ko-KR'!$B$39</definedName>
    <definedName name="mg01s.Total" localSheetId="14">'RES_lv-LV'!$B$39</definedName>
    <definedName name="mg01s.Total" localSheetId="15">'RES_nb-NO'!$B$39</definedName>
    <definedName name="mg01s.Total" localSheetId="16">'RES_nl-NL'!$B$39</definedName>
    <definedName name="mg01s.Total" localSheetId="17">'RES_pl-PL'!$B$39</definedName>
    <definedName name="mg01s.Total" localSheetId="18">'RES_pt-BR'!$B$39</definedName>
    <definedName name="mg01s.Total" localSheetId="19">'RES_pt-PT'!$B$39</definedName>
    <definedName name="mg01s.Total" localSheetId="20">'RES_ro-RO'!$B$39</definedName>
    <definedName name="mg01s.Total" localSheetId="21">'RES_ru-RU'!$B$39</definedName>
    <definedName name="mg01s.Total" localSheetId="22">'RES_sl-SI'!$B$39</definedName>
    <definedName name="mg01s.Total" localSheetId="23">'RES_sv-SE'!$B$39</definedName>
    <definedName name="mg01s.Total" localSheetId="24">'RES_tr-TR'!$B$39</definedName>
    <definedName name="mg01s.Total" localSheetId="25">'RES_zh-CN'!$B$39</definedName>
    <definedName name="mg01s.Total" localSheetId="26">'RES_zh-TW'!$B$39</definedName>
    <definedName name="mg01s.tStat" localSheetId="3">'RES_cs-CZ'!$B$90</definedName>
    <definedName name="mg01s.tStat" localSheetId="4">'RES_da-DK'!$B$90</definedName>
    <definedName name="mg01s.tStat" localSheetId="5">'RES_de-DE'!$B$90</definedName>
    <definedName name="mg01s.tStat" localSheetId="6">'RES_el-GR'!$B$90</definedName>
    <definedName name="mg01s.tStat" localSheetId="2">'RES_en-US'!$B$90</definedName>
    <definedName name="mg01s.tStat" localSheetId="7">'RES_es-ES'!$B$90</definedName>
    <definedName name="mg01s.tStat" localSheetId="8">'RES_fi-FI'!$B$90</definedName>
    <definedName name="mg01s.tStat" localSheetId="1">'RES_fr-FR'!$B$90</definedName>
    <definedName name="mg01s.tStat" localSheetId="9">'RES_hr-HR'!$B$90</definedName>
    <definedName name="mg01s.tStat" localSheetId="10">'RES_hu-HU'!$B$90</definedName>
    <definedName name="mg01s.tStat" localSheetId="11">'RES_it-IT'!$B$90</definedName>
    <definedName name="mg01s.tStat" localSheetId="12">'RES_ja-JP'!$B$90</definedName>
    <definedName name="mg01s.tStat" localSheetId="13">'RES_ko-KR'!$B$90</definedName>
    <definedName name="mg01s.tStat" localSheetId="14">'RES_lv-LV'!$B$90</definedName>
    <definedName name="mg01s.tStat" localSheetId="15">'RES_nb-NO'!$B$90</definedName>
    <definedName name="mg01s.tStat" localSheetId="16">'RES_nl-NL'!$B$90</definedName>
    <definedName name="mg01s.tStat" localSheetId="17">'RES_pl-PL'!$B$90</definedName>
    <definedName name="mg01s.tStat" localSheetId="18">'RES_pt-BR'!$B$90</definedName>
    <definedName name="mg01s.tStat" localSheetId="19">'RES_pt-PT'!$B$90</definedName>
    <definedName name="mg01s.tStat" localSheetId="20">'RES_ro-RO'!$B$90</definedName>
    <definedName name="mg01s.tStat" localSheetId="21">'RES_ru-RU'!$B$90</definedName>
    <definedName name="mg01s.tStat" localSheetId="22">'RES_sl-SI'!$B$90</definedName>
    <definedName name="mg01s.tStat" localSheetId="23">'RES_sv-SE'!$B$90</definedName>
    <definedName name="mg01s.tStat" localSheetId="24">'RES_tr-TR'!$B$90</definedName>
    <definedName name="mg01s.tStat" localSheetId="25">'RES_zh-CN'!$B$90</definedName>
    <definedName name="mg01s.tStat" localSheetId="26">'RES_zh-TW'!$B$90</definedName>
    <definedName name="mg01s.TTEqVar" localSheetId="3">'RES_cs-CZ'!$B$79</definedName>
    <definedName name="mg01s.TTEqVar" localSheetId="4">'RES_da-DK'!$B$79</definedName>
    <definedName name="mg01s.TTEqVar" localSheetId="5">'RES_de-DE'!$B$79</definedName>
    <definedName name="mg01s.TTEqVar" localSheetId="6">'RES_el-GR'!$B$79</definedName>
    <definedName name="mg01s.TTEqVar" localSheetId="2">'RES_en-US'!$B$79</definedName>
    <definedName name="mg01s.TTEqVar" localSheetId="7">'RES_es-ES'!$B$79</definedName>
    <definedName name="mg01s.TTEqVar" localSheetId="8">'RES_fi-FI'!$B$79</definedName>
    <definedName name="mg01s.TTEqVar" localSheetId="1">'RES_fr-FR'!$B$79</definedName>
    <definedName name="mg01s.TTEqVar" localSheetId="9">'RES_hr-HR'!$B$79</definedName>
    <definedName name="mg01s.TTEqVar" localSheetId="10">'RES_hu-HU'!$B$79</definedName>
    <definedName name="mg01s.TTEqVar" localSheetId="11">'RES_it-IT'!$B$79</definedName>
    <definedName name="mg01s.TTEqVar" localSheetId="12">'RES_ja-JP'!$B$79</definedName>
    <definedName name="mg01s.TTEqVar" localSheetId="13">'RES_ko-KR'!$B$79</definedName>
    <definedName name="mg01s.TTEqVar" localSheetId="14">'RES_lv-LV'!$B$79</definedName>
    <definedName name="mg01s.TTEqVar" localSheetId="15">'RES_nb-NO'!$B$79</definedName>
    <definedName name="mg01s.TTEqVar" localSheetId="16">'RES_nl-NL'!$B$79</definedName>
    <definedName name="mg01s.TTEqVar" localSheetId="17">'RES_pl-PL'!$B$79</definedName>
    <definedName name="mg01s.TTEqVar" localSheetId="18">'RES_pt-BR'!$B$79</definedName>
    <definedName name="mg01s.TTEqVar" localSheetId="19">'RES_pt-PT'!$B$79</definedName>
    <definedName name="mg01s.TTEqVar" localSheetId="20">'RES_ro-RO'!$B$79</definedName>
    <definedName name="mg01s.TTEqVar" localSheetId="21">'RES_ru-RU'!$B$79</definedName>
    <definedName name="mg01s.TTEqVar" localSheetId="22">'RES_sl-SI'!$B$79</definedName>
    <definedName name="mg01s.TTEqVar" localSheetId="23">'RES_sv-SE'!$B$79</definedName>
    <definedName name="mg01s.TTEqVar" localSheetId="24">'RES_tr-TR'!$B$79</definedName>
    <definedName name="mg01s.TTEqVar" localSheetId="25">'RES_zh-CN'!$B$79</definedName>
    <definedName name="mg01s.TTEqVar" localSheetId="26">'RES_zh-TW'!$B$79</definedName>
    <definedName name="mg01s.TTPaired" localSheetId="3">'RES_cs-CZ'!$B$80</definedName>
    <definedName name="mg01s.TTPaired" localSheetId="4">'RES_da-DK'!$B$80</definedName>
    <definedName name="mg01s.TTPaired" localSheetId="5">'RES_de-DE'!$B$80</definedName>
    <definedName name="mg01s.TTPaired" localSheetId="6">'RES_el-GR'!$B$80</definedName>
    <definedName name="mg01s.TTPaired" localSheetId="2">'RES_en-US'!$B$80</definedName>
    <definedName name="mg01s.TTPaired" localSheetId="7">'RES_es-ES'!$B$80</definedName>
    <definedName name="mg01s.TTPaired" localSheetId="8">'RES_fi-FI'!$B$80</definedName>
    <definedName name="mg01s.TTPaired" localSheetId="1">'RES_fr-FR'!$B$80</definedName>
    <definedName name="mg01s.TTPaired" localSheetId="9">'RES_hr-HR'!$B$80</definedName>
    <definedName name="mg01s.TTPaired" localSheetId="10">'RES_hu-HU'!$B$80</definedName>
    <definedName name="mg01s.TTPaired" localSheetId="11">'RES_it-IT'!$B$80</definedName>
    <definedName name="mg01s.TTPaired" localSheetId="12">'RES_ja-JP'!$B$80</definedName>
    <definedName name="mg01s.TTPaired" localSheetId="13">'RES_ko-KR'!$B$80</definedName>
    <definedName name="mg01s.TTPaired" localSheetId="14">'RES_lv-LV'!$B$80</definedName>
    <definedName name="mg01s.TTPaired" localSheetId="15">'RES_nb-NO'!$B$80</definedName>
    <definedName name="mg01s.TTPaired" localSheetId="16">'RES_nl-NL'!$B$80</definedName>
    <definedName name="mg01s.TTPaired" localSheetId="17">'RES_pl-PL'!$B$80</definedName>
    <definedName name="mg01s.TTPaired" localSheetId="18">'RES_pt-BR'!$B$80</definedName>
    <definedName name="mg01s.TTPaired" localSheetId="19">'RES_pt-PT'!$B$80</definedName>
    <definedName name="mg01s.TTPaired" localSheetId="20">'RES_ro-RO'!$B$80</definedName>
    <definedName name="mg01s.TTPaired" localSheetId="21">'RES_ru-RU'!$B$80</definedName>
    <definedName name="mg01s.TTPaired" localSheetId="22">'RES_sl-SI'!$B$80</definedName>
    <definedName name="mg01s.TTPaired" localSheetId="23">'RES_sv-SE'!$B$80</definedName>
    <definedName name="mg01s.TTPaired" localSheetId="24">'RES_tr-TR'!$B$80</definedName>
    <definedName name="mg01s.TTPaired" localSheetId="25">'RES_zh-CN'!$B$80</definedName>
    <definedName name="mg01s.TTPaired" localSheetId="26">'RES_zh-TW'!$B$80</definedName>
    <definedName name="mg01s.TTUEqVar" localSheetId="3">'RES_cs-CZ'!$B$81</definedName>
    <definedName name="mg01s.TTUEqVar" localSheetId="4">'RES_da-DK'!$B$81</definedName>
    <definedName name="mg01s.TTUEqVar" localSheetId="5">'RES_de-DE'!$B$81</definedName>
    <definedName name="mg01s.TTUEqVar" localSheetId="6">'RES_el-GR'!$B$81</definedName>
    <definedName name="mg01s.TTUEqVar" localSheetId="2">'RES_en-US'!$B$81</definedName>
    <definedName name="mg01s.TTUEqVar" localSheetId="7">'RES_es-ES'!$B$81</definedName>
    <definedName name="mg01s.TTUEqVar" localSheetId="8">'RES_fi-FI'!$B$81</definedName>
    <definedName name="mg01s.TTUEqVar" localSheetId="1">'RES_fr-FR'!$B$81</definedName>
    <definedName name="mg01s.TTUEqVar" localSheetId="9">'RES_hr-HR'!$B$81</definedName>
    <definedName name="mg01s.TTUEqVar" localSheetId="10">'RES_hu-HU'!$B$81</definedName>
    <definedName name="mg01s.TTUEqVar" localSheetId="11">'RES_it-IT'!$B$81</definedName>
    <definedName name="mg01s.TTUEqVar" localSheetId="12">'RES_ja-JP'!$B$81</definedName>
    <definedName name="mg01s.TTUEqVar" localSheetId="13">'RES_ko-KR'!$B$81</definedName>
    <definedName name="mg01s.TTUEqVar" localSheetId="14">'RES_lv-LV'!$B$81</definedName>
    <definedName name="mg01s.TTUEqVar" localSheetId="15">'RES_nb-NO'!$B$81</definedName>
    <definedName name="mg01s.TTUEqVar" localSheetId="16">'RES_nl-NL'!$B$81</definedName>
    <definedName name="mg01s.TTUEqVar" localSheetId="17">'RES_pl-PL'!$B$81</definedName>
    <definedName name="mg01s.TTUEqVar" localSheetId="18">'RES_pt-BR'!$B$81</definedName>
    <definedName name="mg01s.TTUEqVar" localSheetId="19">'RES_pt-PT'!$B$81</definedName>
    <definedName name="mg01s.TTUEqVar" localSheetId="20">'RES_ro-RO'!$B$81</definedName>
    <definedName name="mg01s.TTUEqVar" localSheetId="21">'RES_ru-RU'!$B$81</definedName>
    <definedName name="mg01s.TTUEqVar" localSheetId="22">'RES_sl-SI'!$B$81</definedName>
    <definedName name="mg01s.TTUEqVar" localSheetId="23">'RES_sv-SE'!$B$81</definedName>
    <definedName name="mg01s.TTUEqVar" localSheetId="24">'RES_tr-TR'!$B$81</definedName>
    <definedName name="mg01s.TTUEqVar" localSheetId="25">'RES_zh-CN'!$B$81</definedName>
    <definedName name="mg01s.TTUEqVar" localSheetId="26">'RES_zh-TW'!$B$81</definedName>
    <definedName name="mg01s.Upper" localSheetId="3">'RES_cs-CZ'!$B$134</definedName>
    <definedName name="mg01s.Upper" localSheetId="4">'RES_da-DK'!$B$134</definedName>
    <definedName name="mg01s.Upper" localSheetId="5">'RES_de-DE'!$B$134</definedName>
    <definedName name="mg01s.Upper" localSheetId="6">'RES_el-GR'!$B$134</definedName>
    <definedName name="mg01s.Upper" localSheetId="2">'RES_en-US'!$B$134</definedName>
    <definedName name="mg01s.Upper" localSheetId="7">'RES_es-ES'!$B$134</definedName>
    <definedName name="mg01s.Upper" localSheetId="8">'RES_fi-FI'!$B$134</definedName>
    <definedName name="mg01s.Upper" localSheetId="1">'RES_fr-FR'!$B$134</definedName>
    <definedName name="mg01s.Upper" localSheetId="9">'RES_hr-HR'!$B$134</definedName>
    <definedName name="mg01s.Upper" localSheetId="10">'RES_hu-HU'!$B$134</definedName>
    <definedName name="mg01s.Upper" localSheetId="11">'RES_it-IT'!$B$134</definedName>
    <definedName name="mg01s.Upper" localSheetId="12">'RES_ja-JP'!$B$134</definedName>
    <definedName name="mg01s.Upper" localSheetId="13">'RES_ko-KR'!$B$134</definedName>
    <definedName name="mg01s.Upper" localSheetId="14">'RES_lv-LV'!$B$134</definedName>
    <definedName name="mg01s.Upper" localSheetId="15">'RES_nb-NO'!$B$134</definedName>
    <definedName name="mg01s.Upper" localSheetId="16">'RES_nl-NL'!$B$134</definedName>
    <definedName name="mg01s.Upper" localSheetId="17">'RES_pl-PL'!$B$134</definedName>
    <definedName name="mg01s.Upper" localSheetId="18">'RES_pt-BR'!$B$134</definedName>
    <definedName name="mg01s.Upper" localSheetId="19">'RES_pt-PT'!$B$134</definedName>
    <definedName name="mg01s.Upper" localSheetId="20">'RES_ro-RO'!$B$134</definedName>
    <definedName name="mg01s.Upper" localSheetId="21">'RES_ru-RU'!$B$134</definedName>
    <definedName name="mg01s.Upper" localSheetId="22">'RES_sl-SI'!$B$134</definedName>
    <definedName name="mg01s.Upper" localSheetId="23">'RES_sv-SE'!$B$134</definedName>
    <definedName name="mg01s.Upper" localSheetId="24">'RES_tr-TR'!$B$134</definedName>
    <definedName name="mg01s.Upper" localSheetId="25">'RES_zh-CN'!$B$134</definedName>
    <definedName name="mg01s.Upper" localSheetId="26">'RES_zh-TW'!$B$134</definedName>
    <definedName name="mg01s.Upper95" localSheetId="3">'RES_cs-CZ'!$B$135</definedName>
    <definedName name="mg01s.Upper95" localSheetId="4">'RES_da-DK'!$B$135</definedName>
    <definedName name="mg01s.Upper95" localSheetId="5">'RES_de-DE'!$B$135</definedName>
    <definedName name="mg01s.Upper95" localSheetId="6">'RES_el-GR'!$B$135</definedName>
    <definedName name="mg01s.Upper95" localSheetId="2">'RES_en-US'!$B$135</definedName>
    <definedName name="mg01s.Upper95" localSheetId="7">'RES_es-ES'!$B$135</definedName>
    <definedName name="mg01s.Upper95" localSheetId="8">'RES_fi-FI'!$B$135</definedName>
    <definedName name="mg01s.Upper95" localSheetId="1">'RES_fr-FR'!$B$135</definedName>
    <definedName name="mg01s.Upper95" localSheetId="9">'RES_hr-HR'!$B$135</definedName>
    <definedName name="mg01s.Upper95" localSheetId="10">'RES_hu-HU'!$B$135</definedName>
    <definedName name="mg01s.Upper95" localSheetId="11">'RES_it-IT'!$B$135</definedName>
    <definedName name="mg01s.Upper95" localSheetId="12">'RES_ja-JP'!$B$135</definedName>
    <definedName name="mg01s.Upper95" localSheetId="13">'RES_ko-KR'!$B$135</definedName>
    <definedName name="mg01s.Upper95" localSheetId="14">'RES_lv-LV'!$B$135</definedName>
    <definedName name="mg01s.Upper95" localSheetId="15">'RES_nb-NO'!$B$135</definedName>
    <definedName name="mg01s.Upper95" localSheetId="16">'RES_nl-NL'!$B$135</definedName>
    <definedName name="mg01s.Upper95" localSheetId="17">'RES_pl-PL'!$B$135</definedName>
    <definedName name="mg01s.Upper95" localSheetId="18">'RES_pt-BR'!$B$135</definedName>
    <definedName name="mg01s.Upper95" localSheetId="19">'RES_pt-PT'!$B$135</definedName>
    <definedName name="mg01s.Upper95" localSheetId="20">'RES_ro-RO'!$B$135</definedName>
    <definedName name="mg01s.Upper95" localSheetId="21">'RES_ru-RU'!$B$135</definedName>
    <definedName name="mg01s.Upper95" localSheetId="22">'RES_sl-SI'!$B$135</definedName>
    <definedName name="mg01s.Upper95" localSheetId="23">'RES_sv-SE'!$B$135</definedName>
    <definedName name="mg01s.Upper95" localSheetId="24">'RES_tr-TR'!$B$135</definedName>
    <definedName name="mg01s.Upper95" localSheetId="25">'RES_zh-CN'!$B$135</definedName>
    <definedName name="mg01s.Upper95" localSheetId="26">'RES_zh-TW'!$B$135</definedName>
    <definedName name="mg01s.Value" localSheetId="3">'RES_cs-CZ'!$B$71</definedName>
    <definedName name="mg01s.Value" localSheetId="4">'RES_da-DK'!$B$71</definedName>
    <definedName name="mg01s.Value" localSheetId="5">'RES_de-DE'!$B$71</definedName>
    <definedName name="mg01s.Value" localSheetId="6">'RES_el-GR'!$B$71</definedName>
    <definedName name="mg01s.Value" localSheetId="2">'RES_en-US'!$B$71</definedName>
    <definedName name="mg01s.Value" localSheetId="7">'RES_es-ES'!$B$71</definedName>
    <definedName name="mg01s.Value" localSheetId="8">'RES_fi-FI'!$B$71</definedName>
    <definedName name="mg01s.Value" localSheetId="1">'RES_fr-FR'!$B$71</definedName>
    <definedName name="mg01s.Value" localSheetId="9">'RES_hr-HR'!$B$71</definedName>
    <definedName name="mg01s.Value" localSheetId="10">'RES_hu-HU'!$B$71</definedName>
    <definedName name="mg01s.Value" localSheetId="11">'RES_it-IT'!$B$71</definedName>
    <definedName name="mg01s.Value" localSheetId="12">'RES_ja-JP'!$B$71</definedName>
    <definedName name="mg01s.Value" localSheetId="13">'RES_ko-KR'!$B$71</definedName>
    <definedName name="mg01s.Value" localSheetId="14">'RES_lv-LV'!$B$71</definedName>
    <definedName name="mg01s.Value" localSheetId="15">'RES_nb-NO'!$B$71</definedName>
    <definedName name="mg01s.Value" localSheetId="16">'RES_nl-NL'!$B$71</definedName>
    <definedName name="mg01s.Value" localSheetId="17">'RES_pl-PL'!$B$71</definedName>
    <definedName name="mg01s.Value" localSheetId="18">'RES_pt-BR'!$B$71</definedName>
    <definedName name="mg01s.Value" localSheetId="19">'RES_pt-PT'!$B$71</definedName>
    <definedName name="mg01s.Value" localSheetId="20">'RES_ro-RO'!$B$71</definedName>
    <definedName name="mg01s.Value" localSheetId="21">'RES_ru-RU'!$B$71</definedName>
    <definedName name="mg01s.Value" localSheetId="22">'RES_sl-SI'!$B$71</definedName>
    <definedName name="mg01s.Value" localSheetId="23">'RES_sv-SE'!$B$71</definedName>
    <definedName name="mg01s.Value" localSheetId="24">'RES_tr-TR'!$B$71</definedName>
    <definedName name="mg01s.Value" localSheetId="25">'RES_zh-CN'!$B$71</definedName>
    <definedName name="mg01s.Value" localSheetId="26">'RES_zh-TW'!$B$71</definedName>
    <definedName name="mg01s.Variable1" localSheetId="3">'RES_cs-CZ'!$B$93</definedName>
    <definedName name="mg01s.Variable1" localSheetId="4">'RES_da-DK'!$B$93</definedName>
    <definedName name="mg01s.Variable1" localSheetId="5">'RES_de-DE'!$B$93</definedName>
    <definedName name="mg01s.Variable1" localSheetId="6">'RES_el-GR'!$B$93</definedName>
    <definedName name="mg01s.Variable1" localSheetId="2">'RES_en-US'!$B$93</definedName>
    <definedName name="mg01s.Variable1" localSheetId="7">'RES_es-ES'!$B$93</definedName>
    <definedName name="mg01s.Variable1" localSheetId="8">'RES_fi-FI'!$B$93</definedName>
    <definedName name="mg01s.Variable1" localSheetId="1">'RES_fr-FR'!$B$93</definedName>
    <definedName name="mg01s.Variable1" localSheetId="9">'RES_hr-HR'!$B$93</definedName>
    <definedName name="mg01s.Variable1" localSheetId="10">'RES_hu-HU'!$B$93</definedName>
    <definedName name="mg01s.Variable1" localSheetId="11">'RES_it-IT'!$B$93</definedName>
    <definedName name="mg01s.Variable1" localSheetId="12">'RES_ja-JP'!$B$93</definedName>
    <definedName name="mg01s.Variable1" localSheetId="13">'RES_ko-KR'!$B$93</definedName>
    <definedName name="mg01s.Variable1" localSheetId="14">'RES_lv-LV'!$B$93</definedName>
    <definedName name="mg01s.Variable1" localSheetId="15">'RES_nb-NO'!$B$93</definedName>
    <definedName name="mg01s.Variable1" localSheetId="16">'RES_nl-NL'!$B$93</definedName>
    <definedName name="mg01s.Variable1" localSheetId="17">'RES_pl-PL'!$B$93</definedName>
    <definedName name="mg01s.Variable1" localSheetId="18">'RES_pt-BR'!$B$93</definedName>
    <definedName name="mg01s.Variable1" localSheetId="19">'RES_pt-PT'!$B$93</definedName>
    <definedName name="mg01s.Variable1" localSheetId="20">'RES_ro-RO'!$B$93</definedName>
    <definedName name="mg01s.Variable1" localSheetId="21">'RES_ru-RU'!$B$93</definedName>
    <definedName name="mg01s.Variable1" localSheetId="22">'RES_sl-SI'!$B$93</definedName>
    <definedName name="mg01s.Variable1" localSheetId="23">'RES_sv-SE'!$B$93</definedName>
    <definedName name="mg01s.Variable1" localSheetId="24">'RES_tr-TR'!$B$93</definedName>
    <definedName name="mg01s.Variable1" localSheetId="25">'RES_zh-CN'!$B$93</definedName>
    <definedName name="mg01s.Variable1" localSheetId="26">'RES_zh-TW'!$B$93</definedName>
    <definedName name="mg01s.Variable2" localSheetId="3">'RES_cs-CZ'!$B$94</definedName>
    <definedName name="mg01s.Variable2" localSheetId="4">'RES_da-DK'!$B$94</definedName>
    <definedName name="mg01s.Variable2" localSheetId="5">'RES_de-DE'!$B$94</definedName>
    <definedName name="mg01s.Variable2" localSheetId="6">'RES_el-GR'!$B$94</definedName>
    <definedName name="mg01s.Variable2" localSheetId="2">'RES_en-US'!$B$94</definedName>
    <definedName name="mg01s.Variable2" localSheetId="7">'RES_es-ES'!$B$94</definedName>
    <definedName name="mg01s.Variable2" localSheetId="8">'RES_fi-FI'!$B$94</definedName>
    <definedName name="mg01s.Variable2" localSheetId="1">'RES_fr-FR'!$B$94</definedName>
    <definedName name="mg01s.Variable2" localSheetId="9">'RES_hr-HR'!$B$94</definedName>
    <definedName name="mg01s.Variable2" localSheetId="10">'RES_hu-HU'!$B$94</definedName>
    <definedName name="mg01s.Variable2" localSheetId="11">'RES_it-IT'!$B$94</definedName>
    <definedName name="mg01s.Variable2" localSheetId="12">'RES_ja-JP'!$B$94</definedName>
    <definedName name="mg01s.Variable2" localSheetId="13">'RES_ko-KR'!$B$94</definedName>
    <definedName name="mg01s.Variable2" localSheetId="14">'RES_lv-LV'!$B$94</definedName>
    <definedName name="mg01s.Variable2" localSheetId="15">'RES_nb-NO'!$B$94</definedName>
    <definedName name="mg01s.Variable2" localSheetId="16">'RES_nl-NL'!$B$94</definedName>
    <definedName name="mg01s.Variable2" localSheetId="17">'RES_pl-PL'!$B$94</definedName>
    <definedName name="mg01s.Variable2" localSheetId="18">'RES_pt-BR'!$B$94</definedName>
    <definedName name="mg01s.Variable2" localSheetId="19">'RES_pt-PT'!$B$94</definedName>
    <definedName name="mg01s.Variable2" localSheetId="20">'RES_ro-RO'!$B$94</definedName>
    <definedName name="mg01s.Variable2" localSheetId="21">'RES_ru-RU'!$B$94</definedName>
    <definedName name="mg01s.Variable2" localSheetId="22">'RES_sl-SI'!$B$94</definedName>
    <definedName name="mg01s.Variable2" localSheetId="23">'RES_sv-SE'!$B$94</definedName>
    <definedName name="mg01s.Variable2" localSheetId="24">'RES_tr-TR'!$B$94</definedName>
    <definedName name="mg01s.Variable2" localSheetId="25">'RES_zh-CN'!$B$94</definedName>
    <definedName name="mg01s.Variable2" localSheetId="26">'RES_zh-TW'!$B$94</definedName>
    <definedName name="mg01s.VariableX" localSheetId="3">'RES_cs-CZ'!$B$136</definedName>
    <definedName name="mg01s.VariableX" localSheetId="4">'RES_da-DK'!$B$136</definedName>
    <definedName name="mg01s.VariableX" localSheetId="5">'RES_de-DE'!$B$136</definedName>
    <definedName name="mg01s.VariableX" localSheetId="6">'RES_el-GR'!$B$136</definedName>
    <definedName name="mg01s.VariableX" localSheetId="2">'RES_en-US'!$B$136</definedName>
    <definedName name="mg01s.VariableX" localSheetId="7">'RES_es-ES'!$B$136</definedName>
    <definedName name="mg01s.VariableX" localSheetId="8">'RES_fi-FI'!$B$136</definedName>
    <definedName name="mg01s.VariableX" localSheetId="1">'RES_fr-FR'!$B$136</definedName>
    <definedName name="mg01s.VariableX" localSheetId="9">'RES_hr-HR'!$B$136</definedName>
    <definedName name="mg01s.VariableX" localSheetId="10">'RES_hu-HU'!$B$136</definedName>
    <definedName name="mg01s.VariableX" localSheetId="11">'RES_it-IT'!$B$136</definedName>
    <definedName name="mg01s.VariableX" localSheetId="12">'RES_ja-JP'!$B$136</definedName>
    <definedName name="mg01s.VariableX" localSheetId="13">'RES_ko-KR'!$B$136</definedName>
    <definedName name="mg01s.VariableX" localSheetId="14">'RES_lv-LV'!$B$136</definedName>
    <definedName name="mg01s.VariableX" localSheetId="15">'RES_nb-NO'!$B$136</definedName>
    <definedName name="mg01s.VariableX" localSheetId="16">'RES_nl-NL'!$B$136</definedName>
    <definedName name="mg01s.VariableX" localSheetId="17">'RES_pl-PL'!$B$136</definedName>
    <definedName name="mg01s.VariableX" localSheetId="18">'RES_pt-BR'!$B$136</definedName>
    <definedName name="mg01s.VariableX" localSheetId="19">'RES_pt-PT'!$B$136</definedName>
    <definedName name="mg01s.VariableX" localSheetId="20">'RES_ro-RO'!$B$136</definedName>
    <definedName name="mg01s.VariableX" localSheetId="21">'RES_ru-RU'!$B$136</definedName>
    <definedName name="mg01s.VariableX" localSheetId="22">'RES_sl-SI'!$B$136</definedName>
    <definedName name="mg01s.VariableX" localSheetId="23">'RES_sv-SE'!$B$136</definedName>
    <definedName name="mg01s.VariableX" localSheetId="24">'RES_tr-TR'!$B$136</definedName>
    <definedName name="mg01s.VariableX" localSheetId="25">'RES_zh-CN'!$B$136</definedName>
    <definedName name="mg01s.VariableX" localSheetId="26">'RES_zh-TW'!$B$136</definedName>
    <definedName name="mg01s.Variance" localSheetId="3">'RES_cs-CZ'!$B$30</definedName>
    <definedName name="mg01s.Variance" localSheetId="4">'RES_da-DK'!$B$30</definedName>
    <definedName name="mg01s.Variance" localSheetId="5">'RES_de-DE'!$B$30</definedName>
    <definedName name="mg01s.Variance" localSheetId="6">'RES_el-GR'!$B$30</definedName>
    <definedName name="mg01s.Variance" localSheetId="2">'RES_en-US'!$B$30</definedName>
    <definedName name="mg01s.Variance" localSheetId="7">'RES_es-ES'!$B$30</definedName>
    <definedName name="mg01s.Variance" localSheetId="8">'RES_fi-FI'!$B$30</definedName>
    <definedName name="mg01s.Variance" localSheetId="1">'RES_fr-FR'!$B$30</definedName>
    <definedName name="mg01s.Variance" localSheetId="9">'RES_hr-HR'!$B$30</definedName>
    <definedName name="mg01s.Variance" localSheetId="10">'RES_hu-HU'!$B$30</definedName>
    <definedName name="mg01s.Variance" localSheetId="11">'RES_it-IT'!$B$30</definedName>
    <definedName name="mg01s.Variance" localSheetId="12">'RES_ja-JP'!$B$30</definedName>
    <definedName name="mg01s.Variance" localSheetId="13">'RES_ko-KR'!$B$30</definedName>
    <definedName name="mg01s.Variance" localSheetId="14">'RES_lv-LV'!$B$30</definedName>
    <definedName name="mg01s.Variance" localSheetId="15">'RES_nb-NO'!$B$30</definedName>
    <definedName name="mg01s.Variance" localSheetId="16">'RES_nl-NL'!$B$30</definedName>
    <definedName name="mg01s.Variance" localSheetId="17">'RES_pl-PL'!$B$30</definedName>
    <definedName name="mg01s.Variance" localSheetId="18">'RES_pt-BR'!$B$30</definedName>
    <definedName name="mg01s.Variance" localSheetId="19">'RES_pt-PT'!$B$30</definedName>
    <definedName name="mg01s.Variance" localSheetId="20">'RES_ro-RO'!$B$30</definedName>
    <definedName name="mg01s.Variance" localSheetId="21">'RES_ru-RU'!$B$30</definedName>
    <definedName name="mg01s.Variance" localSheetId="22">'RES_sl-SI'!$B$30</definedName>
    <definedName name="mg01s.Variance" localSheetId="23">'RES_sv-SE'!$B$30</definedName>
    <definedName name="mg01s.Variance" localSheetId="24">'RES_tr-TR'!$B$30</definedName>
    <definedName name="mg01s.Variance" localSheetId="25">'RES_zh-CN'!$B$30</definedName>
    <definedName name="mg01s.Variance" localSheetId="26">'RES_zh-TW'!$B$30</definedName>
    <definedName name="mg01s.Within" localSheetId="3">'RES_cs-CZ'!$B$45</definedName>
    <definedName name="mg01s.Within" localSheetId="4">'RES_da-DK'!$B$45</definedName>
    <definedName name="mg01s.Within" localSheetId="5">'RES_de-DE'!$B$45</definedName>
    <definedName name="mg01s.Within" localSheetId="6">'RES_el-GR'!$B$45</definedName>
    <definedName name="mg01s.Within" localSheetId="2">'RES_en-US'!$B$45</definedName>
    <definedName name="mg01s.Within" localSheetId="7">'RES_es-ES'!$B$45</definedName>
    <definedName name="mg01s.Within" localSheetId="8">'RES_fi-FI'!$B$45</definedName>
    <definedName name="mg01s.Within" localSheetId="1">'RES_fr-FR'!$B$45</definedName>
    <definedName name="mg01s.Within" localSheetId="9">'RES_hr-HR'!$B$45</definedName>
    <definedName name="mg01s.Within" localSheetId="10">'RES_hu-HU'!$B$45</definedName>
    <definedName name="mg01s.Within" localSheetId="11">'RES_it-IT'!$B$45</definedName>
    <definedName name="mg01s.Within" localSheetId="12">'RES_ja-JP'!$B$45</definedName>
    <definedName name="mg01s.Within" localSheetId="13">'RES_ko-KR'!$B$45</definedName>
    <definedName name="mg01s.Within" localSheetId="14">'RES_lv-LV'!$B$45</definedName>
    <definedName name="mg01s.Within" localSheetId="15">'RES_nb-NO'!$B$45</definedName>
    <definedName name="mg01s.Within" localSheetId="16">'RES_nl-NL'!$B$45</definedName>
    <definedName name="mg01s.Within" localSheetId="17">'RES_pl-PL'!$B$45</definedName>
    <definedName name="mg01s.Within" localSheetId="18">'RES_pt-BR'!$B$45</definedName>
    <definedName name="mg01s.Within" localSheetId="19">'RES_pt-PT'!$B$45</definedName>
    <definedName name="mg01s.Within" localSheetId="20">'RES_ro-RO'!$B$45</definedName>
    <definedName name="mg01s.Within" localSheetId="21">'RES_ru-RU'!$B$45</definedName>
    <definedName name="mg01s.Within" localSheetId="22">'RES_sl-SI'!$B$45</definedName>
    <definedName name="mg01s.Within" localSheetId="23">'RES_sv-SE'!$B$45</definedName>
    <definedName name="mg01s.Within" localSheetId="24">'RES_tr-TR'!$B$45</definedName>
    <definedName name="mg01s.Within" localSheetId="25">'RES_zh-CN'!$B$45</definedName>
    <definedName name="mg01s.Within" localSheetId="26">'RES_zh-TW'!$B$45</definedName>
    <definedName name="mg01s.WithinGrp" localSheetId="3">'RES_cs-CZ'!$B$41</definedName>
    <definedName name="mg01s.WithinGrp" localSheetId="4">'RES_da-DK'!$B$41</definedName>
    <definedName name="mg01s.WithinGrp" localSheetId="5">'RES_de-DE'!$B$41</definedName>
    <definedName name="mg01s.WithinGrp" localSheetId="6">'RES_el-GR'!$B$41</definedName>
    <definedName name="mg01s.WithinGrp" localSheetId="2">'RES_en-US'!$B$41</definedName>
    <definedName name="mg01s.WithinGrp" localSheetId="7">'RES_es-ES'!$B$41</definedName>
    <definedName name="mg01s.WithinGrp" localSheetId="8">'RES_fi-FI'!$B$41</definedName>
    <definedName name="mg01s.WithinGrp" localSheetId="1">'RES_fr-FR'!$B$41</definedName>
    <definedName name="mg01s.WithinGrp" localSheetId="9">'RES_hr-HR'!$B$41</definedName>
    <definedName name="mg01s.WithinGrp" localSheetId="10">'RES_hu-HU'!$B$41</definedName>
    <definedName name="mg01s.WithinGrp" localSheetId="11">'RES_it-IT'!$B$41</definedName>
    <definedName name="mg01s.WithinGrp" localSheetId="12">'RES_ja-JP'!$B$41</definedName>
    <definedName name="mg01s.WithinGrp" localSheetId="13">'RES_ko-KR'!$B$41</definedName>
    <definedName name="mg01s.WithinGrp" localSheetId="14">'RES_lv-LV'!$B$41</definedName>
    <definedName name="mg01s.WithinGrp" localSheetId="15">'RES_nb-NO'!$B$41</definedName>
    <definedName name="mg01s.WithinGrp" localSheetId="16">'RES_nl-NL'!$B$41</definedName>
    <definedName name="mg01s.WithinGrp" localSheetId="17">'RES_pl-PL'!$B$41</definedName>
    <definedName name="mg01s.WithinGrp" localSheetId="18">'RES_pt-BR'!$B$41</definedName>
    <definedName name="mg01s.WithinGrp" localSheetId="19">'RES_pt-PT'!$B$41</definedName>
    <definedName name="mg01s.WithinGrp" localSheetId="20">'RES_ro-RO'!$B$41</definedName>
    <definedName name="mg01s.WithinGrp" localSheetId="21">'RES_ru-RU'!$B$41</definedName>
    <definedName name="mg01s.WithinGrp" localSheetId="22">'RES_sl-SI'!$B$41</definedName>
    <definedName name="mg01s.WithinGrp" localSheetId="23">'RES_sv-SE'!$B$41</definedName>
    <definedName name="mg01s.WithinGrp" localSheetId="24">'RES_tr-TR'!$B$41</definedName>
    <definedName name="mg01s.WithinGrp" localSheetId="25">'RES_zh-CN'!$B$41</definedName>
    <definedName name="mg01s.WithinGrp" localSheetId="26">'RES_zh-TW'!$B$41</definedName>
    <definedName name="mg01s.Y" localSheetId="3">'RES_cs-CZ'!$B$123</definedName>
    <definedName name="mg01s.Y" localSheetId="4">'RES_da-DK'!$B$123</definedName>
    <definedName name="mg01s.Y" localSheetId="5">'RES_de-DE'!$B$123</definedName>
    <definedName name="mg01s.Y" localSheetId="6">'RES_el-GR'!$B$123</definedName>
    <definedName name="mg01s.Y" localSheetId="2">'RES_en-US'!$B$123</definedName>
    <definedName name="mg01s.Y" localSheetId="7">'RES_es-ES'!$B$123</definedName>
    <definedName name="mg01s.Y" localSheetId="8">'RES_fi-FI'!$B$123</definedName>
    <definedName name="mg01s.Y" localSheetId="1">'RES_fr-FR'!$B$123</definedName>
    <definedName name="mg01s.Y" localSheetId="9">'RES_hr-HR'!$B$123</definedName>
    <definedName name="mg01s.Y" localSheetId="10">'RES_hu-HU'!$B$123</definedName>
    <definedName name="mg01s.Y" localSheetId="11">'RES_it-IT'!$B$123</definedName>
    <definedName name="mg01s.Y" localSheetId="12">'RES_ja-JP'!$B$123</definedName>
    <definedName name="mg01s.Y" localSheetId="13">'RES_ko-KR'!$B$123</definedName>
    <definedName name="mg01s.Y" localSheetId="14">'RES_lv-LV'!$B$123</definedName>
    <definedName name="mg01s.Y" localSheetId="15">'RES_nb-NO'!$B$123</definedName>
    <definedName name="mg01s.Y" localSheetId="16">'RES_nl-NL'!$B$123</definedName>
    <definedName name="mg01s.Y" localSheetId="17">'RES_pl-PL'!$B$123</definedName>
    <definedName name="mg01s.Y" localSheetId="18">'RES_pt-BR'!$B$123</definedName>
    <definedName name="mg01s.Y" localSheetId="19">'RES_pt-PT'!$B$123</definedName>
    <definedName name="mg01s.Y" localSheetId="20">'RES_ro-RO'!$B$123</definedName>
    <definedName name="mg01s.Y" localSheetId="21">'RES_ru-RU'!$B$123</definedName>
    <definedName name="mg01s.Y" localSheetId="22">'RES_sl-SI'!$B$123</definedName>
    <definedName name="mg01s.Y" localSheetId="23">'RES_sv-SE'!$B$123</definedName>
    <definedName name="mg01s.Y" localSheetId="24">'RES_tr-TR'!$B$123</definedName>
    <definedName name="mg01s.Y" localSheetId="25">'RES_zh-CN'!$B$123</definedName>
    <definedName name="mg01s.Y" localSheetId="26">'RES_zh-TW'!$B$123</definedName>
    <definedName name="mg01s.Z" localSheetId="3">'RES_cs-CZ'!$B$97</definedName>
    <definedName name="mg01s.Z" localSheetId="4">'RES_da-DK'!$B$97</definedName>
    <definedName name="mg01s.Z" localSheetId="5">'RES_de-DE'!$B$97</definedName>
    <definedName name="mg01s.Z" localSheetId="6">'RES_el-GR'!$B$97</definedName>
    <definedName name="mg01s.Z" localSheetId="2">'RES_en-US'!$B$97</definedName>
    <definedName name="mg01s.Z" localSheetId="7">'RES_es-ES'!$B$97</definedName>
    <definedName name="mg01s.Z" localSheetId="8">'RES_fi-FI'!$B$97</definedName>
    <definedName name="mg01s.Z" localSheetId="1">'RES_fr-FR'!$B$97</definedName>
    <definedName name="mg01s.Z" localSheetId="9">'RES_hr-HR'!$B$97</definedName>
    <definedName name="mg01s.Z" localSheetId="10">'RES_hu-HU'!$B$97</definedName>
    <definedName name="mg01s.Z" localSheetId="11">'RES_it-IT'!$B$97</definedName>
    <definedName name="mg01s.Z" localSheetId="12">'RES_ja-JP'!$B$97</definedName>
    <definedName name="mg01s.Z" localSheetId="13">'RES_ko-KR'!$B$97</definedName>
    <definedName name="mg01s.Z" localSheetId="14">'RES_lv-LV'!$B$97</definedName>
    <definedName name="mg01s.Z" localSheetId="15">'RES_nb-NO'!$B$97</definedName>
    <definedName name="mg01s.Z" localSheetId="16">'RES_nl-NL'!$B$97</definedName>
    <definedName name="mg01s.Z" localSheetId="17">'RES_pl-PL'!$B$97</definedName>
    <definedName name="mg01s.Z" localSheetId="18">'RES_pt-BR'!$B$97</definedName>
    <definedName name="mg01s.Z" localSheetId="19">'RES_pt-PT'!$B$97</definedName>
    <definedName name="mg01s.Z" localSheetId="20">'RES_ro-RO'!$B$97</definedName>
    <definedName name="mg01s.Z" localSheetId="21">'RES_ru-RU'!$B$97</definedName>
    <definedName name="mg01s.Z" localSheetId="22">'RES_sl-SI'!$B$97</definedName>
    <definedName name="mg01s.Z" localSheetId="23">'RES_sv-SE'!$B$97</definedName>
    <definedName name="mg01s.Z" localSheetId="24">'RES_tr-TR'!$B$97</definedName>
    <definedName name="mg01s.Z" localSheetId="25">'RES_zh-CN'!$B$97</definedName>
    <definedName name="mg01s.Z" localSheetId="26">'RES_zh-TW'!$B$97</definedName>
    <definedName name="mg01s.Z1Tail" localSheetId="3">'RES_cs-CZ'!$B$98</definedName>
    <definedName name="mg01s.Z1Tail" localSheetId="4">'RES_da-DK'!$B$98</definedName>
    <definedName name="mg01s.Z1Tail" localSheetId="5">'RES_de-DE'!$B$98</definedName>
    <definedName name="mg01s.Z1Tail" localSheetId="6">'RES_el-GR'!$B$98</definedName>
    <definedName name="mg01s.Z1Tail" localSheetId="2">'RES_en-US'!$B$98</definedName>
    <definedName name="mg01s.Z1Tail" localSheetId="7">'RES_es-ES'!$B$98</definedName>
    <definedName name="mg01s.Z1Tail" localSheetId="8">'RES_fi-FI'!$B$98</definedName>
    <definedName name="mg01s.Z1Tail" localSheetId="1">'RES_fr-FR'!$B$98</definedName>
    <definedName name="mg01s.Z1Tail" localSheetId="9">'RES_hr-HR'!$B$98</definedName>
    <definedName name="mg01s.Z1Tail" localSheetId="10">'RES_hu-HU'!$B$98</definedName>
    <definedName name="mg01s.Z1Tail" localSheetId="11">'RES_it-IT'!$B$98</definedName>
    <definedName name="mg01s.Z1Tail" localSheetId="12">'RES_ja-JP'!$B$98</definedName>
    <definedName name="mg01s.Z1Tail" localSheetId="13">'RES_ko-KR'!$B$98</definedName>
    <definedName name="mg01s.Z1Tail" localSheetId="14">'RES_lv-LV'!$B$98</definedName>
    <definedName name="mg01s.Z1Tail" localSheetId="15">'RES_nb-NO'!$B$98</definedName>
    <definedName name="mg01s.Z1Tail" localSheetId="16">'RES_nl-NL'!$B$98</definedName>
    <definedName name="mg01s.Z1Tail" localSheetId="17">'RES_pl-PL'!$B$98</definedName>
    <definedName name="mg01s.Z1Tail" localSheetId="18">'RES_pt-BR'!$B$98</definedName>
    <definedName name="mg01s.Z1Tail" localSheetId="19">'RES_pt-PT'!$B$98</definedName>
    <definedName name="mg01s.Z1Tail" localSheetId="20">'RES_ro-RO'!$B$98</definedName>
    <definedName name="mg01s.Z1Tail" localSheetId="21">'RES_ru-RU'!$B$98</definedName>
    <definedName name="mg01s.Z1Tail" localSheetId="22">'RES_sl-SI'!$B$98</definedName>
    <definedName name="mg01s.Z1Tail" localSheetId="23">'RES_sv-SE'!$B$98</definedName>
    <definedName name="mg01s.Z1Tail" localSheetId="24">'RES_tr-TR'!$B$98</definedName>
    <definedName name="mg01s.Z1Tail" localSheetId="25">'RES_zh-CN'!$B$98</definedName>
    <definedName name="mg01s.Z1Tail" localSheetId="26">'RES_zh-TW'!$B$98</definedName>
    <definedName name="mg01s.Z2Tail" localSheetId="3">'RES_cs-CZ'!$B$100</definedName>
    <definedName name="mg01s.Z2Tail" localSheetId="4">'RES_da-DK'!$B$100</definedName>
    <definedName name="mg01s.Z2Tail" localSheetId="5">'RES_de-DE'!$B$100</definedName>
    <definedName name="mg01s.Z2Tail" localSheetId="6">'RES_el-GR'!$B$100</definedName>
    <definedName name="mg01s.Z2Tail" localSheetId="2">'RES_en-US'!$B$100</definedName>
    <definedName name="mg01s.Z2Tail" localSheetId="7">'RES_es-ES'!$B$100</definedName>
    <definedName name="mg01s.Z2Tail" localSheetId="8">'RES_fi-FI'!$B$100</definedName>
    <definedName name="mg01s.Z2Tail" localSheetId="1">'RES_fr-FR'!$B$100</definedName>
    <definedName name="mg01s.Z2Tail" localSheetId="9">'RES_hr-HR'!$B$100</definedName>
    <definedName name="mg01s.Z2Tail" localSheetId="10">'RES_hu-HU'!$B$100</definedName>
    <definedName name="mg01s.Z2Tail" localSheetId="11">'RES_it-IT'!$B$100</definedName>
    <definedName name="mg01s.Z2Tail" localSheetId="12">'RES_ja-JP'!$B$100</definedName>
    <definedName name="mg01s.Z2Tail" localSheetId="13">'RES_ko-KR'!$B$100</definedName>
    <definedName name="mg01s.Z2Tail" localSheetId="14">'RES_lv-LV'!$B$100</definedName>
    <definedName name="mg01s.Z2Tail" localSheetId="15">'RES_nb-NO'!$B$100</definedName>
    <definedName name="mg01s.Z2Tail" localSheetId="16">'RES_nl-NL'!$B$100</definedName>
    <definedName name="mg01s.Z2Tail" localSheetId="17">'RES_pl-PL'!$B$100</definedName>
    <definedName name="mg01s.Z2Tail" localSheetId="18">'RES_pt-BR'!$B$100</definedName>
    <definedName name="mg01s.Z2Tail" localSheetId="19">'RES_pt-PT'!$B$100</definedName>
    <definedName name="mg01s.Z2Tail" localSheetId="20">'RES_ro-RO'!$B$100</definedName>
    <definedName name="mg01s.Z2Tail" localSheetId="21">'RES_ru-RU'!$B$100</definedName>
    <definedName name="mg01s.Z2Tail" localSheetId="22">'RES_sl-SI'!$B$100</definedName>
    <definedName name="mg01s.Z2Tail" localSheetId="23">'RES_sv-SE'!$B$100</definedName>
    <definedName name="mg01s.Z2Tail" localSheetId="24">'RES_tr-TR'!$B$100</definedName>
    <definedName name="mg01s.Z2Tail" localSheetId="25">'RES_zh-CN'!$B$100</definedName>
    <definedName name="mg01s.Z2Tail" localSheetId="26">'RES_zh-TW'!$B$100</definedName>
    <definedName name="mg01s.ZCrit1" localSheetId="3">'RES_cs-CZ'!$B$99</definedName>
    <definedName name="mg01s.ZCrit1" localSheetId="4">'RES_da-DK'!$B$99</definedName>
    <definedName name="mg01s.ZCrit1" localSheetId="5">'RES_de-DE'!$B$99</definedName>
    <definedName name="mg01s.ZCrit1" localSheetId="6">'RES_el-GR'!$B$99</definedName>
    <definedName name="mg01s.ZCrit1" localSheetId="2">'RES_en-US'!$B$99</definedName>
    <definedName name="mg01s.ZCrit1" localSheetId="7">'RES_es-ES'!$B$99</definedName>
    <definedName name="mg01s.ZCrit1" localSheetId="8">'RES_fi-FI'!$B$99</definedName>
    <definedName name="mg01s.ZCrit1" localSheetId="1">'RES_fr-FR'!$B$99</definedName>
    <definedName name="mg01s.ZCrit1" localSheetId="9">'RES_hr-HR'!$B$99</definedName>
    <definedName name="mg01s.ZCrit1" localSheetId="10">'RES_hu-HU'!$B$99</definedName>
    <definedName name="mg01s.ZCrit1" localSheetId="11">'RES_it-IT'!$B$99</definedName>
    <definedName name="mg01s.ZCrit1" localSheetId="12">'RES_ja-JP'!$B$99</definedName>
    <definedName name="mg01s.ZCrit1" localSheetId="13">'RES_ko-KR'!$B$99</definedName>
    <definedName name="mg01s.ZCrit1" localSheetId="14">'RES_lv-LV'!$B$99</definedName>
    <definedName name="mg01s.ZCrit1" localSheetId="15">'RES_nb-NO'!$B$99</definedName>
    <definedName name="mg01s.ZCrit1" localSheetId="16">'RES_nl-NL'!$B$99</definedName>
    <definedName name="mg01s.ZCrit1" localSheetId="17">'RES_pl-PL'!$B$99</definedName>
    <definedName name="mg01s.ZCrit1" localSheetId="18">'RES_pt-BR'!$B$99</definedName>
    <definedName name="mg01s.ZCrit1" localSheetId="19">'RES_pt-PT'!$B$99</definedName>
    <definedName name="mg01s.ZCrit1" localSheetId="20">'RES_ro-RO'!$B$99</definedName>
    <definedName name="mg01s.ZCrit1" localSheetId="21">'RES_ru-RU'!$B$99</definedName>
    <definedName name="mg01s.ZCrit1" localSheetId="22">'RES_sl-SI'!$B$99</definedName>
    <definedName name="mg01s.ZCrit1" localSheetId="23">'RES_sv-SE'!$B$99</definedName>
    <definedName name="mg01s.ZCrit1" localSheetId="24">'RES_tr-TR'!$B$99</definedName>
    <definedName name="mg01s.ZCrit1" localSheetId="25">'RES_zh-CN'!$B$99</definedName>
    <definedName name="mg01s.ZCrit1" localSheetId="26">'RES_zh-TW'!$B$99</definedName>
    <definedName name="mg01s.ZCrit2" localSheetId="3">'RES_cs-CZ'!$B$101</definedName>
    <definedName name="mg01s.ZCrit2" localSheetId="4">'RES_da-DK'!$B$101</definedName>
    <definedName name="mg01s.ZCrit2" localSheetId="5">'RES_de-DE'!$B$101</definedName>
    <definedName name="mg01s.ZCrit2" localSheetId="6">'RES_el-GR'!$B$101</definedName>
    <definedName name="mg01s.ZCrit2" localSheetId="2">'RES_en-US'!$B$101</definedName>
    <definedName name="mg01s.ZCrit2" localSheetId="7">'RES_es-ES'!$B$101</definedName>
    <definedName name="mg01s.ZCrit2" localSheetId="8">'RES_fi-FI'!$B$101</definedName>
    <definedName name="mg01s.ZCrit2" localSheetId="1">'RES_fr-FR'!$B$101</definedName>
    <definedName name="mg01s.ZCrit2" localSheetId="9">'RES_hr-HR'!$B$101</definedName>
    <definedName name="mg01s.ZCrit2" localSheetId="10">'RES_hu-HU'!$B$101</definedName>
    <definedName name="mg01s.ZCrit2" localSheetId="11">'RES_it-IT'!$B$101</definedName>
    <definedName name="mg01s.ZCrit2" localSheetId="12">'RES_ja-JP'!$B$101</definedName>
    <definedName name="mg01s.ZCrit2" localSheetId="13">'RES_ko-KR'!$B$101</definedName>
    <definedName name="mg01s.ZCrit2" localSheetId="14">'RES_lv-LV'!$B$101</definedName>
    <definedName name="mg01s.ZCrit2" localSheetId="15">'RES_nb-NO'!$B$101</definedName>
    <definedName name="mg01s.ZCrit2" localSheetId="16">'RES_nl-NL'!$B$101</definedName>
    <definedName name="mg01s.ZCrit2" localSheetId="17">'RES_pl-PL'!$B$101</definedName>
    <definedName name="mg01s.ZCrit2" localSheetId="18">'RES_pt-BR'!$B$101</definedName>
    <definedName name="mg01s.ZCrit2" localSheetId="19">'RES_pt-PT'!$B$101</definedName>
    <definedName name="mg01s.ZCrit2" localSheetId="20">'RES_ro-RO'!$B$101</definedName>
    <definedName name="mg01s.ZCrit2" localSheetId="21">'RES_ru-RU'!$B$101</definedName>
    <definedName name="mg01s.ZCrit2" localSheetId="22">'RES_sl-SI'!$B$101</definedName>
    <definedName name="mg01s.ZCrit2" localSheetId="23">'RES_sv-SE'!$B$101</definedName>
    <definedName name="mg01s.ZCrit2" localSheetId="24">'RES_tr-TR'!$B$101</definedName>
    <definedName name="mg01s.ZCrit2" localSheetId="25">'RES_zh-CN'!$B$101</definedName>
    <definedName name="mg01s.ZCrit2" localSheetId="26">'RES_zh-TW'!$B$101</definedName>
    <definedName name="mg01s.ZTest" localSheetId="3">'RES_cs-CZ'!$B$95</definedName>
    <definedName name="mg01s.ZTest" localSheetId="4">'RES_da-DK'!$B$95</definedName>
    <definedName name="mg01s.ZTest" localSheetId="5">'RES_de-DE'!$B$95</definedName>
    <definedName name="mg01s.ZTest" localSheetId="6">'RES_el-GR'!$B$95</definedName>
    <definedName name="mg01s.ZTest" localSheetId="2">'RES_en-US'!$B$95</definedName>
    <definedName name="mg01s.ZTest" localSheetId="7">'RES_es-ES'!$B$95</definedName>
    <definedName name="mg01s.ZTest" localSheetId="8">'RES_fi-FI'!$B$95</definedName>
    <definedName name="mg01s.ZTest" localSheetId="1">'RES_fr-FR'!$B$95</definedName>
    <definedName name="mg01s.ZTest" localSheetId="9">'RES_hr-HR'!$B$95</definedName>
    <definedName name="mg01s.ZTest" localSheetId="10">'RES_hu-HU'!$B$95</definedName>
    <definedName name="mg01s.ZTest" localSheetId="11">'RES_it-IT'!$B$95</definedName>
    <definedName name="mg01s.ZTest" localSheetId="12">'RES_ja-JP'!$B$95</definedName>
    <definedName name="mg01s.ZTest" localSheetId="13">'RES_ko-KR'!$B$95</definedName>
    <definedName name="mg01s.ZTest" localSheetId="14">'RES_lv-LV'!$B$95</definedName>
    <definedName name="mg01s.ZTest" localSheetId="15">'RES_nb-NO'!$B$95</definedName>
    <definedName name="mg01s.ZTest" localSheetId="16">'RES_nl-NL'!$B$95</definedName>
    <definedName name="mg01s.ZTest" localSheetId="17">'RES_pl-PL'!$B$95</definedName>
    <definedName name="mg01s.ZTest" localSheetId="18">'RES_pt-BR'!$B$95</definedName>
    <definedName name="mg01s.ZTest" localSheetId="19">'RES_pt-PT'!$B$95</definedName>
    <definedName name="mg01s.ZTest" localSheetId="20">'RES_ro-RO'!$B$95</definedName>
    <definedName name="mg01s.ZTest" localSheetId="21">'RES_ru-RU'!$B$95</definedName>
    <definedName name="mg01s.ZTest" localSheetId="22">'RES_sl-SI'!$B$95</definedName>
    <definedName name="mg01s.ZTest" localSheetId="23">'RES_sv-SE'!$B$95</definedName>
    <definedName name="mg01s.ZTest" localSheetId="24">'RES_tr-TR'!$B$95</definedName>
    <definedName name="mg01s.ZTest" localSheetId="25">'RES_zh-CN'!$B$95</definedName>
    <definedName name="mg01s.ZTest" localSheetId="26">'RES_zh-TW'!$B$95</definedName>
    <definedName name="mg02s.ANOVA" localSheetId="3">'RES_cs-CZ'!$B$31</definedName>
    <definedName name="mg02s.ANOVA" localSheetId="4">'RES_da-DK'!$B$31</definedName>
    <definedName name="mg02s.ANOVA" localSheetId="5">'RES_de-DE'!$B$31</definedName>
    <definedName name="mg02s.ANOVA" localSheetId="6">'RES_el-GR'!$B$31</definedName>
    <definedName name="mg02s.ANOVA" localSheetId="2">'RES_en-US'!$B$31</definedName>
    <definedName name="mg02s.ANOVA" localSheetId="7">'RES_es-ES'!$B$31</definedName>
    <definedName name="mg02s.ANOVA" localSheetId="8">'RES_fi-FI'!$B$31</definedName>
    <definedName name="mg02s.ANOVA" localSheetId="1">'RES_fr-FR'!$B$31</definedName>
    <definedName name="mg02s.ANOVA" localSheetId="9">'RES_hr-HR'!$B$31</definedName>
    <definedName name="mg02s.ANOVA" localSheetId="10">'RES_hu-HU'!$B$31</definedName>
    <definedName name="mg02s.ANOVA" localSheetId="11">'RES_it-IT'!$B$31</definedName>
    <definedName name="mg02s.ANOVA" localSheetId="12">'RES_ja-JP'!$B$31</definedName>
    <definedName name="mg02s.ANOVA" localSheetId="13">'RES_ko-KR'!$B$31</definedName>
    <definedName name="mg02s.ANOVA" localSheetId="14">'RES_lv-LV'!$B$31</definedName>
    <definedName name="mg02s.ANOVA" localSheetId="15">'RES_nb-NO'!$B$31</definedName>
    <definedName name="mg02s.ANOVA" localSheetId="16">'RES_nl-NL'!$B$31</definedName>
    <definedName name="mg02s.ANOVA" localSheetId="17">'RES_pl-PL'!$B$31</definedName>
    <definedName name="mg02s.ANOVA" localSheetId="18">'RES_pt-BR'!$B$31</definedName>
    <definedName name="mg02s.ANOVA" localSheetId="19">'RES_pt-PT'!$B$31</definedName>
    <definedName name="mg02s.ANOVA" localSheetId="20">'RES_ro-RO'!$B$31</definedName>
    <definedName name="mg02s.ANOVA" localSheetId="21">'RES_ru-RU'!$B$31</definedName>
    <definedName name="mg02s.ANOVA" localSheetId="22">'RES_sl-SI'!$B$31</definedName>
    <definedName name="mg02s.ANOVA" localSheetId="23">'RES_sv-SE'!$B$31</definedName>
    <definedName name="mg02s.ANOVA" localSheetId="24">'RES_tr-TR'!$B$31</definedName>
    <definedName name="mg02s.ANOVA" localSheetId="25">'RES_zh-CN'!$B$31</definedName>
    <definedName name="mg02s.ANOVA" localSheetId="26">'RES_zh-TW'!$B$31</definedName>
    <definedName name="misc.Calculating" localSheetId="3">'RES_cs-CZ'!$B$143</definedName>
    <definedName name="misc.Calculating" localSheetId="4">'RES_da-DK'!$B$143</definedName>
    <definedName name="misc.Calculating" localSheetId="5">'RES_de-DE'!$B$143</definedName>
    <definedName name="misc.Calculating" localSheetId="6">'RES_el-GR'!$B$143</definedName>
    <definedName name="misc.Calculating" localSheetId="2">'RES_en-US'!$B$143</definedName>
    <definedName name="misc.Calculating" localSheetId="7">'RES_es-ES'!$B$143</definedName>
    <definedName name="misc.Calculating" localSheetId="8">'RES_fi-FI'!$B$143</definedName>
    <definedName name="misc.Calculating" localSheetId="1">'RES_fr-FR'!$B$143</definedName>
    <definedName name="misc.Calculating" localSheetId="9">'RES_hr-HR'!$B$143</definedName>
    <definedName name="misc.Calculating" localSheetId="10">'RES_hu-HU'!$B$143</definedName>
    <definedName name="misc.Calculating" localSheetId="11">'RES_it-IT'!$B$143</definedName>
    <definedName name="misc.Calculating" localSheetId="12">'RES_ja-JP'!$B$143</definedName>
    <definedName name="misc.Calculating" localSheetId="13">'RES_ko-KR'!$B$143</definedName>
    <definedName name="misc.Calculating" localSheetId="14">'RES_lv-LV'!$B$143</definedName>
    <definedName name="misc.Calculating" localSheetId="15">'RES_nb-NO'!$B$143</definedName>
    <definedName name="misc.Calculating" localSheetId="16">'RES_nl-NL'!$B$143</definedName>
    <definedName name="misc.Calculating" localSheetId="17">'RES_pl-PL'!$B$143</definedName>
    <definedName name="misc.Calculating" localSheetId="18">'RES_pt-BR'!$B$143</definedName>
    <definedName name="misc.Calculating" localSheetId="19">'RES_pt-PT'!$B$143</definedName>
    <definedName name="misc.Calculating" localSheetId="20">'RES_ro-RO'!$B$143</definedName>
    <definedName name="misc.Calculating" localSheetId="21">'RES_ru-RU'!$B$143</definedName>
    <definedName name="misc.Calculating" localSheetId="22">'RES_sl-SI'!$B$143</definedName>
    <definedName name="misc.Calculating" localSheetId="23">'RES_sv-SE'!$B$143</definedName>
    <definedName name="misc.Calculating" localSheetId="24">'RES_tr-TR'!$B$143</definedName>
    <definedName name="misc.Calculating" localSheetId="25">'RES_zh-CN'!$B$143</definedName>
    <definedName name="misc.Calculating" localSheetId="26">'RES_zh-TW'!$B$143</definedName>
    <definedName name="misc.False" localSheetId="3">'RES_cs-CZ'!$B$144</definedName>
    <definedName name="misc.False" localSheetId="4">'RES_da-DK'!$B$144</definedName>
    <definedName name="misc.False" localSheetId="5">'RES_de-DE'!$B$144</definedName>
    <definedName name="misc.False" localSheetId="6">'RES_el-GR'!$B$144</definedName>
    <definedName name="misc.False" localSheetId="2">'RES_en-US'!$B$144</definedName>
    <definedName name="misc.False" localSheetId="7">'RES_es-ES'!$B$144</definedName>
    <definedName name="misc.False" localSheetId="8">'RES_fi-FI'!$B$144</definedName>
    <definedName name="misc.False" localSheetId="1">'RES_fr-FR'!$B$144</definedName>
    <definedName name="misc.False" localSheetId="9">'RES_hr-HR'!$B$144</definedName>
    <definedName name="misc.False" localSheetId="10">'RES_hu-HU'!$B$144</definedName>
    <definedName name="misc.False" localSheetId="11">'RES_it-IT'!$B$144</definedName>
    <definedName name="misc.False" localSheetId="12">'RES_ja-JP'!$B$144</definedName>
    <definedName name="misc.False" localSheetId="13">'RES_ko-KR'!$B$144</definedName>
    <definedName name="misc.False" localSheetId="14">'RES_lv-LV'!$B$144</definedName>
    <definedName name="misc.False" localSheetId="15">'RES_nb-NO'!$B$144</definedName>
    <definedName name="misc.False" localSheetId="16">'RES_nl-NL'!$B$144</definedName>
    <definedName name="misc.False" localSheetId="17">'RES_pl-PL'!$B$144</definedName>
    <definedName name="misc.False" localSheetId="18">'RES_pt-BR'!$B$144</definedName>
    <definedName name="misc.False" localSheetId="19">'RES_pt-PT'!$B$144</definedName>
    <definedName name="misc.False" localSheetId="20">'RES_ro-RO'!$B$144</definedName>
    <definedName name="misc.False" localSheetId="21">'RES_ru-RU'!$B$144</definedName>
    <definedName name="misc.False" localSheetId="22">'RES_sl-SI'!$B$144</definedName>
    <definedName name="misc.False" localSheetId="23">'RES_sv-SE'!$B$144</definedName>
    <definedName name="misc.False" localSheetId="24">'RES_tr-TR'!$B$144</definedName>
    <definedName name="misc.False" localSheetId="25">'RES_zh-CN'!$B$144</definedName>
    <definedName name="misc.False" localSheetId="26">'RES_zh-TW'!$B$144</definedName>
    <definedName name="misc.True" localSheetId="3">'RES_cs-CZ'!$B$145</definedName>
    <definedName name="misc.True" localSheetId="4">'RES_da-DK'!$B$145</definedName>
    <definedName name="misc.True" localSheetId="5">'RES_de-DE'!$B$145</definedName>
    <definedName name="misc.True" localSheetId="6">'RES_el-GR'!$B$145</definedName>
    <definedName name="misc.True" localSheetId="2">'RES_en-US'!$B$145</definedName>
    <definedName name="misc.True" localSheetId="7">'RES_es-ES'!$B$145</definedName>
    <definedName name="misc.True" localSheetId="8">'RES_fi-FI'!$B$145</definedName>
    <definedName name="misc.True" localSheetId="1">'RES_fr-FR'!$B$145</definedName>
    <definedName name="misc.True" localSheetId="9">'RES_hr-HR'!$B$145</definedName>
    <definedName name="misc.True" localSheetId="10">'RES_hu-HU'!$B$145</definedName>
    <definedName name="misc.True" localSheetId="11">'RES_it-IT'!$B$145</definedName>
    <definedName name="misc.True" localSheetId="12">'RES_ja-JP'!$B$145</definedName>
    <definedName name="misc.True" localSheetId="13">'RES_ko-KR'!$B$145</definedName>
    <definedName name="misc.True" localSheetId="14">'RES_lv-LV'!$B$145</definedName>
    <definedName name="misc.True" localSheetId="15">'RES_nb-NO'!$B$145</definedName>
    <definedName name="misc.True" localSheetId="16">'RES_nl-NL'!$B$145</definedName>
    <definedName name="misc.True" localSheetId="17">'RES_pl-PL'!$B$145</definedName>
    <definedName name="misc.True" localSheetId="18">'RES_pt-BR'!$B$145</definedName>
    <definedName name="misc.True" localSheetId="19">'RES_pt-PT'!$B$145</definedName>
    <definedName name="misc.True" localSheetId="20">'RES_ro-RO'!$B$145</definedName>
    <definedName name="misc.True" localSheetId="21">'RES_ru-RU'!$B$145</definedName>
    <definedName name="misc.True" localSheetId="22">'RES_sl-SI'!$B$145</definedName>
    <definedName name="misc.True" localSheetId="23">'RES_sv-SE'!$B$145</definedName>
    <definedName name="misc.True" localSheetId="24">'RES_tr-TR'!$B$145</definedName>
    <definedName name="misc.True" localSheetId="25">'RES_zh-CN'!$B$145</definedName>
    <definedName name="misc.True" localSheetId="26">'RES_zh-TW'!$B$145</definedName>
    <definedName name="mLabelInColumn" localSheetId="3">'RES_cs-CZ'!$B$10</definedName>
    <definedName name="mLabelInColumn" localSheetId="4">'RES_da-DK'!$B$10</definedName>
    <definedName name="mLabelInColumn" localSheetId="5">'RES_de-DE'!$B$10</definedName>
    <definedName name="mLabelInColumn" localSheetId="6">'RES_el-GR'!$B$10</definedName>
    <definedName name="mLabelInColumn" localSheetId="2">'RES_en-US'!$B$10</definedName>
    <definedName name="mLabelInColumn" localSheetId="7">'RES_es-ES'!$B$10</definedName>
    <definedName name="mLabelInColumn" localSheetId="8">'RES_fi-FI'!$B$10</definedName>
    <definedName name="mLabelInColumn" localSheetId="1">'RES_fr-FR'!$B$10</definedName>
    <definedName name="mLabelInColumn" localSheetId="9">'RES_hr-HR'!$B$10</definedName>
    <definedName name="mLabelInColumn" localSheetId="10">'RES_hu-HU'!$B$10</definedName>
    <definedName name="mLabelInColumn" localSheetId="11">'RES_it-IT'!$B$10</definedName>
    <definedName name="mLabelInColumn" localSheetId="12">'RES_ja-JP'!$B$10</definedName>
    <definedName name="mLabelInColumn" localSheetId="13">'RES_ko-KR'!$B$10</definedName>
    <definedName name="mLabelInColumn" localSheetId="14">'RES_lv-LV'!$B$10</definedName>
    <definedName name="mLabelInColumn" localSheetId="15">'RES_nb-NO'!$B$10</definedName>
    <definedName name="mLabelInColumn" localSheetId="16">'RES_nl-NL'!$B$10</definedName>
    <definedName name="mLabelInColumn" localSheetId="17">'RES_pl-PL'!$B$10</definedName>
    <definedName name="mLabelInColumn" localSheetId="18">'RES_pt-BR'!$B$10</definedName>
    <definedName name="mLabelInColumn" localSheetId="19">'RES_pt-PT'!$B$10</definedName>
    <definedName name="mLabelInColumn" localSheetId="20">'RES_ro-RO'!$B$10</definedName>
    <definedName name="mLabelInColumn" localSheetId="21">'RES_ru-RU'!$B$10</definedName>
    <definedName name="mLabelInColumn" localSheetId="22">'RES_sl-SI'!$B$10</definedName>
    <definedName name="mLabelInColumn" localSheetId="23">'RES_sv-SE'!$B$10</definedName>
    <definedName name="mLabelInColumn" localSheetId="24">'RES_tr-TR'!$B$10</definedName>
    <definedName name="mLabelInColumn" localSheetId="25">'RES_zh-CN'!$B$10</definedName>
    <definedName name="mLabelInColumn" localSheetId="26">'RES_zh-TW'!$B$10</definedName>
    <definedName name="mLabelInRow" localSheetId="3">'RES_cs-CZ'!$B$11</definedName>
    <definedName name="mLabelInRow" localSheetId="4">'RES_da-DK'!$B$11</definedName>
    <definedName name="mLabelInRow" localSheetId="5">'RES_de-DE'!$B$11</definedName>
    <definedName name="mLabelInRow" localSheetId="6">'RES_el-GR'!$B$11</definedName>
    <definedName name="mLabelInRow" localSheetId="2">'RES_en-US'!$B$11</definedName>
    <definedName name="mLabelInRow" localSheetId="7">'RES_es-ES'!$B$11</definedName>
    <definedName name="mLabelInRow" localSheetId="8">'RES_fi-FI'!$B$11</definedName>
    <definedName name="mLabelInRow" localSheetId="1">'RES_fr-FR'!$B$11</definedName>
    <definedName name="mLabelInRow" localSheetId="9">'RES_hr-HR'!$B$11</definedName>
    <definedName name="mLabelInRow" localSheetId="10">'RES_hu-HU'!$B$11</definedName>
    <definedName name="mLabelInRow" localSheetId="11">'RES_it-IT'!$B$11</definedName>
    <definedName name="mLabelInRow" localSheetId="12">'RES_ja-JP'!$B$11</definedName>
    <definedName name="mLabelInRow" localSheetId="13">'RES_ko-KR'!$B$11</definedName>
    <definedName name="mLabelInRow" localSheetId="14">'RES_lv-LV'!$B$11</definedName>
    <definedName name="mLabelInRow" localSheetId="15">'RES_nb-NO'!$B$11</definedName>
    <definedName name="mLabelInRow" localSheetId="16">'RES_nl-NL'!$B$11</definedName>
    <definedName name="mLabelInRow" localSheetId="17">'RES_pl-PL'!$B$11</definedName>
    <definedName name="mLabelInRow" localSheetId="18">'RES_pt-BR'!$B$11</definedName>
    <definedName name="mLabelInRow" localSheetId="19">'RES_pt-PT'!$B$11</definedName>
    <definedName name="mLabelInRow" localSheetId="20">'RES_ro-RO'!$B$11</definedName>
    <definedName name="mLabelInRow" localSheetId="21">'RES_ru-RU'!$B$11</definedName>
    <definedName name="mLabelInRow" localSheetId="22">'RES_sl-SI'!$B$11</definedName>
    <definedName name="mLabelInRow" localSheetId="23">'RES_sv-SE'!$B$11</definedName>
    <definedName name="mLabelInRow" localSheetId="24">'RES_tr-TR'!$B$11</definedName>
    <definedName name="mLabelInRow" localSheetId="25">'RES_zh-CN'!$B$11</definedName>
    <definedName name="mLabelInRow" localSheetId="26">'RES_zh-TW'!$B$11</definedName>
    <definedName name="ProcHelps" localSheetId="3">'RES_cs-CZ'!$Y$5:$Y$23</definedName>
    <definedName name="ProcHelps" localSheetId="4">'RES_da-DK'!$Y$5:$Y$23</definedName>
    <definedName name="ProcHelps" localSheetId="5">'RES_de-DE'!$Y$5:$Y$23</definedName>
    <definedName name="ProcHelps" localSheetId="6">'RES_el-GR'!$Y$5:$Y$23</definedName>
    <definedName name="ProcHelps" localSheetId="2">'RES_en-US'!$Y$5:$Y$23</definedName>
    <definedName name="ProcHelps" localSheetId="7">'RES_es-ES'!$Y$5:$Y$23</definedName>
    <definedName name="ProcHelps" localSheetId="8">'RES_fi-FI'!$Y$5:$Y$23</definedName>
    <definedName name="ProcHelps" localSheetId="1">'RES_fr-FR'!$Y$5:$Y$23</definedName>
    <definedName name="ProcHelps" localSheetId="9">'RES_hr-HR'!$Y$5:$Y$23</definedName>
    <definedName name="ProcHelps" localSheetId="10">'RES_hu-HU'!$Y$5:$Y$23</definedName>
    <definedName name="ProcHelps" localSheetId="11">'RES_it-IT'!$Y$5:$Y$23</definedName>
    <definedName name="ProcHelps" localSheetId="12">'RES_ja-JP'!$Y$5:$Y$23</definedName>
    <definedName name="ProcHelps" localSheetId="13">'RES_ko-KR'!$Y$5:$Y$23</definedName>
    <definedName name="ProcHelps" localSheetId="14">'RES_lv-LV'!$Y$5:$Y$23</definedName>
    <definedName name="ProcHelps" localSheetId="15">'RES_nb-NO'!$Y$5:$Y$23</definedName>
    <definedName name="ProcHelps" localSheetId="16">'RES_nl-NL'!$Y$5:$Y$23</definedName>
    <definedName name="ProcHelps" localSheetId="17">'RES_pl-PL'!$Y$5:$Y$23</definedName>
    <definedName name="ProcHelps" localSheetId="18">'RES_pt-BR'!$Y$5:$Y$23</definedName>
    <definedName name="ProcHelps" localSheetId="19">'RES_pt-PT'!$Y$5:$Y$23</definedName>
    <definedName name="ProcHelps" localSheetId="20">'RES_ro-RO'!$Y$5:$Y$23</definedName>
    <definedName name="ProcHelps" localSheetId="21">'RES_ru-RU'!$Y$5:$Y$23</definedName>
    <definedName name="ProcHelps" localSheetId="22">'RES_sl-SI'!$Y$5:$Y$23</definedName>
    <definedName name="ProcHelps" localSheetId="23">'RES_sv-SE'!$Y$5:$Y$23</definedName>
    <definedName name="ProcHelps" localSheetId="24">'RES_tr-TR'!$Y$5:$Y$23</definedName>
    <definedName name="ProcHelps" localSheetId="25">'RES_zh-CN'!$Y$5:$Y$23</definedName>
    <definedName name="ProcHelps" localSheetId="26">'RES_zh-TW'!$Y$5:$Y$23</definedName>
    <definedName name="ProcMap" localSheetId="3">'RES_cs-CZ'!$V$5:$V$23</definedName>
    <definedName name="ProcMap" localSheetId="4">'RES_da-DK'!$V$5:$V$23</definedName>
    <definedName name="ProcMap" localSheetId="5">'RES_de-DE'!$V$5:$V$23</definedName>
    <definedName name="ProcMap" localSheetId="6">'RES_el-GR'!$V$5:$V$23</definedName>
    <definedName name="ProcMap" localSheetId="2">'RES_en-US'!$V$5:$V$23</definedName>
    <definedName name="ProcMap" localSheetId="7">'RES_es-ES'!$V$5:$V$23</definedName>
    <definedName name="ProcMap" localSheetId="8">'RES_fi-FI'!$V$5:$V$23</definedName>
    <definedName name="ProcMap" localSheetId="1">'RES_fr-FR'!$V$5:$V$23</definedName>
    <definedName name="ProcMap" localSheetId="9">'RES_hr-HR'!$V$5:$V$23</definedName>
    <definedName name="ProcMap" localSheetId="10">'RES_hu-HU'!$V$5:$V$23</definedName>
    <definedName name="ProcMap" localSheetId="11">'RES_it-IT'!$V$5:$V$23</definedName>
    <definedName name="ProcMap" localSheetId="12">'RES_ja-JP'!$V$5:$V$23</definedName>
    <definedName name="ProcMap" localSheetId="13">'RES_ko-KR'!$V$5:$V$23</definedName>
    <definedName name="ProcMap" localSheetId="14">'RES_lv-LV'!$V$5:$V$23</definedName>
    <definedName name="ProcMap" localSheetId="15">'RES_nb-NO'!$V$5:$V$23</definedName>
    <definedName name="ProcMap" localSheetId="16">'RES_nl-NL'!$V$5:$V$23</definedName>
    <definedName name="ProcMap" localSheetId="17">'RES_pl-PL'!$V$5:$V$23</definedName>
    <definedName name="ProcMap" localSheetId="18">'RES_pt-BR'!$V$5:$V$23</definedName>
    <definedName name="ProcMap" localSheetId="19">'RES_pt-PT'!$V$5:$V$23</definedName>
    <definedName name="ProcMap" localSheetId="20">'RES_ro-RO'!$V$5:$V$23</definedName>
    <definedName name="ProcMap" localSheetId="21">'RES_ru-RU'!$V$5:$V$23</definedName>
    <definedName name="ProcMap" localSheetId="22">'RES_sl-SI'!$V$5:$V$23</definedName>
    <definedName name="ProcMap" localSheetId="23">'RES_sv-SE'!$V$5:$V$23</definedName>
    <definedName name="ProcMap" localSheetId="24">'RES_tr-TR'!$V$5:$V$23</definedName>
    <definedName name="ProcMap" localSheetId="25">'RES_zh-CN'!$V$5:$V$23</definedName>
    <definedName name="ProcMap" localSheetId="26">'RES_zh-TW'!$V$5:$V$23</definedName>
    <definedName name="Rows_per_sample" localSheetId="3">'RES_cs-CZ'!$AN$32</definedName>
    <definedName name="Rows_per_sample" localSheetId="4">'RES_da-DK'!$AN$32</definedName>
    <definedName name="Rows_per_sample" localSheetId="5">'RES_de-DE'!$AN$32</definedName>
    <definedName name="Rows_per_sample" localSheetId="6">'RES_el-GR'!$AN$32</definedName>
    <definedName name="Rows_per_sample" localSheetId="2">'RES_en-US'!$AN$32</definedName>
    <definedName name="Rows_per_sample" localSheetId="7">'RES_es-ES'!$AN$32</definedName>
    <definedName name="Rows_per_sample" localSheetId="8">'RES_fi-FI'!$AN$32</definedName>
    <definedName name="Rows_per_sample" localSheetId="1">'RES_fr-FR'!$AN$32</definedName>
    <definedName name="Rows_per_sample" localSheetId="9">'RES_hr-HR'!$AN$32</definedName>
    <definedName name="Rows_per_sample" localSheetId="10">'RES_hu-HU'!$AN$32</definedName>
    <definedName name="Rows_per_sample" localSheetId="11">'RES_it-IT'!$AN$32</definedName>
    <definedName name="Rows_per_sample" localSheetId="12">'RES_ja-JP'!$AN$32</definedName>
    <definedName name="Rows_per_sample" localSheetId="13">'RES_ko-KR'!$AN$32</definedName>
    <definedName name="Rows_per_sample" localSheetId="14">'RES_lv-LV'!$AN$32</definedName>
    <definedName name="Rows_per_sample" localSheetId="15">'RES_nb-NO'!$AN$32</definedName>
    <definedName name="Rows_per_sample" localSheetId="16">'RES_nl-NL'!$AN$32</definedName>
    <definedName name="Rows_per_sample" localSheetId="17">'RES_pl-PL'!$AN$32</definedName>
    <definedName name="Rows_per_sample" localSheetId="18">'RES_pt-BR'!$AN$32</definedName>
    <definedName name="Rows_per_sample" localSheetId="19">'RES_pt-PT'!$AN$32</definedName>
    <definedName name="Rows_per_sample" localSheetId="20">'RES_ro-RO'!$AN$32</definedName>
    <definedName name="Rows_per_sample" localSheetId="21">'RES_ru-RU'!$AN$32</definedName>
    <definedName name="Rows_per_sample" localSheetId="22">'RES_sl-SI'!$AN$32</definedName>
    <definedName name="Rows_per_sample" localSheetId="23">'RES_sv-SE'!$AN$32</definedName>
    <definedName name="Rows_per_sample" localSheetId="24">'RES_tr-TR'!$AN$32</definedName>
    <definedName name="Rows_per_sample" localSheetId="25">'RES_zh-CN'!$AN$32</definedName>
    <definedName name="Rows_per_sample" localSheetId="26">'RES_zh-TW'!$AN$32</definedName>
    <definedName name="String_table" localSheetId="3">'RES_cs-CZ'!$A$8:$B$20</definedName>
    <definedName name="String_table" localSheetId="4">'RES_da-DK'!$A$8:$B$20</definedName>
    <definedName name="String_table" localSheetId="5">'RES_de-DE'!$A$8:$B$20</definedName>
    <definedName name="String_table" localSheetId="6">'RES_el-GR'!$A$8:$B$20</definedName>
    <definedName name="String_table" localSheetId="2">'RES_en-US'!$A$8:$B$20</definedName>
    <definedName name="String_table" localSheetId="7">'RES_es-ES'!$A$8:$B$20</definedName>
    <definedName name="String_table" localSheetId="8">'RES_fi-FI'!$A$8:$B$20</definedName>
    <definedName name="String_table" localSheetId="1">'RES_fr-FR'!$A$8:$B$20</definedName>
    <definedName name="String_table" localSheetId="9">'RES_hr-HR'!$A$8:$B$20</definedName>
    <definedName name="String_table" localSheetId="10">'RES_hu-HU'!$A$8:$B$20</definedName>
    <definedName name="String_table" localSheetId="11">'RES_it-IT'!$A$8:$B$20</definedName>
    <definedName name="String_table" localSheetId="12">'RES_ja-JP'!$A$8:$B$20</definedName>
    <definedName name="String_table" localSheetId="13">'RES_ko-KR'!$A$8:$B$20</definedName>
    <definedName name="String_table" localSheetId="14">'RES_lv-LV'!$A$8:$B$20</definedName>
    <definedName name="String_table" localSheetId="15">'RES_nb-NO'!$A$8:$B$20</definedName>
    <definedName name="String_table" localSheetId="16">'RES_nl-NL'!$A$8:$B$20</definedName>
    <definedName name="String_table" localSheetId="17">'RES_pl-PL'!$A$8:$B$20</definedName>
    <definedName name="String_table" localSheetId="18">'RES_pt-BR'!$A$8:$B$20</definedName>
    <definedName name="String_table" localSheetId="19">'RES_pt-PT'!$A$8:$B$20</definedName>
    <definedName name="String_table" localSheetId="20">'RES_ro-RO'!$A$8:$B$20</definedName>
    <definedName name="String_table" localSheetId="21">'RES_ru-RU'!$A$8:$B$20</definedName>
    <definedName name="String_table" localSheetId="22">'RES_sl-SI'!$A$8:$B$20</definedName>
    <definedName name="String_table" localSheetId="23">'RES_sv-SE'!$A$8:$B$20</definedName>
    <definedName name="String_table" localSheetId="24">'RES_tr-TR'!$A$8:$B$20</definedName>
    <definedName name="String_table" localSheetId="25">'RES_zh-CN'!$A$8:$B$20</definedName>
    <definedName name="String_table" localSheetId="26">'RES_zh-TW'!$A$8:$B$20</definedName>
    <definedName name="uDialogList" localSheetId="3">'RES_cs-CZ'!$W$5:$W$23</definedName>
    <definedName name="uDialogList" localSheetId="4">'RES_da-DK'!$W$5:$W$23</definedName>
    <definedName name="uDialogList" localSheetId="5">'RES_de-DE'!$W$5:$W$23</definedName>
    <definedName name="uDialogList" localSheetId="6">'RES_el-GR'!$W$5:$W$23</definedName>
    <definedName name="uDialogList" localSheetId="2">'RES_en-US'!$W$5:$W$23</definedName>
    <definedName name="uDialogList" localSheetId="7">'RES_es-ES'!$W$5:$W$23</definedName>
    <definedName name="uDialogList" localSheetId="8">'RES_fi-FI'!$W$5:$W$23</definedName>
    <definedName name="uDialogList" localSheetId="1">'RES_fr-FR'!$W$5:$W$23</definedName>
    <definedName name="uDialogList" localSheetId="9">'RES_hr-HR'!$W$5:$W$23</definedName>
    <definedName name="uDialogList" localSheetId="10">'RES_hu-HU'!$W$5:$W$23</definedName>
    <definedName name="uDialogList" localSheetId="11">'RES_it-IT'!$W$5:$W$23</definedName>
    <definedName name="uDialogList" localSheetId="12">'RES_ja-JP'!$W$5:$W$23</definedName>
    <definedName name="uDialogList" localSheetId="13">'RES_ko-KR'!$W$5:$W$23</definedName>
    <definedName name="uDialogList" localSheetId="14">'RES_lv-LV'!$W$5:$W$23</definedName>
    <definedName name="uDialogList" localSheetId="15">'RES_nb-NO'!$W$5:$W$23</definedName>
    <definedName name="uDialogList" localSheetId="16">'RES_nl-NL'!$W$5:$W$23</definedName>
    <definedName name="uDialogList" localSheetId="17">'RES_pl-PL'!$W$5:$W$23</definedName>
    <definedName name="uDialogList" localSheetId="18">'RES_pt-BR'!$W$5:$W$23</definedName>
    <definedName name="uDialogList" localSheetId="19">'RES_pt-PT'!$W$5:$W$23</definedName>
    <definedName name="uDialogList" localSheetId="20">'RES_ro-RO'!$W$5:$W$23</definedName>
    <definedName name="uDialogList" localSheetId="21">'RES_ru-RU'!$W$5:$W$23</definedName>
    <definedName name="uDialogList" localSheetId="22">'RES_sl-SI'!$W$5:$W$23</definedName>
    <definedName name="uDialogList" localSheetId="23">'RES_sv-SE'!$W$5:$W$23</definedName>
    <definedName name="uDialogList" localSheetId="24">'RES_tr-TR'!$W$5:$W$23</definedName>
    <definedName name="uDialogList" localSheetId="25">'RES_zh-CN'!$W$5:$W$23</definedName>
    <definedName name="uDialogList" localSheetId="26">'RES_zh-TW'!$W$5:$W$23</definedName>
    <definedName name="uDialogTable" localSheetId="3">'RES_cs-CZ'!$W$5:$X$23</definedName>
    <definedName name="uDialogTable" localSheetId="4">'RES_da-DK'!$W$5:$X$23</definedName>
    <definedName name="uDialogTable" localSheetId="5">'RES_de-DE'!$W$5:$X$23</definedName>
    <definedName name="uDialogTable" localSheetId="6">'RES_el-GR'!$W$5:$X$23</definedName>
    <definedName name="uDialogTable" localSheetId="2">'RES_en-US'!$W$5:$X$23</definedName>
    <definedName name="uDialogTable" localSheetId="7">'RES_es-ES'!$W$5:$X$23</definedName>
    <definedName name="uDialogTable" localSheetId="8">'RES_fi-FI'!$W$5:$X$23</definedName>
    <definedName name="uDialogTable" localSheetId="1">'RES_fr-FR'!$W$5:$X$23</definedName>
    <definedName name="uDialogTable" localSheetId="9">'RES_hr-HR'!$W$5:$X$23</definedName>
    <definedName name="uDialogTable" localSheetId="10">'RES_hu-HU'!$W$5:$X$23</definedName>
    <definedName name="uDialogTable" localSheetId="11">'RES_it-IT'!$W$5:$X$23</definedName>
    <definedName name="uDialogTable" localSheetId="12">'RES_ja-JP'!$W$5:$X$23</definedName>
    <definedName name="uDialogTable" localSheetId="13">'RES_ko-KR'!$W$5:$X$23</definedName>
    <definedName name="uDialogTable" localSheetId="14">'RES_lv-LV'!$W$5:$X$23</definedName>
    <definedName name="uDialogTable" localSheetId="15">'RES_nb-NO'!$W$5:$X$23</definedName>
    <definedName name="uDialogTable" localSheetId="16">'RES_nl-NL'!$W$5:$X$23</definedName>
    <definedName name="uDialogTable" localSheetId="17">'RES_pl-PL'!$W$5:$X$23</definedName>
    <definedName name="uDialogTable" localSheetId="18">'RES_pt-BR'!$W$5:$X$23</definedName>
    <definedName name="uDialogTable" localSheetId="19">'RES_pt-PT'!$W$5:$X$23</definedName>
    <definedName name="uDialogTable" localSheetId="20">'RES_ro-RO'!$W$5:$X$23</definedName>
    <definedName name="uDialogTable" localSheetId="21">'RES_ru-RU'!$W$5:$X$23</definedName>
    <definedName name="uDialogTable" localSheetId="22">'RES_sl-SI'!$W$5:$X$23</definedName>
    <definedName name="uDialogTable" localSheetId="23">'RES_sv-SE'!$W$5:$X$23</definedName>
    <definedName name="uDialogTable" localSheetId="24">'RES_tr-TR'!$W$5:$X$23</definedName>
    <definedName name="uDialogTable" localSheetId="25">'RES_zh-CN'!$W$5:$X$23</definedName>
    <definedName name="uDialogTable" localSheetId="26">'RES_zh-TW'!$W$5:$X$23</definedName>
  </definedNames>
  <calcPr calcId="171027"/>
  <webPublishing codePage="1252"/>
</workbook>
</file>

<file path=xl/calcChain.xml><?xml version="1.0" encoding="utf-8"?>
<calcChain xmlns="http://schemas.openxmlformats.org/spreadsheetml/2006/main">
  <c r="CT142" i="23" l="1"/>
  <c r="CT141" i="23"/>
  <c r="CT140" i="23"/>
  <c r="CT139" i="23"/>
  <c r="CT138" i="23"/>
  <c r="CT137" i="23"/>
  <c r="CT136" i="23"/>
  <c r="W23" i="23"/>
  <c r="U23" i="23"/>
  <c r="W22" i="23"/>
  <c r="U22" i="23"/>
  <c r="W21" i="23"/>
  <c r="U21" i="23"/>
  <c r="W20" i="23"/>
  <c r="U20" i="23"/>
  <c r="W19" i="23"/>
  <c r="U19" i="23"/>
  <c r="W18" i="23"/>
  <c r="U18" i="23"/>
  <c r="W17" i="23"/>
  <c r="U17" i="23"/>
  <c r="W16" i="23"/>
  <c r="U16" i="23"/>
  <c r="W15" i="23"/>
  <c r="U15" i="23"/>
  <c r="W14" i="23"/>
  <c r="U14" i="23"/>
  <c r="W13" i="23"/>
  <c r="U13" i="23"/>
  <c r="W12" i="23"/>
  <c r="U12" i="23"/>
  <c r="W11" i="23"/>
  <c r="U11" i="23"/>
  <c r="W10" i="23"/>
  <c r="U10" i="23"/>
  <c r="W9" i="23"/>
  <c r="U9" i="23"/>
  <c r="W8" i="23"/>
  <c r="U8" i="23"/>
  <c r="W7" i="23"/>
  <c r="U7" i="23"/>
  <c r="W6" i="23"/>
  <c r="U6" i="23"/>
  <c r="W5" i="23"/>
  <c r="U5" i="23"/>
  <c r="W3" i="23"/>
  <c r="CT142" i="12" l="1"/>
  <c r="CT141" i="12"/>
  <c r="CT140" i="12"/>
  <c r="CT139" i="12"/>
  <c r="CT138" i="12"/>
  <c r="CT137" i="12"/>
  <c r="CT136" i="12"/>
  <c r="W23" i="12"/>
  <c r="U23" i="12"/>
  <c r="W22" i="12"/>
  <c r="U22" i="12"/>
  <c r="W21" i="12"/>
  <c r="U21" i="12"/>
  <c r="W20" i="12"/>
  <c r="U20" i="12"/>
  <c r="W19" i="12"/>
  <c r="U19" i="12"/>
  <c r="W18" i="12"/>
  <c r="U18" i="12"/>
  <c r="W17" i="12"/>
  <c r="U17" i="12"/>
  <c r="W16" i="12"/>
  <c r="U16" i="12"/>
  <c r="W15" i="12"/>
  <c r="U15" i="12"/>
  <c r="W14" i="12"/>
  <c r="U14" i="12"/>
  <c r="W13" i="12"/>
  <c r="U13" i="12"/>
  <c r="W12" i="12"/>
  <c r="U12" i="12"/>
  <c r="W11" i="12"/>
  <c r="U11" i="12"/>
  <c r="W10" i="12"/>
  <c r="U10" i="12"/>
  <c r="W9" i="12"/>
  <c r="U9" i="12"/>
  <c r="W8" i="12"/>
  <c r="U8" i="12"/>
  <c r="W7" i="12"/>
  <c r="U7" i="12"/>
  <c r="W6" i="12"/>
  <c r="U6" i="12"/>
  <c r="W5" i="12"/>
  <c r="U5" i="12"/>
  <c r="W3" i="12"/>
  <c r="CT142" i="31" l="1"/>
  <c r="CT141" i="31"/>
  <c r="CT140" i="31"/>
  <c r="CT139" i="31"/>
  <c r="CT138" i="31"/>
  <c r="CT137" i="31"/>
  <c r="CT136" i="31"/>
  <c r="W23" i="31"/>
  <c r="U23" i="31"/>
  <c r="W22" i="31"/>
  <c r="U22" i="31"/>
  <c r="W21" i="31"/>
  <c r="U21" i="31"/>
  <c r="W20" i="31"/>
  <c r="U20" i="31"/>
  <c r="W19" i="31"/>
  <c r="U19" i="31"/>
  <c r="W18" i="31"/>
  <c r="U18" i="31"/>
  <c r="W17" i="31"/>
  <c r="U17" i="31"/>
  <c r="W16" i="31"/>
  <c r="U16" i="31"/>
  <c r="W15" i="31"/>
  <c r="U15" i="31"/>
  <c r="W14" i="31"/>
  <c r="U14" i="31"/>
  <c r="W13" i="31"/>
  <c r="U13" i="31"/>
  <c r="W12" i="31"/>
  <c r="U12" i="31"/>
  <c r="W11" i="31"/>
  <c r="U11" i="31"/>
  <c r="W10" i="31"/>
  <c r="U10" i="31"/>
  <c r="W9" i="31"/>
  <c r="U9" i="31"/>
  <c r="W8" i="31"/>
  <c r="U8" i="31"/>
  <c r="W7" i="31"/>
  <c r="U7" i="31"/>
  <c r="W6" i="31"/>
  <c r="U6" i="31"/>
  <c r="W5" i="31"/>
  <c r="U5" i="31"/>
  <c r="W3" i="31"/>
  <c r="CT142" i="30"/>
  <c r="CT141" i="30"/>
  <c r="CT140" i="30"/>
  <c r="CT139" i="30"/>
  <c r="CT138" i="30"/>
  <c r="CT137" i="30"/>
  <c r="CT136" i="30"/>
  <c r="W23" i="30"/>
  <c r="U23" i="30"/>
  <c r="W22" i="30"/>
  <c r="U22" i="30"/>
  <c r="W21" i="30"/>
  <c r="U21" i="30"/>
  <c r="W20" i="30"/>
  <c r="U20" i="30"/>
  <c r="W19" i="30"/>
  <c r="U19" i="30"/>
  <c r="W18" i="30"/>
  <c r="U18" i="30"/>
  <c r="W17" i="30"/>
  <c r="U17" i="30"/>
  <c r="W16" i="30"/>
  <c r="U16" i="30"/>
  <c r="W15" i="30"/>
  <c r="U15" i="30"/>
  <c r="W14" i="30"/>
  <c r="U14" i="30"/>
  <c r="W13" i="30"/>
  <c r="U13" i="30"/>
  <c r="W12" i="30"/>
  <c r="U12" i="30"/>
  <c r="W11" i="30"/>
  <c r="U11" i="30"/>
  <c r="W10" i="30"/>
  <c r="U10" i="30"/>
  <c r="W9" i="30"/>
  <c r="U9" i="30"/>
  <c r="W8" i="30"/>
  <c r="U8" i="30"/>
  <c r="W7" i="30"/>
  <c r="U7" i="30"/>
  <c r="W6" i="30"/>
  <c r="U6" i="30"/>
  <c r="W5" i="30"/>
  <c r="U5" i="30"/>
  <c r="W3" i="30"/>
  <c r="CT142" i="29"/>
  <c r="CT141" i="29"/>
  <c r="CT140" i="29"/>
  <c r="CT139" i="29"/>
  <c r="CT138" i="29"/>
  <c r="CT137" i="29"/>
  <c r="CT136" i="29"/>
  <c r="W23" i="29"/>
  <c r="U23" i="29"/>
  <c r="W22" i="29"/>
  <c r="U22" i="29"/>
  <c r="W21" i="29"/>
  <c r="U21" i="29"/>
  <c r="W20" i="29"/>
  <c r="U20" i="29"/>
  <c r="W19" i="29"/>
  <c r="U19" i="29"/>
  <c r="W18" i="29"/>
  <c r="U18" i="29"/>
  <c r="W17" i="29"/>
  <c r="U17" i="29"/>
  <c r="W16" i="29"/>
  <c r="U16" i="29"/>
  <c r="W15" i="29"/>
  <c r="U15" i="29"/>
  <c r="W14" i="29"/>
  <c r="U14" i="29"/>
  <c r="W13" i="29"/>
  <c r="U13" i="29"/>
  <c r="W12" i="29"/>
  <c r="U12" i="29"/>
  <c r="W11" i="29"/>
  <c r="U11" i="29"/>
  <c r="W10" i="29"/>
  <c r="U10" i="29"/>
  <c r="W9" i="29"/>
  <c r="U9" i="29"/>
  <c r="W8" i="29"/>
  <c r="U8" i="29"/>
  <c r="W7" i="29"/>
  <c r="U7" i="29"/>
  <c r="W6" i="29"/>
  <c r="U6" i="29"/>
  <c r="W5" i="29"/>
  <c r="U5" i="29"/>
  <c r="W3" i="29"/>
  <c r="CT142" i="28"/>
  <c r="CT141" i="28"/>
  <c r="CT140" i="28"/>
  <c r="CT139" i="28"/>
  <c r="CT138" i="28"/>
  <c r="CT137" i="28"/>
  <c r="CT136" i="28"/>
  <c r="W23" i="28"/>
  <c r="U23" i="28"/>
  <c r="W22" i="28"/>
  <c r="U22" i="28"/>
  <c r="W21" i="28"/>
  <c r="U21" i="28"/>
  <c r="W20" i="28"/>
  <c r="U20" i="28"/>
  <c r="W19" i="28"/>
  <c r="U19" i="28"/>
  <c r="W18" i="28"/>
  <c r="U18" i="28"/>
  <c r="W17" i="28"/>
  <c r="U17" i="28"/>
  <c r="W16" i="28"/>
  <c r="U16" i="28"/>
  <c r="W15" i="28"/>
  <c r="U15" i="28"/>
  <c r="W14" i="28"/>
  <c r="U14" i="28"/>
  <c r="W13" i="28"/>
  <c r="U13" i="28"/>
  <c r="W12" i="28"/>
  <c r="U12" i="28"/>
  <c r="W11" i="28"/>
  <c r="U11" i="28"/>
  <c r="W10" i="28"/>
  <c r="U10" i="28"/>
  <c r="W9" i="28"/>
  <c r="U9" i="28"/>
  <c r="W8" i="28"/>
  <c r="U8" i="28"/>
  <c r="W7" i="28"/>
  <c r="U7" i="28"/>
  <c r="W6" i="28"/>
  <c r="U6" i="28"/>
  <c r="W5" i="28"/>
  <c r="U5" i="28"/>
  <c r="W3" i="28"/>
  <c r="CT142" i="27"/>
  <c r="CT141" i="27"/>
  <c r="CT140" i="27"/>
  <c r="CT139" i="27"/>
  <c r="CT138" i="27"/>
  <c r="CT137" i="27"/>
  <c r="CT136" i="27"/>
  <c r="W23" i="27"/>
  <c r="U23" i="27"/>
  <c r="W22" i="27"/>
  <c r="U22" i="27"/>
  <c r="W21" i="27"/>
  <c r="U21" i="27"/>
  <c r="W20" i="27"/>
  <c r="U20" i="27"/>
  <c r="W19" i="27"/>
  <c r="U19" i="27"/>
  <c r="W18" i="27"/>
  <c r="U18" i="27"/>
  <c r="W17" i="27"/>
  <c r="U17" i="27"/>
  <c r="W16" i="27"/>
  <c r="U16" i="27"/>
  <c r="W15" i="27"/>
  <c r="U15" i="27"/>
  <c r="W14" i="27"/>
  <c r="U14" i="27"/>
  <c r="W13" i="27"/>
  <c r="U13" i="27"/>
  <c r="W12" i="27"/>
  <c r="U12" i="27"/>
  <c r="W11" i="27"/>
  <c r="U11" i="27"/>
  <c r="W10" i="27"/>
  <c r="U10" i="27"/>
  <c r="W9" i="27"/>
  <c r="U9" i="27"/>
  <c r="W8" i="27"/>
  <c r="U8" i="27"/>
  <c r="W7" i="27"/>
  <c r="U7" i="27"/>
  <c r="W6" i="27"/>
  <c r="U6" i="27"/>
  <c r="W5" i="27"/>
  <c r="U5" i="27"/>
  <c r="W3" i="27"/>
  <c r="CT142" i="26"/>
  <c r="CT141" i="26"/>
  <c r="CT140" i="26"/>
  <c r="CT139" i="26"/>
  <c r="CT138" i="26"/>
  <c r="CT137" i="26"/>
  <c r="CT136" i="26"/>
  <c r="W23" i="26"/>
  <c r="U23" i="26"/>
  <c r="W22" i="26"/>
  <c r="U22" i="26"/>
  <c r="W21" i="26"/>
  <c r="U21" i="26"/>
  <c r="W20" i="26"/>
  <c r="U20" i="26"/>
  <c r="W19" i="26"/>
  <c r="U19" i="26"/>
  <c r="W18" i="26"/>
  <c r="U18" i="26"/>
  <c r="W17" i="26"/>
  <c r="U17" i="26"/>
  <c r="W16" i="26"/>
  <c r="U16" i="26"/>
  <c r="W15" i="26"/>
  <c r="U15" i="26"/>
  <c r="W14" i="26"/>
  <c r="U14" i="26"/>
  <c r="W13" i="26"/>
  <c r="U13" i="26"/>
  <c r="W12" i="26"/>
  <c r="U12" i="26"/>
  <c r="W11" i="26"/>
  <c r="U11" i="26"/>
  <c r="W10" i="26"/>
  <c r="U10" i="26"/>
  <c r="W9" i="26"/>
  <c r="U9" i="26"/>
  <c r="W8" i="26"/>
  <c r="U8" i="26"/>
  <c r="W7" i="26"/>
  <c r="U7" i="26"/>
  <c r="W6" i="26"/>
  <c r="U6" i="26"/>
  <c r="W5" i="26"/>
  <c r="U5" i="26"/>
  <c r="W3" i="26"/>
  <c r="CT142" i="25"/>
  <c r="CT141" i="25"/>
  <c r="CT140" i="25"/>
  <c r="CT139" i="25"/>
  <c r="CT138" i="25"/>
  <c r="CT137" i="25"/>
  <c r="CT136" i="25"/>
  <c r="W23" i="25"/>
  <c r="U23" i="25"/>
  <c r="W22" i="25"/>
  <c r="U22" i="25"/>
  <c r="W21" i="25"/>
  <c r="U21" i="25"/>
  <c r="W20" i="25"/>
  <c r="U20" i="25"/>
  <c r="W19" i="25"/>
  <c r="U19" i="25"/>
  <c r="W18" i="25"/>
  <c r="U18" i="25"/>
  <c r="W17" i="25"/>
  <c r="U17" i="25"/>
  <c r="W16" i="25"/>
  <c r="U16" i="25"/>
  <c r="W15" i="25"/>
  <c r="U15" i="25"/>
  <c r="W14" i="25"/>
  <c r="U14" i="25"/>
  <c r="W13" i="25"/>
  <c r="U13" i="25"/>
  <c r="W12" i="25"/>
  <c r="U12" i="25"/>
  <c r="W11" i="25"/>
  <c r="U11" i="25"/>
  <c r="W10" i="25"/>
  <c r="U10" i="25"/>
  <c r="W9" i="25"/>
  <c r="U9" i="25"/>
  <c r="W8" i="25"/>
  <c r="U8" i="25"/>
  <c r="W7" i="25"/>
  <c r="U7" i="25"/>
  <c r="W6" i="25"/>
  <c r="U6" i="25"/>
  <c r="W5" i="25"/>
  <c r="U5" i="25"/>
  <c r="W3" i="25"/>
  <c r="CT142" i="24"/>
  <c r="CT141" i="24"/>
  <c r="CT140" i="24"/>
  <c r="CT139" i="24"/>
  <c r="CT138" i="24"/>
  <c r="CT137" i="24"/>
  <c r="CT136" i="24"/>
  <c r="W23" i="24"/>
  <c r="U23" i="24"/>
  <c r="W22" i="24"/>
  <c r="U22" i="24"/>
  <c r="W21" i="24"/>
  <c r="U21" i="24"/>
  <c r="W20" i="24"/>
  <c r="U20" i="24"/>
  <c r="W19" i="24"/>
  <c r="U19" i="24"/>
  <c r="W18" i="24"/>
  <c r="U18" i="24"/>
  <c r="W17" i="24"/>
  <c r="U17" i="24"/>
  <c r="W16" i="24"/>
  <c r="U16" i="24"/>
  <c r="W15" i="24"/>
  <c r="U15" i="24"/>
  <c r="W14" i="24"/>
  <c r="U14" i="24"/>
  <c r="W13" i="24"/>
  <c r="U13" i="24"/>
  <c r="W12" i="24"/>
  <c r="U12" i="24"/>
  <c r="W11" i="24"/>
  <c r="U11" i="24"/>
  <c r="W10" i="24"/>
  <c r="U10" i="24"/>
  <c r="W9" i="24"/>
  <c r="U9" i="24"/>
  <c r="W8" i="24"/>
  <c r="U8" i="24"/>
  <c r="W7" i="24"/>
  <c r="U7" i="24"/>
  <c r="W6" i="24"/>
  <c r="U6" i="24"/>
  <c r="W5" i="24"/>
  <c r="U5" i="24"/>
  <c r="W3" i="24"/>
  <c r="CT142" i="22"/>
  <c r="CT141" i="22"/>
  <c r="CT140" i="22"/>
  <c r="CT139" i="22"/>
  <c r="CT138" i="22"/>
  <c r="CT137" i="22"/>
  <c r="CT136" i="22"/>
  <c r="W23" i="22"/>
  <c r="U23" i="22"/>
  <c r="W22" i="22"/>
  <c r="U22" i="22"/>
  <c r="W21" i="22"/>
  <c r="U21" i="22"/>
  <c r="W20" i="22"/>
  <c r="U20" i="22"/>
  <c r="W19" i="22"/>
  <c r="U19" i="22"/>
  <c r="W18" i="22"/>
  <c r="U18" i="22"/>
  <c r="W17" i="22"/>
  <c r="U17" i="22"/>
  <c r="W16" i="22"/>
  <c r="U16" i="22"/>
  <c r="W15" i="22"/>
  <c r="U15" i="22"/>
  <c r="W14" i="22"/>
  <c r="U14" i="22"/>
  <c r="W13" i="22"/>
  <c r="U13" i="22"/>
  <c r="W12" i="22"/>
  <c r="U12" i="22"/>
  <c r="W11" i="22"/>
  <c r="U11" i="22"/>
  <c r="W10" i="22"/>
  <c r="U10" i="22"/>
  <c r="W9" i="22"/>
  <c r="U9" i="22"/>
  <c r="W8" i="22"/>
  <c r="U8" i="22"/>
  <c r="W7" i="22"/>
  <c r="U7" i="22"/>
  <c r="W6" i="22"/>
  <c r="U6" i="22"/>
  <c r="W5" i="22"/>
  <c r="U5" i="22"/>
  <c r="W3" i="22"/>
  <c r="CT142" i="21"/>
  <c r="CT141" i="21"/>
  <c r="CT140" i="21"/>
  <c r="CT139" i="21"/>
  <c r="CT138" i="21"/>
  <c r="CT137" i="21"/>
  <c r="CT136" i="21"/>
  <c r="W23" i="21"/>
  <c r="U23" i="21"/>
  <c r="W22" i="21"/>
  <c r="U22" i="21"/>
  <c r="W21" i="21"/>
  <c r="U21" i="21"/>
  <c r="W20" i="21"/>
  <c r="U20" i="21"/>
  <c r="W19" i="21"/>
  <c r="U19" i="21"/>
  <c r="W18" i="21"/>
  <c r="U18" i="21"/>
  <c r="W17" i="21"/>
  <c r="U17" i="21"/>
  <c r="W16" i="21"/>
  <c r="U16" i="21"/>
  <c r="W15" i="21"/>
  <c r="U15" i="21"/>
  <c r="W14" i="21"/>
  <c r="U14" i="21"/>
  <c r="W13" i="21"/>
  <c r="U13" i="21"/>
  <c r="W12" i="21"/>
  <c r="U12" i="21"/>
  <c r="W11" i="21"/>
  <c r="U11" i="21"/>
  <c r="W10" i="21"/>
  <c r="U10" i="21"/>
  <c r="W9" i="21"/>
  <c r="U9" i="21"/>
  <c r="W8" i="21"/>
  <c r="U8" i="21"/>
  <c r="W7" i="21"/>
  <c r="U7" i="21"/>
  <c r="W6" i="21"/>
  <c r="U6" i="21"/>
  <c r="W5" i="21"/>
  <c r="U5" i="21"/>
  <c r="W3" i="21"/>
  <c r="CT142" i="20"/>
  <c r="CT141" i="20"/>
  <c r="CT140" i="20"/>
  <c r="CT139" i="20"/>
  <c r="CT138" i="20"/>
  <c r="CT137" i="20"/>
  <c r="CT136" i="20"/>
  <c r="W23" i="20"/>
  <c r="U23" i="20"/>
  <c r="W22" i="20"/>
  <c r="U22" i="20"/>
  <c r="W21" i="20"/>
  <c r="U21" i="20"/>
  <c r="W20" i="20"/>
  <c r="U20" i="20"/>
  <c r="W19" i="20"/>
  <c r="U19" i="20"/>
  <c r="W18" i="20"/>
  <c r="U18" i="20"/>
  <c r="W17" i="20"/>
  <c r="U17" i="20"/>
  <c r="W16" i="20"/>
  <c r="U16" i="20"/>
  <c r="W15" i="20"/>
  <c r="U15" i="20"/>
  <c r="W14" i="20"/>
  <c r="U14" i="20"/>
  <c r="W13" i="20"/>
  <c r="U13" i="20"/>
  <c r="W12" i="20"/>
  <c r="U12" i="20"/>
  <c r="W11" i="20"/>
  <c r="U11" i="20"/>
  <c r="W10" i="20"/>
  <c r="U10" i="20"/>
  <c r="W9" i="20"/>
  <c r="U9" i="20"/>
  <c r="W8" i="20"/>
  <c r="U8" i="20"/>
  <c r="W7" i="20"/>
  <c r="U7" i="20"/>
  <c r="W6" i="20"/>
  <c r="U6" i="20"/>
  <c r="W5" i="20"/>
  <c r="U5" i="20"/>
  <c r="W3" i="20"/>
  <c r="CT142" i="19"/>
  <c r="CT141" i="19"/>
  <c r="CT140" i="19"/>
  <c r="CT139" i="19"/>
  <c r="CT138" i="19"/>
  <c r="CT137" i="19"/>
  <c r="CT136" i="19"/>
  <c r="W23" i="19"/>
  <c r="U23" i="19"/>
  <c r="W22" i="19"/>
  <c r="U22" i="19"/>
  <c r="W21" i="19"/>
  <c r="U21" i="19"/>
  <c r="W20" i="19"/>
  <c r="U20" i="19"/>
  <c r="W19" i="19"/>
  <c r="U19" i="19"/>
  <c r="W18" i="19"/>
  <c r="U18" i="19"/>
  <c r="W17" i="19"/>
  <c r="U17" i="19"/>
  <c r="W16" i="19"/>
  <c r="U16" i="19"/>
  <c r="W15" i="19"/>
  <c r="U15" i="19"/>
  <c r="W14" i="19"/>
  <c r="U14" i="19"/>
  <c r="W13" i="19"/>
  <c r="U13" i="19"/>
  <c r="W12" i="19"/>
  <c r="U12" i="19"/>
  <c r="W11" i="19"/>
  <c r="U11" i="19"/>
  <c r="W10" i="19"/>
  <c r="U10" i="19"/>
  <c r="W9" i="19"/>
  <c r="U9" i="19"/>
  <c r="W8" i="19"/>
  <c r="U8" i="19"/>
  <c r="W7" i="19"/>
  <c r="U7" i="19"/>
  <c r="W6" i="19"/>
  <c r="U6" i="19"/>
  <c r="W5" i="19"/>
  <c r="U5" i="19"/>
  <c r="W3" i="19"/>
  <c r="CT142" i="18"/>
  <c r="CT141" i="18"/>
  <c r="CT140" i="18"/>
  <c r="CT139" i="18"/>
  <c r="CT138" i="18"/>
  <c r="CT137" i="18"/>
  <c r="CT136" i="18"/>
  <c r="W23" i="18"/>
  <c r="U23" i="18"/>
  <c r="W22" i="18"/>
  <c r="U22" i="18"/>
  <c r="W21" i="18"/>
  <c r="U21" i="18"/>
  <c r="W20" i="18"/>
  <c r="U20" i="18"/>
  <c r="W19" i="18"/>
  <c r="U19" i="18"/>
  <c r="W18" i="18"/>
  <c r="U18" i="18"/>
  <c r="W17" i="18"/>
  <c r="U17" i="18"/>
  <c r="W16" i="18"/>
  <c r="U16" i="18"/>
  <c r="W15" i="18"/>
  <c r="U15" i="18"/>
  <c r="W14" i="18"/>
  <c r="U14" i="18"/>
  <c r="W13" i="18"/>
  <c r="U13" i="18"/>
  <c r="W12" i="18"/>
  <c r="U12" i="18"/>
  <c r="W11" i="18"/>
  <c r="U11" i="18"/>
  <c r="W10" i="18"/>
  <c r="U10" i="18"/>
  <c r="W9" i="18"/>
  <c r="U9" i="18"/>
  <c r="W8" i="18"/>
  <c r="U8" i="18"/>
  <c r="W7" i="18"/>
  <c r="U7" i="18"/>
  <c r="W6" i="18"/>
  <c r="U6" i="18"/>
  <c r="W5" i="18"/>
  <c r="U5" i="18"/>
  <c r="W3" i="18"/>
  <c r="CT142" i="17"/>
  <c r="CT141" i="17"/>
  <c r="CT140" i="17"/>
  <c r="CT139" i="17"/>
  <c r="CT138" i="17"/>
  <c r="CT137" i="17"/>
  <c r="CT136" i="17"/>
  <c r="W23" i="17"/>
  <c r="U23" i="17"/>
  <c r="W22" i="17"/>
  <c r="U22" i="17"/>
  <c r="W21" i="17"/>
  <c r="U21" i="17"/>
  <c r="W20" i="17"/>
  <c r="U20" i="17"/>
  <c r="W19" i="17"/>
  <c r="U19" i="17"/>
  <c r="W18" i="17"/>
  <c r="U18" i="17"/>
  <c r="W17" i="17"/>
  <c r="U17" i="17"/>
  <c r="W16" i="17"/>
  <c r="U16" i="17"/>
  <c r="W15" i="17"/>
  <c r="U15" i="17"/>
  <c r="W14" i="17"/>
  <c r="U14" i="17"/>
  <c r="W13" i="17"/>
  <c r="U13" i="17"/>
  <c r="W12" i="17"/>
  <c r="U12" i="17"/>
  <c r="W11" i="17"/>
  <c r="U11" i="17"/>
  <c r="W10" i="17"/>
  <c r="U10" i="17"/>
  <c r="W9" i="17"/>
  <c r="U9" i="17"/>
  <c r="W8" i="17"/>
  <c r="U8" i="17"/>
  <c r="W7" i="17"/>
  <c r="U7" i="17"/>
  <c r="W6" i="17"/>
  <c r="U6" i="17"/>
  <c r="W5" i="17"/>
  <c r="U5" i="17"/>
  <c r="W3" i="17"/>
  <c r="CT142" i="16"/>
  <c r="CT141" i="16"/>
  <c r="CT140" i="16"/>
  <c r="CT139" i="16"/>
  <c r="CT138" i="16"/>
  <c r="CT137" i="16"/>
  <c r="CT136" i="16"/>
  <c r="W23" i="16"/>
  <c r="U23" i="16"/>
  <c r="W22" i="16"/>
  <c r="U22" i="16"/>
  <c r="W21" i="16"/>
  <c r="U21" i="16"/>
  <c r="W20" i="16"/>
  <c r="U20" i="16"/>
  <c r="W19" i="16"/>
  <c r="U19" i="16"/>
  <c r="W18" i="16"/>
  <c r="U18" i="16"/>
  <c r="W17" i="16"/>
  <c r="U17" i="16"/>
  <c r="W16" i="16"/>
  <c r="U16" i="16"/>
  <c r="W15" i="16"/>
  <c r="U15" i="16"/>
  <c r="W14" i="16"/>
  <c r="U14" i="16"/>
  <c r="W13" i="16"/>
  <c r="U13" i="16"/>
  <c r="W12" i="16"/>
  <c r="U12" i="16"/>
  <c r="W11" i="16"/>
  <c r="U11" i="16"/>
  <c r="W10" i="16"/>
  <c r="U10" i="16"/>
  <c r="W9" i="16"/>
  <c r="U9" i="16"/>
  <c r="W8" i="16"/>
  <c r="U8" i="16"/>
  <c r="W7" i="16"/>
  <c r="U7" i="16"/>
  <c r="W6" i="16"/>
  <c r="U6" i="16"/>
  <c r="W5" i="16"/>
  <c r="U5" i="16"/>
  <c r="W3" i="16"/>
  <c r="CT142" i="15"/>
  <c r="CT141" i="15"/>
  <c r="CT140" i="15"/>
  <c r="CT139" i="15"/>
  <c r="CT138" i="15"/>
  <c r="CT137" i="15"/>
  <c r="CT136" i="15"/>
  <c r="W23" i="15"/>
  <c r="U23" i="15"/>
  <c r="W22" i="15"/>
  <c r="U22" i="15"/>
  <c r="W21" i="15"/>
  <c r="U21" i="15"/>
  <c r="W20" i="15"/>
  <c r="U20" i="15"/>
  <c r="W19" i="15"/>
  <c r="U19" i="15"/>
  <c r="W18" i="15"/>
  <c r="U18" i="15"/>
  <c r="W17" i="15"/>
  <c r="U17" i="15"/>
  <c r="W16" i="15"/>
  <c r="U16" i="15"/>
  <c r="W15" i="15"/>
  <c r="U15" i="15"/>
  <c r="W14" i="15"/>
  <c r="U14" i="15"/>
  <c r="W13" i="15"/>
  <c r="U13" i="15"/>
  <c r="W12" i="15"/>
  <c r="U12" i="15"/>
  <c r="W11" i="15"/>
  <c r="U11" i="15"/>
  <c r="W10" i="15"/>
  <c r="U10" i="15"/>
  <c r="W9" i="15"/>
  <c r="U9" i="15"/>
  <c r="W8" i="15"/>
  <c r="U8" i="15"/>
  <c r="W7" i="15"/>
  <c r="U7" i="15"/>
  <c r="W6" i="15"/>
  <c r="U6" i="15"/>
  <c r="W5" i="15"/>
  <c r="U5" i="15"/>
  <c r="W3" i="15"/>
  <c r="CT142" i="14"/>
  <c r="CT141" i="14"/>
  <c r="CT140" i="14"/>
  <c r="CT139" i="14"/>
  <c r="CT138" i="14"/>
  <c r="CT137" i="14"/>
  <c r="CT136" i="14"/>
  <c r="W23" i="14"/>
  <c r="U23" i="14"/>
  <c r="W22" i="14"/>
  <c r="U22" i="14"/>
  <c r="W21" i="14"/>
  <c r="U21" i="14"/>
  <c r="W20" i="14"/>
  <c r="U20" i="14"/>
  <c r="W19" i="14"/>
  <c r="U19" i="14"/>
  <c r="W18" i="14"/>
  <c r="U18" i="14"/>
  <c r="W17" i="14"/>
  <c r="U17" i="14"/>
  <c r="W16" i="14"/>
  <c r="U16" i="14"/>
  <c r="W15" i="14"/>
  <c r="U15" i="14"/>
  <c r="W14" i="14"/>
  <c r="U14" i="14"/>
  <c r="W13" i="14"/>
  <c r="U13" i="14"/>
  <c r="W12" i="14"/>
  <c r="U12" i="14"/>
  <c r="W11" i="14"/>
  <c r="U11" i="14"/>
  <c r="W10" i="14"/>
  <c r="U10" i="14"/>
  <c r="W9" i="14"/>
  <c r="U9" i="14"/>
  <c r="W8" i="14"/>
  <c r="U8" i="14"/>
  <c r="W7" i="14"/>
  <c r="U7" i="14"/>
  <c r="W6" i="14"/>
  <c r="U6" i="14"/>
  <c r="W5" i="14"/>
  <c r="U5" i="14"/>
  <c r="W3" i="14"/>
  <c r="CT142" i="13"/>
  <c r="CT141" i="13"/>
  <c r="CT140" i="13"/>
  <c r="CT139" i="13"/>
  <c r="CT138" i="13"/>
  <c r="CT137" i="13"/>
  <c r="CT136" i="13"/>
  <c r="W23" i="13"/>
  <c r="U23" i="13"/>
  <c r="W22" i="13"/>
  <c r="U22" i="13"/>
  <c r="W21" i="13"/>
  <c r="U21" i="13"/>
  <c r="W20" i="13"/>
  <c r="U20" i="13"/>
  <c r="W19" i="13"/>
  <c r="U19" i="13"/>
  <c r="W18" i="13"/>
  <c r="U18" i="13"/>
  <c r="W17" i="13"/>
  <c r="U17" i="13"/>
  <c r="W16" i="13"/>
  <c r="U16" i="13"/>
  <c r="W15" i="13"/>
  <c r="U15" i="13"/>
  <c r="W14" i="13"/>
  <c r="U14" i="13"/>
  <c r="W13" i="13"/>
  <c r="U13" i="13"/>
  <c r="W12" i="13"/>
  <c r="U12" i="13"/>
  <c r="W11" i="13"/>
  <c r="U11" i="13"/>
  <c r="W10" i="13"/>
  <c r="U10" i="13"/>
  <c r="W9" i="13"/>
  <c r="U9" i="13"/>
  <c r="W8" i="13"/>
  <c r="U8" i="13"/>
  <c r="W7" i="13"/>
  <c r="U7" i="13"/>
  <c r="W6" i="13"/>
  <c r="U6" i="13"/>
  <c r="W5" i="13"/>
  <c r="U5" i="13"/>
  <c r="W3" i="13"/>
  <c r="CT142" i="11"/>
  <c r="CT141" i="11"/>
  <c r="CT140" i="11"/>
  <c r="CT139" i="11"/>
  <c r="CT138" i="11"/>
  <c r="CT137" i="11"/>
  <c r="CT136" i="11"/>
  <c r="W23" i="11"/>
  <c r="U23" i="11"/>
  <c r="W22" i="11"/>
  <c r="U22" i="11"/>
  <c r="W21" i="11"/>
  <c r="U21" i="11"/>
  <c r="W20" i="11"/>
  <c r="U20" i="11"/>
  <c r="W19" i="11"/>
  <c r="U19" i="11"/>
  <c r="W18" i="11"/>
  <c r="U18" i="11"/>
  <c r="W17" i="11"/>
  <c r="U17" i="11"/>
  <c r="W16" i="11"/>
  <c r="U16" i="11"/>
  <c r="W15" i="11"/>
  <c r="U15" i="11"/>
  <c r="W14" i="11"/>
  <c r="U14" i="11"/>
  <c r="W13" i="11"/>
  <c r="U13" i="11"/>
  <c r="W12" i="11"/>
  <c r="U12" i="11"/>
  <c r="W11" i="11"/>
  <c r="U11" i="11"/>
  <c r="W10" i="11"/>
  <c r="U10" i="11"/>
  <c r="W9" i="11"/>
  <c r="U9" i="11"/>
  <c r="W8" i="11"/>
  <c r="U8" i="11"/>
  <c r="W7" i="11"/>
  <c r="U7" i="11"/>
  <c r="W6" i="11"/>
  <c r="U6" i="11"/>
  <c r="W5" i="11"/>
  <c r="U5" i="11"/>
  <c r="W3" i="11"/>
  <c r="CT142" i="10"/>
  <c r="CT141" i="10"/>
  <c r="CT140" i="10"/>
  <c r="CT139" i="10"/>
  <c r="CT138" i="10"/>
  <c r="CT137" i="10"/>
  <c r="CT136" i="10"/>
  <c r="W23" i="10"/>
  <c r="U23" i="10"/>
  <c r="W22" i="10"/>
  <c r="U22" i="10"/>
  <c r="W21" i="10"/>
  <c r="U21" i="10"/>
  <c r="W20" i="10"/>
  <c r="U20" i="10"/>
  <c r="W19" i="10"/>
  <c r="U19" i="10"/>
  <c r="W18" i="10"/>
  <c r="U18" i="10"/>
  <c r="W17" i="10"/>
  <c r="U17" i="10"/>
  <c r="W16" i="10"/>
  <c r="U16" i="10"/>
  <c r="W15" i="10"/>
  <c r="U15" i="10"/>
  <c r="W14" i="10"/>
  <c r="U14" i="10"/>
  <c r="W13" i="10"/>
  <c r="U13" i="10"/>
  <c r="W12" i="10"/>
  <c r="U12" i="10"/>
  <c r="W11" i="10"/>
  <c r="U11" i="10"/>
  <c r="W10" i="10"/>
  <c r="U10" i="10"/>
  <c r="W9" i="10"/>
  <c r="U9" i="10"/>
  <c r="W8" i="10"/>
  <c r="U8" i="10"/>
  <c r="W7" i="10"/>
  <c r="U7" i="10"/>
  <c r="W6" i="10"/>
  <c r="U6" i="10"/>
  <c r="W5" i="10"/>
  <c r="U5" i="10"/>
  <c r="W3" i="10"/>
  <c r="CT142" i="9"/>
  <c r="CT141" i="9"/>
  <c r="CT140" i="9"/>
  <c r="CT139" i="9"/>
  <c r="CT138" i="9"/>
  <c r="CT137" i="9"/>
  <c r="CT136" i="9"/>
  <c r="W23" i="9"/>
  <c r="U23" i="9"/>
  <c r="W22" i="9"/>
  <c r="U22" i="9"/>
  <c r="W21" i="9"/>
  <c r="U21" i="9"/>
  <c r="W20" i="9"/>
  <c r="U20" i="9"/>
  <c r="W19" i="9"/>
  <c r="U19" i="9"/>
  <c r="W18" i="9"/>
  <c r="U18" i="9"/>
  <c r="W17" i="9"/>
  <c r="U17" i="9"/>
  <c r="W16" i="9"/>
  <c r="U16" i="9"/>
  <c r="W15" i="9"/>
  <c r="U15" i="9"/>
  <c r="W14" i="9"/>
  <c r="U14" i="9"/>
  <c r="W13" i="9"/>
  <c r="U13" i="9"/>
  <c r="W12" i="9"/>
  <c r="U12" i="9"/>
  <c r="W11" i="9"/>
  <c r="U11" i="9"/>
  <c r="W10" i="9"/>
  <c r="U10" i="9"/>
  <c r="W9" i="9"/>
  <c r="U9" i="9"/>
  <c r="W8" i="9"/>
  <c r="U8" i="9"/>
  <c r="W7" i="9"/>
  <c r="U7" i="9"/>
  <c r="W6" i="9"/>
  <c r="U6" i="9"/>
  <c r="W5" i="9"/>
  <c r="U5" i="9"/>
  <c r="W3" i="9"/>
  <c r="CT142" i="8"/>
  <c r="CT141" i="8"/>
  <c r="CT140" i="8"/>
  <c r="CT139" i="8"/>
  <c r="CT138" i="8"/>
  <c r="CT137" i="8"/>
  <c r="CT136" i="8"/>
  <c r="W23" i="8"/>
  <c r="U23" i="8"/>
  <c r="W22" i="8"/>
  <c r="U22" i="8"/>
  <c r="W21" i="8"/>
  <c r="U21" i="8"/>
  <c r="W20" i="8"/>
  <c r="U20" i="8"/>
  <c r="W19" i="8"/>
  <c r="U19" i="8"/>
  <c r="W18" i="8"/>
  <c r="U18" i="8"/>
  <c r="W17" i="8"/>
  <c r="U17" i="8"/>
  <c r="W16" i="8"/>
  <c r="U16" i="8"/>
  <c r="W15" i="8"/>
  <c r="U15" i="8"/>
  <c r="W14" i="8"/>
  <c r="U14" i="8"/>
  <c r="W13" i="8"/>
  <c r="U13" i="8"/>
  <c r="W12" i="8"/>
  <c r="U12" i="8"/>
  <c r="W11" i="8"/>
  <c r="U11" i="8"/>
  <c r="W10" i="8"/>
  <c r="U10" i="8"/>
  <c r="W9" i="8"/>
  <c r="U9" i="8"/>
  <c r="W8" i="8"/>
  <c r="U8" i="8"/>
  <c r="W7" i="8"/>
  <c r="U7" i="8"/>
  <c r="W6" i="8"/>
  <c r="U6" i="8"/>
  <c r="W5" i="8"/>
  <c r="U5" i="8"/>
  <c r="W3" i="8"/>
  <c r="CT142" i="7" l="1"/>
  <c r="CT141" i="7"/>
  <c r="CT140" i="7"/>
  <c r="CT139" i="7"/>
  <c r="CT138" i="7"/>
  <c r="CT137" i="7"/>
  <c r="CT136" i="7"/>
  <c r="W23" i="7"/>
  <c r="U23" i="7"/>
  <c r="W22" i="7"/>
  <c r="U22" i="7"/>
  <c r="W21" i="7"/>
  <c r="U21" i="7"/>
  <c r="W20" i="7"/>
  <c r="U20" i="7"/>
  <c r="W19" i="7"/>
  <c r="U19" i="7"/>
  <c r="W18" i="7"/>
  <c r="U18" i="7"/>
  <c r="W17" i="7"/>
  <c r="U17" i="7"/>
  <c r="W16" i="7"/>
  <c r="U16" i="7"/>
  <c r="W15" i="7"/>
  <c r="U15" i="7"/>
  <c r="W14" i="7"/>
  <c r="U14" i="7"/>
  <c r="W13" i="7"/>
  <c r="U13" i="7"/>
  <c r="W12" i="7"/>
  <c r="U12" i="7"/>
  <c r="W11" i="7"/>
  <c r="U11" i="7"/>
  <c r="W10" i="7"/>
  <c r="U10" i="7"/>
  <c r="W9" i="7"/>
  <c r="U9" i="7"/>
  <c r="W8" i="7"/>
  <c r="U8" i="7"/>
  <c r="W7" i="7"/>
  <c r="U7" i="7"/>
  <c r="W6" i="7"/>
  <c r="U6" i="7"/>
  <c r="W5" i="7"/>
  <c r="U5" i="7"/>
  <c r="W3" i="7"/>
  <c r="CT142" i="6"/>
  <c r="CT141" i="6"/>
  <c r="CT140" i="6"/>
  <c r="CT139" i="6"/>
  <c r="CT138" i="6"/>
  <c r="CT137" i="6"/>
  <c r="CT136" i="6"/>
  <c r="W23" i="6"/>
  <c r="U23" i="6"/>
  <c r="W22" i="6"/>
  <c r="U22" i="6"/>
  <c r="W21" i="6"/>
  <c r="U21" i="6"/>
  <c r="W20" i="6"/>
  <c r="U20" i="6"/>
  <c r="W19" i="6"/>
  <c r="U19" i="6"/>
  <c r="W18" i="6"/>
  <c r="U18" i="6"/>
  <c r="W17" i="6"/>
  <c r="U17" i="6"/>
  <c r="W16" i="6"/>
  <c r="U16" i="6"/>
  <c r="W15" i="6"/>
  <c r="U15" i="6"/>
  <c r="W14" i="6"/>
  <c r="U14" i="6"/>
  <c r="W13" i="6"/>
  <c r="U13" i="6"/>
  <c r="W12" i="6"/>
  <c r="U12" i="6"/>
  <c r="W11" i="6"/>
  <c r="U11" i="6"/>
  <c r="W10" i="6"/>
  <c r="U10" i="6"/>
  <c r="W9" i="6"/>
  <c r="U9" i="6"/>
  <c r="W8" i="6"/>
  <c r="U8" i="6"/>
  <c r="W7" i="6"/>
  <c r="U7" i="6"/>
  <c r="W6" i="6"/>
  <c r="U6" i="6"/>
  <c r="W5" i="6"/>
  <c r="U5" i="6"/>
  <c r="W3" i="6"/>
</calcChain>
</file>

<file path=xl/sharedStrings.xml><?xml version="1.0" encoding="utf-8"?>
<sst xmlns="http://schemas.openxmlformats.org/spreadsheetml/2006/main" count="25818" uniqueCount="7085">
  <si>
    <t xml:space="preserve"> - Input Y range must be a contiguous reference.</t>
  </si>
  <si>
    <t>errmsg.LinestErr</t>
  </si>
  <si>
    <t>errmsg.ZtestVar1Numeric</t>
  </si>
  <si>
    <t>errmsg.WrongDistType</t>
  </si>
  <si>
    <t>errmsg.MissingArg</t>
  </si>
  <si>
    <t xml:space="preserve"> - Input and output ranges must be on the same sheet.</t>
  </si>
  <si>
    <t>errmsg.MustBeSglArea</t>
  </si>
  <si>
    <t>errmsg.ZtestVar2Numeric</t>
  </si>
  <si>
    <t xml:space="preserve"> - Variance 2 must be a  number greater than zero.</t>
  </si>
  <si>
    <t>errmsg.ActiveXError</t>
  </si>
  <si>
    <t xml:space="preserve"> - Input range must be a single row or column.</t>
  </si>
  <si>
    <t>errmsg.MustHaveSameDataPts</t>
  </si>
  <si>
    <t xml:space="preserve"> - Input ranges must have the same number of data points.</t>
  </si>
  <si>
    <t>errmsg.MVEXMinData</t>
  </si>
  <si>
    <t xml:space="preserve"> - Discrete distribution : cannot find matching value for randomly selected probability.</t>
  </si>
  <si>
    <t>errmsg.RandVarMustBeInt</t>
  </si>
  <si>
    <t xml:space="preserve">  Cannot access the Main ATP dialog box. Please contact customer service for help.</t>
  </si>
  <si>
    <t>errmsg.NoProcDlg</t>
  </si>
  <si>
    <t>errmsg.FourierCount</t>
  </si>
  <si>
    <t xml:space="preserve"> - The number of input values must be a power of 2.  For example : 2, 4, 8, 16,  32, 64, 128, ...</t>
  </si>
  <si>
    <t>t-Test: Two-Sample Assuming Equal Variances</t>
  </si>
  <si>
    <t>&amp;From</t>
  </si>
  <si>
    <t xml:space="preserve"> - The number of input values must be 4096 or less.</t>
  </si>
  <si>
    <t xml:space="preserve"> - Please enter the Periodic Interval for sampling.</t>
  </si>
  <si>
    <t>errmsg.PeriodTooBig</t>
  </si>
  <si>
    <t>Value and probability &amp;input range:</t>
  </si>
  <si>
    <t>&amp;Labels in first row</t>
  </si>
  <si>
    <t xml:space="preserve">&amp;Standard deviation = </t>
  </si>
  <si>
    <t xml:space="preserve">&amp;Number of trials = </t>
  </si>
  <si>
    <t>errmsg.YOutOverlap</t>
  </si>
  <si>
    <t>errmsg.VarRg12Overlap</t>
  </si>
  <si>
    <t xml:space="preserve"> - The Periodic Interval cannot exceed the number of values in input range.</t>
  </si>
  <si>
    <t>errmsg.PoissonLamdaErr</t>
  </si>
  <si>
    <t>errmsg.VarRg1OutOverlap</t>
  </si>
  <si>
    <t xml:space="preserve"> - Variable 1 Range and Output range cannot overlap</t>
  </si>
  <si>
    <t xml:space="preserve"> - X Range and Y Range must have the same number of rows (sample values), regardless of labels.</t>
  </si>
  <si>
    <t>errmsg.OffsetErr</t>
  </si>
  <si>
    <t xml:space="preserve"> - Having trouble to offset input/output reference.</t>
  </si>
  <si>
    <t xml:space="preserve"> - Sampling Method is required.</t>
  </si>
  <si>
    <t>errmsg.SeedInvalid</t>
  </si>
  <si>
    <t>errmsg.OutRgMustBeRef</t>
  </si>
  <si>
    <t xml:space="preserve"> - Output range must be a valid reference.</t>
  </si>
  <si>
    <t>errmsg.OutRgRequired</t>
  </si>
  <si>
    <t xml:space="preserve"> - Interval must be numeric.</t>
  </si>
  <si>
    <t>errmsg.IntervalPos</t>
  </si>
  <si>
    <t xml:space="preserve"> - Interval must be a positive integer.</t>
  </si>
  <si>
    <t>errmsg.IntervalVsData</t>
  </si>
  <si>
    <t xml:space="preserve"> - Variable 1 Range must be a contiguous reference.</t>
  </si>
  <si>
    <t xml:space="preserve"> - Patterned start is required and must be numeric.</t>
  </si>
  <si>
    <t>errmsg.PatternedStepErr</t>
  </si>
  <si>
    <t xml:space="preserve"> - Patterned step is required and must be a non-zero number.</t>
  </si>
  <si>
    <t>errmsg.PatternedToErr</t>
  </si>
  <si>
    <t xml:space="preserve"> - Patterned stop is required and must be numeric.</t>
  </si>
  <si>
    <t>errmsg.PatternedRepNumErr</t>
  </si>
  <si>
    <t xml:space="preserve"> - Patterned repeating value is required and must be an integer greater than zero.</t>
  </si>
  <si>
    <t>errmsg.PatternedRepSeqErr</t>
  </si>
  <si>
    <t xml:space="preserve"> - Patterned repeating sequences value is required and must be an integer greater than zero.</t>
  </si>
  <si>
    <t>errmsg.PeriodInvalid</t>
  </si>
  <si>
    <t xml:space="preserve"> - Periodic interval must be an integer greater than zero.</t>
  </si>
  <si>
    <t>errmsg.PeriodReq</t>
  </si>
  <si>
    <t>mg01s.RandNormal</t>
  </si>
  <si>
    <t>Normal</t>
  </si>
  <si>
    <t>mg01s.RandBernoulli</t>
  </si>
  <si>
    <t>Bernoulli</t>
  </si>
  <si>
    <t>errmsg.InpRgAtLeast2Blks</t>
  </si>
  <si>
    <t>errmsg.OpenResrcErr</t>
  </si>
  <si>
    <t xml:space="preserve"> - Input range missing.  Please enter.</t>
  </si>
  <si>
    <t>errmsg.InOutOverlap</t>
  </si>
  <si>
    <t xml:space="preserve"> - Input and output ranges overlap!  Please re-enter.</t>
  </si>
  <si>
    <t>errmsg.UniformBoundErr</t>
  </si>
  <si>
    <t xml:space="preserve"> - Uniform bounds are required and must be numeric.</t>
  </si>
  <si>
    <t>errmsg.VarPairedShape</t>
  </si>
  <si>
    <t xml:space="preserve"> - BOTH variable ranges must be rows or columns.</t>
  </si>
  <si>
    <t>errmsg.Overwrite</t>
  </si>
  <si>
    <t xml:space="preserve"> - Output range will overwrite existing data.   Press OK to overwrite data in range :  </t>
  </si>
  <si>
    <t>errmsg.PatternedComb</t>
  </si>
  <si>
    <t xml:space="preserve"> - All complex numbers must have the same suffix, either "i" or "j".</t>
  </si>
  <si>
    <t>errmsg.KLargePos</t>
  </si>
  <si>
    <t>errmsg.XOutOverlap</t>
  </si>
  <si>
    <t xml:space="preserve"> - X range and output range will overlap. Please choose different output range.</t>
  </si>
  <si>
    <t>errmsg.XRgMustBeRef</t>
  </si>
  <si>
    <t xml:space="preserve"> - Input  X range must be a contiguous reference.</t>
  </si>
  <si>
    <t>errmsg.XRgRequired</t>
  </si>
  <si>
    <t xml:space="preserve"> - Input  X range missing.</t>
  </si>
  <si>
    <t>errmsg.XRgsquare</t>
  </si>
  <si>
    <t xml:space="preserve"> - The number of rows and columns in X range cannot be the same.</t>
  </si>
  <si>
    <t>errmsg.XYOverlap</t>
  </si>
  <si>
    <t xml:space="preserve"> - Patterned start cannot reach stop given step.</t>
  </si>
  <si>
    <t>errmsg.PatternedFrErr</t>
  </si>
  <si>
    <t xml:space="preserve"> - Y range and output range will overlap. Please choose different output range.</t>
  </si>
  <si>
    <t>errmsg.YRgMustBeRef</t>
  </si>
  <si>
    <t>Sample Percentile</t>
  </si>
  <si>
    <t>mg01s.Sampling</t>
  </si>
  <si>
    <t>mg01s.SrcVar</t>
  </si>
  <si>
    <t>Source of Variation</t>
  </si>
  <si>
    <t>errmsg.YRgRequired</t>
  </si>
  <si>
    <t xml:space="preserve"> - Input Y range missing.  Please enter.</t>
  </si>
  <si>
    <t>FALSE</t>
  </si>
  <si>
    <t>misc.True</t>
  </si>
  <si>
    <t>TRUE</t>
  </si>
  <si>
    <t xml:space="preserve"> - Poisson lambda is required and must be a number greater than zero.</t>
  </si>
  <si>
    <t>errmsg.RandDistTypeReq</t>
  </si>
  <si>
    <t>errmsg.BernoulliProbErr</t>
  </si>
  <si>
    <t xml:space="preserve"> - Variance 1 must be a  number greater than zero.</t>
  </si>
  <si>
    <t xml:space="preserve"> - Binomial probability is required and must be a number between 0 .. 1.</t>
  </si>
  <si>
    <t>errmsg.BinomialTrialErr</t>
  </si>
  <si>
    <t xml:space="preserve"> - Number of Random Numbers must be an integer greater than zero.</t>
  </si>
  <si>
    <t>errmsg.RandValNotExist</t>
  </si>
  <si>
    <t>errmsg.BinRgMustBeRef</t>
  </si>
  <si>
    <t xml:space="preserve"> - Bin Range can be omitted.  If entered, Bin Range must be a reference.</t>
  </si>
  <si>
    <t>errmsg.BinRgNonNumeric</t>
  </si>
  <si>
    <t xml:space="preserve"> - Bin Range cannot have non-numeric data.</t>
  </si>
  <si>
    <t>errmsg.BinInOverlap</t>
  </si>
  <si>
    <t xml:space="preserve"> - Cannot add chart to a shared workbook.  Continue creating output table?</t>
  </si>
  <si>
    <t>helpmsg.SharingRef</t>
  </si>
  <si>
    <t xml:space="preserve"> - Constant must be a logical value.</t>
  </si>
  <si>
    <t xml:space="preserve"> - Please choose at least one statistical option.</t>
  </si>
  <si>
    <t>errmsg.RowsPerSampleRequired</t>
  </si>
  <si>
    <t xml:space="preserve"> - Rows Per Sample is required.  Please enter.</t>
  </si>
  <si>
    <t>errmsg.RowsPerSampleInt</t>
  </si>
  <si>
    <t>errmsg.BinsEmpty</t>
  </si>
  <si>
    <t xml:space="preserve"> - Rows Per Sample must be an integer greater than zero.</t>
  </si>
  <si>
    <t>errmsg.SameRowsPerSample</t>
  </si>
  <si>
    <t xml:space="preserve"> - Each sample must contain the same number of rows.</t>
  </si>
  <si>
    <t>mg01s.Eng</t>
  </si>
  <si>
    <t>Engineering</t>
  </si>
  <si>
    <t>errmsg.SampMethodInvalid</t>
  </si>
  <si>
    <t xml:space="preserve"> - Invalid sampling method.  Enter "P" for periodic sampling or "R" for random sampling.</t>
  </si>
  <si>
    <t xml:space="preserve"> - Line Fit Plots must be a logical value.</t>
  </si>
  <si>
    <t>errmsg.BoolLbl</t>
  </si>
  <si>
    <t>errmsg.SampMethodReq</t>
  </si>
  <si>
    <t xml:space="preserve"> - Normal Probability Plots must be a logical value.</t>
  </si>
  <si>
    <t xml:space="preserve"> - Seed must be an integer between 1..32767.</t>
  </si>
  <si>
    <t>errmsg.SheetProtected</t>
  </si>
  <si>
    <t xml:space="preserve"> - Cannot modify protected sheet.</t>
  </si>
  <si>
    <t>errmsg.BoolResid</t>
  </si>
  <si>
    <t xml:space="preserve"> - Residuals must be a logical value.</t>
  </si>
  <si>
    <t>errmsg.BoolStdErr</t>
  </si>
  <si>
    <t xml:space="preserve"> - Standard Errors Output must be a logical value.</t>
  </si>
  <si>
    <t>errmsg.BoolStdResid</t>
  </si>
  <si>
    <t xml:space="preserve"> - Standard Residuals must be a logical value.</t>
  </si>
  <si>
    <t>errmsg.VarPairedSize</t>
  </si>
  <si>
    <t xml:space="preserve"> - Variable ranges must have the same number of data points.</t>
  </si>
  <si>
    <t>errmsg.VarRgTooSmall</t>
  </si>
  <si>
    <t xml:space="preserve"> - Variable ranges must have at least two data points.</t>
  </si>
  <si>
    <t>errmsg.VarRg1MustBeRef</t>
  </si>
  <si>
    <t xml:space="preserve"> - Some data will be hidden by embedded chart(s).</t>
  </si>
  <si>
    <t>errmsg.ChartOverEdge</t>
  </si>
  <si>
    <t xml:space="preserve"> - Cannot draw chart since its position will go over the bounds of the worksheet.</t>
  </si>
  <si>
    <t xml:space="preserve"> - Variable Range 1 and 2 cannot overlap.</t>
  </si>
  <si>
    <t xml:space="preserve"> - Variable 2 Range and Output range cannot overlap</t>
  </si>
  <si>
    <t>errmsg.ConfValuRg</t>
  </si>
  <si>
    <t xml:space="preserve"> - Confidence must be a number between 0 and 100.</t>
  </si>
  <si>
    <t>errmsg.VarRg2MustBeRef</t>
  </si>
  <si>
    <t xml:space="preserve"> - Variable 2 Range must be a contiguous reference.</t>
  </si>
  <si>
    <t>errmsg.VarRg2Req</t>
  </si>
  <si>
    <t xml:space="preserve"> - Variable 2 Range missing.</t>
  </si>
  <si>
    <t>errmsg.VarRg2OutOverlap</t>
  </si>
  <si>
    <t xml:space="preserve"> - The type of distribution is required. Entry must be an integer between 1 and 7.</t>
  </si>
  <si>
    <t>errmsg.RandNumMustBeInt</t>
  </si>
  <si>
    <t xml:space="preserve"> - Please specify a two-column range for Discrete Value and Probability input range.</t>
  </si>
  <si>
    <t>errmsg.DValProbRows</t>
  </si>
  <si>
    <t xml:space="preserve"> - Cannot access workbook ActiveX controls.  Please contact customer service for help.</t>
  </si>
  <si>
    <t>errmsg.ShareCantChart</t>
  </si>
  <si>
    <t>dbt.Percent</t>
  </si>
  <si>
    <t>dbt.Residu</t>
  </si>
  <si>
    <t xml:space="preserve"> - Discrete Value and Probability range cannot overlap with output range.</t>
  </si>
  <si>
    <t>errmsg.ExpMinDataStdErr</t>
  </si>
  <si>
    <t xml:space="preserve"> - Input range must contain at least 5 data points when Standard Errors are checked.</t>
  </si>
  <si>
    <t>errmsg.ExtraRandArgs</t>
  </si>
  <si>
    <t xml:space="preserve"> - Number of Variables must be an integer greater than zero. </t>
  </si>
  <si>
    <t>errmsg.RequiredStatOpt</t>
  </si>
  <si>
    <t xml:space="preserve"> - Input X Range cannot contain more than 16 variables (columns).</t>
  </si>
  <si>
    <t>errmsg.DValProbOverlap</t>
  </si>
  <si>
    <t>B&amp;etween</t>
  </si>
  <si>
    <t>errmsg.FourierCountMax</t>
  </si>
  <si>
    <t>errmsg.SameXYSamples</t>
  </si>
  <si>
    <t>mg01s.SampleVar</t>
  </si>
  <si>
    <t>Sample Variance</t>
  </si>
  <si>
    <t>mg01s.Kurtosis</t>
  </si>
  <si>
    <t>Kurtosis</t>
  </si>
  <si>
    <t>errmsg.GrpByRC</t>
  </si>
  <si>
    <t xml:space="preserve"> - To indicate how groups of data are arranged, use "C" for columns, "R" for rows.</t>
  </si>
  <si>
    <t xml:space="preserve"> - Too many arguments were supplied.  Please check syntax forms for RANDOM().</t>
  </si>
  <si>
    <t xml:space="preserve"> - Input range should contain two or more blocks of data arranged in rows or columns.</t>
  </si>
  <si>
    <t>errmsg.InpRgMustBeRef</t>
  </si>
  <si>
    <t>Range</t>
  </si>
  <si>
    <t>times</t>
  </si>
  <si>
    <t>mg01s.Min</t>
  </si>
  <si>
    <t>Minimum</t>
  </si>
  <si>
    <t>repeating the seq&amp;uence</t>
  </si>
  <si>
    <t xml:space="preserve"> - Input range must be a contiguous reference.</t>
  </si>
  <si>
    <t>errmsg.InpRgRequired</t>
  </si>
  <si>
    <t>mg01s.Covar</t>
  </si>
  <si>
    <t>mg01s.ExpSmth</t>
  </si>
  <si>
    <t>mg01s.MovAvg</t>
  </si>
  <si>
    <t>Moving Average</t>
  </si>
  <si>
    <t>errmsg.InpRgHasNoData</t>
  </si>
  <si>
    <t xml:space="preserve"> - Input range must contain at least one data point.</t>
  </si>
  <si>
    <t>errmsg.IntervalNumeric</t>
  </si>
  <si>
    <t>mg01s.Histogram</t>
  </si>
  <si>
    <t>Histogram</t>
  </si>
  <si>
    <t>M&amp;ean =</t>
  </si>
  <si>
    <t>mg01s.Bin</t>
  </si>
  <si>
    <t>Bin</t>
  </si>
  <si>
    <t>mg01s.Freq</t>
  </si>
  <si>
    <t>Frequency</t>
  </si>
  <si>
    <t>mg01s.CumPer</t>
  </si>
  <si>
    <t>Cumulative %</t>
  </si>
  <si>
    <t>t-Test: Two-Sample Assuming Unequal Variances</t>
  </si>
  <si>
    <t>mg01s.More</t>
  </si>
  <si>
    <t xml:space="preserve"> - Interval cannot be greater than the data points.</t>
  </si>
  <si>
    <t>errmsg.InvalidComplexInp</t>
  </si>
  <si>
    <t xml:space="preserve"> - X range and Y range cannot overlap.</t>
  </si>
  <si>
    <t xml:space="preserve"> - Input range contains invalid complex number.   Complex number should have form x+yi or x+yj</t>
  </si>
  <si>
    <t>errmsg.InvalidComplexSign</t>
  </si>
  <si>
    <t>F-Test Two-Sample for Variances</t>
  </si>
  <si>
    <t xml:space="preserve"> - Kth Smallest must be a positive integer greater than 0 and cannot exceed the number of data points.</t>
  </si>
  <si>
    <t>Fourier</t>
  </si>
  <si>
    <t>mg01s.FTTwoVar</t>
  </si>
  <si>
    <t>mg01s.TTEqVar</t>
  </si>
  <si>
    <t>mg01s.TTPaired</t>
  </si>
  <si>
    <t xml:space="preserve"> - Kth Largest must be a positive integer greater than 0 and cannot exceed the number of data points.</t>
  </si>
  <si>
    <t>errmsg.KSmallPos</t>
  </si>
  <si>
    <t xml:space="preserve"> - LINEST() function returns error.  Please check input ranges again.</t>
  </si>
  <si>
    <t>errmsg.MeanDiffNumeric</t>
  </si>
  <si>
    <t xml:space="preserve"> - The Mean Difference should be a positive number.</t>
  </si>
  <si>
    <t>Hypothesized Mean Difference</t>
  </si>
  <si>
    <t>mg01s.PoolVar</t>
  </si>
  <si>
    <t>Pooled Variance</t>
  </si>
  <si>
    <t>dBHistogram</t>
  </si>
  <si>
    <t>mg01s.PearCorrel</t>
  </si>
  <si>
    <t xml:space="preserve"> - Function needs more argument(s).</t>
  </si>
  <si>
    <t>errmsg.MustBeSameSheet</t>
  </si>
  <si>
    <t>P(T&lt;=t) two-tail</t>
  </si>
  <si>
    <t>mg01s.tStat</t>
  </si>
  <si>
    <t>t Stat</t>
  </si>
  <si>
    <t>mg01s.TCrit1</t>
  </si>
  <si>
    <t>t Critical one-tail</t>
  </si>
  <si>
    <t>mg01s.TCrit2</t>
  </si>
  <si>
    <t xml:space="preserve"> - Input/output range must be a range of contiguous cells.</t>
  </si>
  <si>
    <t>errmsg.MustBeSglRowCol</t>
  </si>
  <si>
    <t>mg01s.Variable2</t>
  </si>
  <si>
    <t>Variable 2</t>
  </si>
  <si>
    <t>mg01s.ZTest</t>
  </si>
  <si>
    <t>z-Test: Two Sample for Means</t>
  </si>
  <si>
    <t>mg01s.KnownVar</t>
  </si>
  <si>
    <t>Known Variance</t>
  </si>
  <si>
    <t>mg01s.Z</t>
  </si>
  <si>
    <t>z</t>
  </si>
  <si>
    <t>mg01s.Z1Tail</t>
  </si>
  <si>
    <t>P(Z&lt;=z) one-tail</t>
  </si>
  <si>
    <t>mg01s.ZCrit1</t>
  </si>
  <si>
    <t xml:space="preserve"> - Input range must contain at least 4 data points.</t>
  </si>
  <si>
    <t>errmsg.NA</t>
  </si>
  <si>
    <t>#N/A</t>
  </si>
  <si>
    <t>errmsg.NewBkErr</t>
  </si>
  <si>
    <t xml:space="preserve"> - Cannot create new workbook. </t>
  </si>
  <si>
    <t>errmsg.NewShtErr</t>
  </si>
  <si>
    <t>mg01s.RandUniform</t>
  </si>
  <si>
    <t>Uniform</t>
  </si>
  <si>
    <t xml:space="preserve"> - Normal standard deviation is required and must be a non-zero number.</t>
  </si>
  <si>
    <t>errmsg.NumOfSampInvalid</t>
  </si>
  <si>
    <t>dbAnalysis</t>
  </si>
  <si>
    <t xml:space="preserve">  Cannot access the dialog box for selected procedure. Please contact customer service for help.</t>
  </si>
  <si>
    <t>errmsg.NonNumericInpRg</t>
  </si>
  <si>
    <t xml:space="preserve"> - Normal mean is required and must be numeric.</t>
  </si>
  <si>
    <t>errmsg.NormalStdDevErr</t>
  </si>
  <si>
    <t xml:space="preserve"> - Cannot open resource sheet </t>
  </si>
  <si>
    <t>errmsg.OutOptErr</t>
  </si>
  <si>
    <t xml:space="preserve"> - Invalid output option.</t>
  </si>
  <si>
    <t xml:space="preserve"> - Number of samples must be an integer greater than zero.</t>
  </si>
  <si>
    <t>errmsg.NumOfSampReq</t>
  </si>
  <si>
    <t xml:space="preserve"> - Please enter the number of random samples.</t>
  </si>
  <si>
    <t xml:space="preserve"> - Output range missing.  Please enter.</t>
  </si>
  <si>
    <t>errmsg.OverEdgeErr</t>
  </si>
  <si>
    <t xml:space="preserve"> - Estimated output table will extend beyond the bounds of the worksheet.  Please choose a different reference.     </t>
  </si>
  <si>
    <t>mg01s.SigniF</t>
  </si>
  <si>
    <t>Significance F</t>
  </si>
  <si>
    <t>mg01s.Intercept</t>
  </si>
  <si>
    <t>Intercept</t>
  </si>
  <si>
    <t>mg01s.Lower</t>
  </si>
  <si>
    <t>Lower</t>
  </si>
  <si>
    <t>mg01s.Lower95</t>
  </si>
  <si>
    <t>Lower 95%</t>
  </si>
  <si>
    <t>mg01s.Upper</t>
  </si>
  <si>
    <t>Upper</t>
  </si>
  <si>
    <t>InitRandomDb</t>
  </si>
  <si>
    <t>mg01s.Upper95</t>
  </si>
  <si>
    <t>Upper 95%</t>
  </si>
  <si>
    <t>mg01s.VariableX</t>
  </si>
  <si>
    <t>X Variable</t>
  </si>
  <si>
    <t>mg01s.Coeff</t>
  </si>
  <si>
    <t>Y</t>
  </si>
  <si>
    <t>mg01s.SumOut</t>
  </si>
  <si>
    <t>SUMMARY OUTPUT</t>
  </si>
  <si>
    <t>mg01s.RegressStat</t>
  </si>
  <si>
    <t>Normal Probability Plot</t>
  </si>
  <si>
    <t>mg01s.SampPercentile</t>
  </si>
  <si>
    <t>mg01s.PT2Tail</t>
  </si>
  <si>
    <t>&amp;Labels in first column</t>
  </si>
  <si>
    <t>&amp;Rows per sample:</t>
  </si>
  <si>
    <t>P(F&lt;=f) one-tail</t>
  </si>
  <si>
    <t>mg01s.FCrit1</t>
  </si>
  <si>
    <t>misc.Calculating</t>
  </si>
  <si>
    <t>Calculating</t>
  </si>
  <si>
    <t>misc.False</t>
  </si>
  <si>
    <t>mg01s.SS</t>
  </si>
  <si>
    <t>SS</t>
  </si>
  <si>
    <t>mg01s.DF</t>
  </si>
  <si>
    <t>Coefficients</t>
  </si>
  <si>
    <t>errmsg.AllocMemErrCalc</t>
  </si>
  <si>
    <t xml:space="preserve"> - Cannot allocate memory for calculation.</t>
  </si>
  <si>
    <t>errmsg.AlphaNumeric</t>
  </si>
  <si>
    <t xml:space="preserve"> - Alpha must be a number in range 0 .. 1.</t>
  </si>
  <si>
    <t>dbAnova3</t>
  </si>
  <si>
    <t/>
  </si>
  <si>
    <t>&amp;Overwrite data in range:</t>
  </si>
  <si>
    <t xml:space="preserve"> - Bernoulli probability is required and must be a number between 0 .. 1.</t>
  </si>
  <si>
    <t>errmsg.BinomialProbErr</t>
  </si>
  <si>
    <t>Sampling Method</t>
  </si>
  <si>
    <t>&amp;Distribution:</t>
  </si>
  <si>
    <t xml:space="preserve"> - Binomial trials is required and must be an integer greater than zero.</t>
  </si>
  <si>
    <t>errmsg.BinRgHasNoData</t>
  </si>
  <si>
    <t xml:space="preserve"> - Bin range cannot be empty.</t>
  </si>
  <si>
    <t>Writing information to non-blank cells: data may be lost!</t>
  </si>
  <si>
    <t>&amp;Alpha:</t>
  </si>
  <si>
    <t>P&amp;eriodic</t>
  </si>
  <si>
    <t>mg01s.SampP</t>
  </si>
  <si>
    <t>P</t>
  </si>
  <si>
    <t>R1C1</t>
  </si>
  <si>
    <t>&amp;Random</t>
  </si>
  <si>
    <t>dbDiscrete</t>
  </si>
  <si>
    <t>mg01s.SampR</t>
  </si>
  <si>
    <t>dbFourier</t>
  </si>
  <si>
    <t xml:space="preserve"> - Bin range and Input range overlap.</t>
  </si>
  <si>
    <t>errmsg.BinOutOverlap</t>
  </si>
  <si>
    <t xml:space="preserve"> - Bin range and Output range overlap.</t>
  </si>
  <si>
    <t>mg01s.Mode</t>
  </si>
  <si>
    <t>Mode</t>
  </si>
  <si>
    <t>mg01s.StdDev</t>
  </si>
  <si>
    <t>Standard Deviation</t>
  </si>
  <si>
    <t>in &amp;steps of</t>
  </si>
  <si>
    <t>mg01s.Analysis</t>
  </si>
  <si>
    <t>dbTTest1</t>
  </si>
  <si>
    <t>&amp;Summary statistics</t>
  </si>
  <si>
    <t>mg01s.Anova</t>
  </si>
  <si>
    <t>Anova</t>
  </si>
  <si>
    <t xml:space="preserve"> - Cannot draw chart for empty bins.</t>
  </si>
  <si>
    <t>errmsg.BoolChart</t>
  </si>
  <si>
    <t>errmsg.BoolConstZero</t>
  </si>
  <si>
    <t>Financial</t>
  </si>
  <si>
    <t xml:space="preserve"> - Cumulative Percentage must be a logical value.</t>
  </si>
  <si>
    <t>errmsg.BoolInverse</t>
  </si>
  <si>
    <t xml:space="preserve"> - Inverse must be a logical value.</t>
  </si>
  <si>
    <t>errmsg.BoolLchart</t>
  </si>
  <si>
    <t>Anova: Two-Factor With Replication</t>
  </si>
  <si>
    <t>dbZTest</t>
  </si>
  <si>
    <t>&amp;Residuals</t>
  </si>
  <si>
    <t>Covariance</t>
  </si>
  <si>
    <t>mg01s.ANTwoFactWo</t>
  </si>
  <si>
    <t>Anova: Two-Factor Without Replication</t>
  </si>
  <si>
    <t xml:space="preserve"> - Label must be a logical value.</t>
  </si>
  <si>
    <t>errmsg.BoolPareto</t>
  </si>
  <si>
    <t xml:space="preserve"> - Pareto must be a logical value.</t>
  </si>
  <si>
    <t>errmsg.BoolPchart</t>
  </si>
  <si>
    <t>mg01s.StdResid</t>
  </si>
  <si>
    <t>Standard Residuals</t>
  </si>
  <si>
    <t>mg01s.ProbOut</t>
  </si>
  <si>
    <t>PROBABILITY OUTPUT</t>
  </si>
  <si>
    <t>mg01s.Percentile</t>
  </si>
  <si>
    <t>Excel Analysis ToolPak</t>
  </si>
  <si>
    <t>Dialog List</t>
  </si>
  <si>
    <t>Dialog area</t>
  </si>
  <si>
    <t>errmsg.BoolRchart</t>
  </si>
  <si>
    <t xml:space="preserve"> - Residual Plots must be a logical value.</t>
  </si>
  <si>
    <t>dbBernoulli</t>
  </si>
  <si>
    <t>mg01s.Count</t>
  </si>
  <si>
    <t>Count</t>
  </si>
  <si>
    <t>dbBinomial</t>
  </si>
  <si>
    <t>mg01s.Sum</t>
  </si>
  <si>
    <t>Sum</t>
  </si>
  <si>
    <t>dbPoisson</t>
  </si>
  <si>
    <t>mg01s.Average</t>
  </si>
  <si>
    <t>errmsg.BoolSumStat</t>
  </si>
  <si>
    <t>errmsg.ConfirmAbort</t>
  </si>
  <si>
    <t>errmsg.VarRg1Req</t>
  </si>
  <si>
    <t xml:space="preserve"> - Variable 1 Range missing.</t>
  </si>
  <si>
    <t>errmsg.ChartHideData</t>
  </si>
  <si>
    <t>Random Number Generation</t>
  </si>
  <si>
    <t>OK</t>
  </si>
  <si>
    <t>USMap</t>
  </si>
  <si>
    <t>ErrorTitles</t>
  </si>
  <si>
    <t>ProcMap</t>
  </si>
  <si>
    <t>uDialogList</t>
  </si>
  <si>
    <t>Dialog_table</t>
  </si>
  <si>
    <t>ProcHelps</t>
  </si>
  <si>
    <t>Cancel</t>
  </si>
  <si>
    <t>&amp;Analysis Tools</t>
  </si>
  <si>
    <t>Input</t>
  </si>
  <si>
    <t>mg01s.Interaction</t>
  </si>
  <si>
    <t>Interaction</t>
  </si>
  <si>
    <t>Rank and Percentile</t>
  </si>
  <si>
    <t>Period:</t>
  </si>
  <si>
    <t>mg01s.Date</t>
  </si>
  <si>
    <t>Date &amp; Time</t>
  </si>
  <si>
    <t>errmsg.CoerceValProbErr</t>
  </si>
  <si>
    <t xml:space="preserve"> - Cannot convert input range into Values and Probabilities..</t>
  </si>
  <si>
    <t>errmsg.DampNumeric</t>
  </si>
  <si>
    <t xml:space="preserve"> - Random distribution type should be a number between 1 and 7.</t>
  </si>
  <si>
    <t>errmsg.DProbSumErr</t>
  </si>
  <si>
    <t xml:space="preserve"> - Numbers in discrete probability column must have a sum of 1.</t>
  </si>
  <si>
    <t>errmsg.DValProbReq</t>
  </si>
  <si>
    <t>mg01s.FCrit</t>
  </si>
  <si>
    <t xml:space="preserve"> - Please specify an input range with more than one value and more than one probability.</t>
  </si>
  <si>
    <t>errmsg.DValProbNonNumeric</t>
  </si>
  <si>
    <t xml:space="preserve"> - Discrete Value and Probability ranges must have only numeric data and must have the same number of data.</t>
  </si>
  <si>
    <t>Percent</t>
  </si>
  <si>
    <t>Standard Error</t>
  </si>
  <si>
    <t>mg01s.Median</t>
  </si>
  <si>
    <t>Median</t>
  </si>
  <si>
    <t>&amp;to</t>
  </si>
  <si>
    <t>mg01s.Within</t>
  </si>
  <si>
    <t>Within</t>
  </si>
  <si>
    <t>mg01s.Rows</t>
  </si>
  <si>
    <t>Rows</t>
  </si>
  <si>
    <t>&amp;and</t>
  </si>
  <si>
    <t>mg01s.Columns</t>
  </si>
  <si>
    <t>Columns</t>
  </si>
  <si>
    <t>mg01s.Error</t>
  </si>
  <si>
    <t>Error</t>
  </si>
  <si>
    <t>mg01s.Descr</t>
  </si>
  <si>
    <t>mg01s.Mean</t>
  </si>
  <si>
    <t>Mean</t>
  </si>
  <si>
    <t>mg01s.RandBinomial</t>
  </si>
  <si>
    <t>Binomial</t>
  </si>
  <si>
    <t>mg01s.RandPoisson</t>
  </si>
  <si>
    <t>Poisson</t>
  </si>
  <si>
    <t>errmsg.BoolCumuPerc</t>
  </si>
  <si>
    <t>mg01s.StdErr</t>
  </si>
  <si>
    <t>mg01s.ANSingleFact</t>
  </si>
  <si>
    <t>dbTTest3</t>
  </si>
  <si>
    <t>Residuals</t>
  </si>
  <si>
    <t>mg01s.ANTwoFactWi</t>
  </si>
  <si>
    <t>errmsg.ExtraColsInX</t>
  </si>
  <si>
    <t>dbTTest2</t>
  </si>
  <si>
    <t xml:space="preserve"> - Chart Output must be a logical value.</t>
  </si>
  <si>
    <t>dbAnova1</t>
  </si>
  <si>
    <t>dbRegression</t>
  </si>
  <si>
    <t>dbOutput</t>
  </si>
  <si>
    <t>dbCorrelation</t>
  </si>
  <si>
    <t>dbDescrip</t>
  </si>
  <si>
    <t>dbExponent</t>
  </si>
  <si>
    <t>Percentile</t>
  </si>
  <si>
    <t>mg01s.Y</t>
  </si>
  <si>
    <t>Data Analysis</t>
  </si>
  <si>
    <t>Anova: Single Factor</t>
  </si>
  <si>
    <t>Regression</t>
  </si>
  <si>
    <t>Correlation</t>
  </si>
  <si>
    <t>Descriptive Statistics</t>
  </si>
  <si>
    <t>Exponential Smoothing</t>
  </si>
  <si>
    <t xml:space="preserve"> - Summary Statistic must be a logical value.</t>
  </si>
  <si>
    <t>errmsg.CannotConvert2Ref</t>
  </si>
  <si>
    <t xml:space="preserve"> - Cannot convert input/output range to a valid reference!</t>
  </si>
  <si>
    <t>errmsg.CannotGetRelref</t>
  </si>
  <si>
    <t xml:space="preserve"> - Cannot create relative reference between ranges.</t>
  </si>
  <si>
    <t>F Critical one-tail</t>
  </si>
  <si>
    <t>mg01s.MeanDif</t>
  </si>
  <si>
    <t>df</t>
  </si>
  <si>
    <t>mg01s.MS</t>
  </si>
  <si>
    <t>MS</t>
  </si>
  <si>
    <t>mg01s.F</t>
  </si>
  <si>
    <t>F</t>
  </si>
  <si>
    <t>mg01s.PVal</t>
  </si>
  <si>
    <t>P-value</t>
  </si>
  <si>
    <t xml:space="preserve"> - Interrupting calculations: Choose 'OK' to interrupt calculations, choose 'Cancel' to resume calculations.</t>
  </si>
  <si>
    <t>mg01s.LetterCol</t>
  </si>
  <si>
    <t>C</t>
  </si>
  <si>
    <t>Write to new &amp;range:</t>
  </si>
  <si>
    <t>&amp;Damping factor:</t>
  </si>
  <si>
    <t>&amp;Labels</t>
  </si>
  <si>
    <t>mg01s.LetterRow</t>
  </si>
  <si>
    <t>R</t>
  </si>
  <si>
    <t>dbCovariance</t>
  </si>
  <si>
    <t>t Critical two-tail</t>
  </si>
  <si>
    <t>mg01s.Variable1</t>
  </si>
  <si>
    <t>Variable 1</t>
  </si>
  <si>
    <t>F crit</t>
  </si>
  <si>
    <t>mg01s.Total</t>
  </si>
  <si>
    <t>Total</t>
  </si>
  <si>
    <t>mg01s.BetweenGrp</t>
  </si>
  <si>
    <t>Between Groups</t>
  </si>
  <si>
    <t>mg01s.WithinGrp</t>
  </si>
  <si>
    <t>Within Groups</t>
  </si>
  <si>
    <t>mg01s.Sample</t>
  </si>
  <si>
    <t>Sample</t>
  </si>
  <si>
    <t>mg01s.Column</t>
  </si>
  <si>
    <t>Column</t>
  </si>
  <si>
    <t>Sampling</t>
  </si>
  <si>
    <t>More</t>
  </si>
  <si>
    <t>I&amp;nterval:</t>
  </si>
  <si>
    <t>mg01s.Fourier</t>
  </si>
  <si>
    <t xml:space="preserve"> - Damping Factor must be numeric.</t>
  </si>
  <si>
    <t>errmsg.DampPos</t>
  </si>
  <si>
    <t xml:space="preserve"> - Damping Factor must be a positive number.</t>
  </si>
  <si>
    <t>mLabelInColumn</t>
  </si>
  <si>
    <t>&amp;Columns</t>
  </si>
  <si>
    <t>dbRandomList</t>
  </si>
  <si>
    <t>mLabelInRow</t>
  </si>
  <si>
    <t>&amp;Rows</t>
  </si>
  <si>
    <t>z Critical one-tail</t>
  </si>
  <si>
    <t>mg01s.Z2Tail</t>
  </si>
  <si>
    <t>P(Z&lt;=z) two-tail</t>
  </si>
  <si>
    <t>mg01s.ZCrit2</t>
  </si>
  <si>
    <t>z Critical two-tail</t>
  </si>
  <si>
    <t>mg01s.RankPer</t>
  </si>
  <si>
    <t>mg01s.Rank</t>
  </si>
  <si>
    <t>Rank</t>
  </si>
  <si>
    <t>P&amp;areto (sorted histogram)</t>
  </si>
  <si>
    <t>mg01s.Percent</t>
  </si>
  <si>
    <t>dbHistogram</t>
  </si>
  <si>
    <t>%</t>
  </si>
  <si>
    <t>mg01s.Info</t>
  </si>
  <si>
    <t>Information</t>
  </si>
  <si>
    <t>dbMoving</t>
  </si>
  <si>
    <t>Help</t>
  </si>
  <si>
    <t>mg01s.Math</t>
  </si>
  <si>
    <t>Math &amp; Trig</t>
  </si>
  <si>
    <t>mg01s.Stat</t>
  </si>
  <si>
    <t>Statistical</t>
  </si>
  <si>
    <t>dbRankPer</t>
  </si>
  <si>
    <t>mg01s.Fin</t>
  </si>
  <si>
    <t xml:space="preserve"> - Cannot create new ply for output.  Check Workbook Protection setting.</t>
  </si>
  <si>
    <t>errmsg.NoMainDlg</t>
  </si>
  <si>
    <t>mg01s.Point</t>
  </si>
  <si>
    <t>Point</t>
  </si>
  <si>
    <t>mg01s.Row</t>
  </si>
  <si>
    <t>Row</t>
  </si>
  <si>
    <t>mg01s.RandNum</t>
  </si>
  <si>
    <t>mg01s.RandPatterned</t>
  </si>
  <si>
    <t>Patterned</t>
  </si>
  <si>
    <t>mg01s.RandDiscrete</t>
  </si>
  <si>
    <t>Discrete</t>
  </si>
  <si>
    <t>mg01s.Regression</t>
  </si>
  <si>
    <t>mg01s.ResiOut</t>
  </si>
  <si>
    <t>RESIDUAL OUTPUT</t>
  </si>
  <si>
    <t>&amp;Lambda =</t>
  </si>
  <si>
    <t>mg01s.Ob</t>
  </si>
  <si>
    <t>Observation</t>
  </si>
  <si>
    <t xml:space="preserve"> - Input range contains non-numeric data.</t>
  </si>
  <si>
    <t>errmsg.NormalMeanErr</t>
  </si>
  <si>
    <t>dbUniform</t>
  </si>
  <si>
    <t>mg01s.Summary</t>
  </si>
  <si>
    <t>SUMMARY</t>
  </si>
  <si>
    <t>dbNormal</t>
  </si>
  <si>
    <t>t-Test: Paired Two Sample for Means</t>
  </si>
  <si>
    <t>repeating &amp;each number</t>
  </si>
  <si>
    <t>mg01s.Skewness</t>
  </si>
  <si>
    <t>Skewness</t>
  </si>
  <si>
    <t>mg01s.Range</t>
  </si>
  <si>
    <t>mg01s.Predicted</t>
  </si>
  <si>
    <t>Predicted</t>
  </si>
  <si>
    <t>mg01s.PredictedY</t>
  </si>
  <si>
    <t>Predicted Y</t>
  </si>
  <si>
    <t>mg01s.Max</t>
  </si>
  <si>
    <t>Maximum</t>
  </si>
  <si>
    <t>mg01s.Largest</t>
  </si>
  <si>
    <t>Largest</t>
  </si>
  <si>
    <t>mg01s.Smallest</t>
  </si>
  <si>
    <t>Smallest</t>
  </si>
  <si>
    <t>mg01s.ConfLvl</t>
  </si>
  <si>
    <t>Confidence Level</t>
  </si>
  <si>
    <t>mg01s.Correl</t>
  </si>
  <si>
    <t>mg01s.Groups</t>
  </si>
  <si>
    <t>Groups</t>
  </si>
  <si>
    <t>Fourier Analysis</t>
  </si>
  <si>
    <t>mg01s.Actual</t>
  </si>
  <si>
    <t>Actual</t>
  </si>
  <si>
    <t>mg01s.Forecast</t>
  </si>
  <si>
    <t>Forecast</t>
  </si>
  <si>
    <t>mg01s.DataPoint</t>
  </si>
  <si>
    <t>Data Point</t>
  </si>
  <si>
    <t>mg01s.Value</t>
  </si>
  <si>
    <t>Value</t>
  </si>
  <si>
    <t>dbFTest</t>
  </si>
  <si>
    <t>dbSampling</t>
  </si>
  <si>
    <t>dbRandom</t>
  </si>
  <si>
    <t>__Longname</t>
  </si>
  <si>
    <t>------&gt;</t>
  </si>
  <si>
    <t>Regression Statistics</t>
  </si>
  <si>
    <t>mg01s.MultipleR</t>
  </si>
  <si>
    <t>Multiple R</t>
  </si>
  <si>
    <t>mg01s.RSquare</t>
  </si>
  <si>
    <t>R Square</t>
  </si>
  <si>
    <t>mg01s.AdjSq</t>
  </si>
  <si>
    <t>Adjusted R Square</t>
  </si>
  <si>
    <t>mg01s.Resid</t>
  </si>
  <si>
    <t>Residual</t>
  </si>
  <si>
    <t>Average</t>
  </si>
  <si>
    <t>dbPatterned</t>
  </si>
  <si>
    <t>mg01s.Variance</t>
  </si>
  <si>
    <t>Variance</t>
  </si>
  <si>
    <t>mg02s.ANOVA</t>
  </si>
  <si>
    <t>ANOVA</t>
  </si>
  <si>
    <t>mg01s.TTUEqVar</t>
  </si>
  <si>
    <t>I&amp;nverse</t>
  </si>
  <si>
    <t>mg01s.Obs</t>
  </si>
  <si>
    <t>Observations</t>
  </si>
  <si>
    <t>mg01s.F1Tail</t>
  </si>
  <si>
    <t>mg01s.ResidChartTitle</t>
  </si>
  <si>
    <t xml:space="preserve"> Residual Plot</t>
  </si>
  <si>
    <t>mg01s.LineFitChartTitle</t>
  </si>
  <si>
    <t>Line Fit  Plot</t>
  </si>
  <si>
    <t>mg01s.ProbChartTitle</t>
  </si>
  <si>
    <t>dbAnova2</t>
  </si>
  <si>
    <t>Pearson Correlation</t>
  </si>
  <si>
    <t>mg01s.PT1Tail</t>
  </si>
  <si>
    <t>P(T&lt;=t) one-tail</t>
  </si>
  <si>
    <t>p V&amp;alue =</t>
  </si>
  <si>
    <t>&amp;Input Range:</t>
  </si>
  <si>
    <t>Grouped By:</t>
  </si>
  <si>
    <t>&amp;Labels in First Row</t>
  </si>
  <si>
    <t>Output options</t>
  </si>
  <si>
    <t>&amp;Output Range:</t>
  </si>
  <si>
    <t>New Worksheet &amp;Ply:</t>
  </si>
  <si>
    <t>New &amp;Workbook</t>
  </si>
  <si>
    <t>&amp;Chart Output</t>
  </si>
  <si>
    <t>&amp;Standard Errors</t>
  </si>
  <si>
    <t>Input &amp;Y Range:</t>
  </si>
  <si>
    <t>Input &amp;X Range:</t>
  </si>
  <si>
    <t>Constant is &amp;Zero</t>
  </si>
  <si>
    <t>Con&amp;fidence Level:</t>
  </si>
  <si>
    <t>S&amp;tandardized Residuals</t>
  </si>
  <si>
    <t>Resi&amp;dual Plots</t>
  </si>
  <si>
    <t>L&amp;ine Fit Plots</t>
  </si>
  <si>
    <t>Normal Probability</t>
  </si>
  <si>
    <t>&amp;Normal Probability Plots</t>
  </si>
  <si>
    <t>&amp;Bin Range:</t>
  </si>
  <si>
    <t>Cu&amp;mulative Percentage</t>
  </si>
  <si>
    <t>Co&amp;nfidence Level for Mean:</t>
  </si>
  <si>
    <t>Kth L&amp;argest:</t>
  </si>
  <si>
    <t>Kth S&amp;mallest:</t>
  </si>
  <si>
    <t>Variable &amp;1 Range:</t>
  </si>
  <si>
    <t>Variable &amp;2 Range:</t>
  </si>
  <si>
    <t>Hypoth&amp;esized Mean Difference:</t>
  </si>
  <si>
    <t>H&amp;ypothesized Mean Difference:</t>
  </si>
  <si>
    <t>Variable 1 &amp;Variance (known):</t>
  </si>
  <si>
    <t>Variable 2 Va&amp;riance (known):</t>
  </si>
  <si>
    <t>Number of Samples:</t>
  </si>
  <si>
    <t>Number of &amp;Variables:</t>
  </si>
  <si>
    <t>Number of Random Num&amp;bers:</t>
  </si>
  <si>
    <t>Parameters</t>
  </si>
  <si>
    <t>Value and Probability &amp;Input Range:</t>
  </si>
  <si>
    <t>&amp;Random Seed:</t>
  </si>
  <si>
    <t>'</t>
  </si>
  <si>
    <t>XLADDIN.CHM!1780</t>
  </si>
  <si>
    <t>XLADDIN.CHM!1781</t>
  </si>
  <si>
    <t>XLADDIN.CHM!1802</t>
  </si>
  <si>
    <t>XLADDIN.CHM!1784</t>
  </si>
  <si>
    <t>XLADDIN.CHM!1786</t>
  </si>
  <si>
    <t>XLADDIN.CHM!1787</t>
  </si>
  <si>
    <t>XLADDIN.CHM!1789</t>
  </si>
  <si>
    <t>XLADDIN.CHM!1803</t>
  </si>
  <si>
    <t>XLADDIN.CHM!1794</t>
  </si>
  <si>
    <t>XLADDIN.CHM!1782</t>
  </si>
  <si>
    <t>XLADDIN.CHM!1783</t>
  </si>
  <si>
    <t>XLADDIN.CHM!1785</t>
  </si>
  <si>
    <t>XLADDIN.CHM!1788</t>
  </si>
  <si>
    <t>XLADDIN.CHM!1790</t>
  </si>
  <si>
    <t>XLADDIN.CHM!1791</t>
  </si>
  <si>
    <t>XLADDIN.CHM!1801</t>
  </si>
  <si>
    <t>XLADDIN.CHM!1792</t>
  </si>
  <si>
    <t>XLADDIN.CHM!1804</t>
  </si>
  <si>
    <t>XLADDIN.CHM!1793</t>
  </si>
  <si>
    <t>XLADDIN.CHM!1805</t>
  </si>
  <si>
    <t>XLADDIN.CHM!5030146</t>
  </si>
  <si>
    <t>Utilitaire d'analyse</t>
  </si>
  <si>
    <t>Analyse de variance: un facteur</t>
  </si>
  <si>
    <t>Régression linéaire</t>
  </si>
  <si>
    <t>Analyse de corrélation</t>
  </si>
  <si>
    <t>Statistiques descriptives</t>
  </si>
  <si>
    <t>Lissage exponentiel</t>
  </si>
  <si>
    <t>Test d'égalité des variances (F-Test)</t>
  </si>
  <si>
    <t>Échantillonnage</t>
  </si>
  <si>
    <t>Génération de nombres aléatoires</t>
  </si>
  <si>
    <t>Annuler</t>
  </si>
  <si>
    <t>O&amp;utils d'analyse</t>
  </si>
  <si>
    <t>Paramètres d'entrée</t>
  </si>
  <si>
    <t>Options de sortie</t>
  </si>
  <si>
    <t>Nombre de &amp;variables:</t>
  </si>
  <si>
    <t>&amp;Plage d'entrée:</t>
  </si>
  <si>
    <t>Plage pour la variable &amp;Y:</t>
  </si>
  <si>
    <t>Plag&amp;e pour la variable 1:</t>
  </si>
  <si>
    <t>Nombre d'éc&amp;hantillons générés:</t>
  </si>
  <si>
    <t>Groupées par:</t>
  </si>
  <si>
    <t>Plage &amp;pour les variables &amp;X:</t>
  </si>
  <si>
    <t>Para&amp;mètre de lissage:</t>
  </si>
  <si>
    <t>Plage p&amp;our la variable 2:</t>
  </si>
  <si>
    <t>Int&amp;itulé présent</t>
  </si>
  <si>
    <t>Insérer une nouvelle &amp;feuille:</t>
  </si>
  <si>
    <t>Méthode d'échantillonnage</t>
  </si>
  <si>
    <t>Distrib&amp;ution:</t>
  </si>
  <si>
    <t>Intitulés en pre&amp;mière colonne</t>
  </si>
  <si>
    <t>&amp;Colonnes</t>
  </si>
  <si>
    <t>Créer un &amp;nouveau classeur</t>
  </si>
  <si>
    <t>Intitulés en pre&amp;mière ligne</t>
  </si>
  <si>
    <t>&amp;Lignes</t>
  </si>
  <si>
    <t>Inters&amp;ection à l'origine</t>
  </si>
  <si>
    <t>Se&amp;uil de signification:</t>
  </si>
  <si>
    <t>Pé&amp;riodique</t>
  </si>
  <si>
    <t>Paramètres</t>
  </si>
  <si>
    <t>Ni&amp;veau de confiance</t>
  </si>
  <si>
    <t>Aléa&amp;toire</t>
  </si>
  <si>
    <t>Plage de &amp;sortie:</t>
  </si>
  <si>
    <t>Période:</t>
  </si>
  <si>
    <t>Date &amp; Heure</t>
  </si>
  <si>
    <t>Nombre d'échantillons:</t>
  </si>
  <si>
    <t>Math &amp; Trigo</t>
  </si>
  <si>
    <t>Statistiques</t>
  </si>
  <si>
    <t>Finances</t>
  </si>
  <si>
    <t>Représentation grap&amp;hique</t>
  </si>
  <si>
    <t>Scientifiques</t>
  </si>
  <si>
    <t>Écart-&amp;type</t>
  </si>
  <si>
    <t>&amp;Rapport détaillé</t>
  </si>
  <si>
    <t>Analyse de variance</t>
  </si>
  <si>
    <t>Ni&amp;veau de confiance pour la moyenne:</t>
  </si>
  <si>
    <t>Analyse des résidus</t>
  </si>
  <si>
    <t>&amp;Plage des valeurs et des probabilités:</t>
  </si>
  <si>
    <t>Analyse de variance: deux facteurs avec répétition d'expérience</t>
  </si>
  <si>
    <t>&amp;Résidus</t>
  </si>
  <si>
    <t>Analyse de covariance</t>
  </si>
  <si>
    <t>Analyse de variance: deux facteurs sans répétition d'expérience</t>
  </si>
  <si>
    <t>Rési&amp;dus normalisés</t>
  </si>
  <si>
    <t>Kième ma&amp;ximum:</t>
  </si>
  <si>
    <t>Ent&amp;ier générateur:</t>
  </si>
  <si>
    <t>RAPPORT DÉTAILLÉ</t>
  </si>
  <si>
    <t>Cour&amp;bes des résidus</t>
  </si>
  <si>
    <t>Test d'égalité des espérances: observations pairées</t>
  </si>
  <si>
    <t>Groupes</t>
  </si>
  <si>
    <t>C&amp;ourbes de régression</t>
  </si>
  <si>
    <t>Kième m&amp;inimum:</t>
  </si>
  <si>
    <t>Nombre d'échantillons</t>
  </si>
  <si>
    <t>Probabilité normale</t>
  </si>
  <si>
    <t>Somme</t>
  </si>
  <si>
    <t>Diagra&amp;mme de répartition des probabilités</t>
  </si>
  <si>
    <t>Moyenne</t>
  </si>
  <si>
    <t>ANALYSE DE VARIANCE</t>
  </si>
  <si>
    <t>Plage pou&amp;r la variable 2:</t>
  </si>
  <si>
    <t>Source des variations</t>
  </si>
  <si>
    <t>N&amp;ombre de lignes par échantillon:</t>
  </si>
  <si>
    <t>Somme des carrés</t>
  </si>
  <si>
    <t>&amp;Différence entre les moyennes (hypothèse):</t>
  </si>
  <si>
    <t>Degré de liberté</t>
  </si>
  <si>
    <t>Moyenne des carrés</t>
  </si>
  <si>
    <t>Probabilité</t>
  </si>
  <si>
    <t>Valeur critique pour F</t>
  </si>
  <si>
    <t>Entre Groupes</t>
  </si>
  <si>
    <t>A l'intérieur des groupes</t>
  </si>
  <si>
    <t>Échantillon</t>
  </si>
  <si>
    <t>Colonne</t>
  </si>
  <si>
    <t>Analyse de position</t>
  </si>
  <si>
    <t>Ent&amp;re</t>
  </si>
  <si>
    <t>A l'intérieur du groupe</t>
  </si>
  <si>
    <t>Lignes</t>
  </si>
  <si>
    <t>e&amp;t</t>
  </si>
  <si>
    <t>Colonnes</t>
  </si>
  <si>
    <t>Erreur</t>
  </si>
  <si>
    <t>Test d'égalité des espérances: deux observations de variances égales</t>
  </si>
  <si>
    <t>&amp;De</t>
  </si>
  <si>
    <t>Erreur-type</t>
  </si>
  <si>
    <t>Médiane</t>
  </si>
  <si>
    <t>&amp;à</t>
  </si>
  <si>
    <t>Écart-type</t>
  </si>
  <si>
    <t>en p&amp;as de</t>
  </si>
  <si>
    <t>Variance de l'échantillon</t>
  </si>
  <si>
    <t>Kurstosis (Coefficient d'aplatissement)</t>
  </si>
  <si>
    <t>en répétant chaque no&amp;mbre</t>
  </si>
  <si>
    <t>Coefficient d'asymétrie</t>
  </si>
  <si>
    <t>Plage</t>
  </si>
  <si>
    <t>fois</t>
  </si>
  <si>
    <t>en répétant la séquen&amp;ce</t>
  </si>
  <si>
    <t>Niveau de confiance</t>
  </si>
  <si>
    <t>Moyenne mobile</t>
  </si>
  <si>
    <t>Transformation de Fourier Rapide (FFT)</t>
  </si>
  <si>
    <t>Réel</t>
  </si>
  <si>
    <t>Prévision</t>
  </si>
  <si>
    <t>Donnée</t>
  </si>
  <si>
    <t>Valeurs</t>
  </si>
  <si>
    <t>Histogramme</t>
  </si>
  <si>
    <t>M&amp;oyenne =</t>
  </si>
  <si>
    <t>Classes</t>
  </si>
  <si>
    <t>Fréquence</t>
  </si>
  <si>
    <t>Écart-&amp;type =</t>
  </si>
  <si>
    <t>% cumulé</t>
  </si>
  <si>
    <t>Test d'égalité des espérances: deux observations de variances différentes</t>
  </si>
  <si>
    <t>ou plus...</t>
  </si>
  <si>
    <t>Inter&amp;valle:</t>
  </si>
  <si>
    <t>Transformation de Fourier</t>
  </si>
  <si>
    <t>T&amp;ransformé Inverse</t>
  </si>
  <si>
    <t>P(F&lt;=f) unilatéral</t>
  </si>
  <si>
    <t>Valeur critique pour F (unilatéral)</t>
  </si>
  <si>
    <t>Différence hypothétique des moyennes</t>
  </si>
  <si>
    <t>Variance pondérée</t>
  </si>
  <si>
    <t>Coefficient de corrélation de Pearson</t>
  </si>
  <si>
    <t>P(T&lt;=t) unilatéral</t>
  </si>
  <si>
    <t>P&amp;robabilité =</t>
  </si>
  <si>
    <t>P(T&lt;=t) bilatéral</t>
  </si>
  <si>
    <t>Statistique t</t>
  </si>
  <si>
    <t>Valeur critique de t (unilatéral)</t>
  </si>
  <si>
    <t>Valeur critique de t (bilatéral)</t>
  </si>
  <si>
    <t>Plage des &amp;classes:</t>
  </si>
  <si>
    <t>Test de la différence significative minimale (z-Test)</t>
  </si>
  <si>
    <t>Variances (connues)</t>
  </si>
  <si>
    <t>P(Z&lt;=z) unilatéral</t>
  </si>
  <si>
    <t>Valeur critique de z (unilatéral)</t>
  </si>
  <si>
    <t>P(Z&lt;=z) bilatéral</t>
  </si>
  <si>
    <t>Test de la différence significative minimale (z-test)</t>
  </si>
  <si>
    <t>No&amp;mbre de tirages =</t>
  </si>
  <si>
    <t>Valeur critique de z (bilatéral)</t>
  </si>
  <si>
    <t>Pro&amp;babilité =</t>
  </si>
  <si>
    <t>Rang</t>
  </si>
  <si>
    <t>Paret&amp;o (Histogramme ordonné)</t>
  </si>
  <si>
    <t>Pourcentage</t>
  </si>
  <si>
    <t>Po&amp;urcentage cumulé</t>
  </si>
  <si>
    <t>Position</t>
  </si>
  <si>
    <t>Ligne</t>
  </si>
  <si>
    <t>Uniforme</t>
  </si>
  <si>
    <t>Normale</t>
  </si>
  <si>
    <t>Varian&amp;ce pour la variable 1 (connue):</t>
  </si>
  <si>
    <t>Binomiale</t>
  </si>
  <si>
    <t>Va&amp;riance pour la variable 2 (connue):</t>
  </si>
  <si>
    <t>Périodique</t>
  </si>
  <si>
    <t>Discrète</t>
  </si>
  <si>
    <t>Régression</t>
  </si>
  <si>
    <t>ANALYSE DES RÉSIDUS</t>
  </si>
  <si>
    <t>Prévisions</t>
  </si>
  <si>
    <t>Prévisions pour Y</t>
  </si>
  <si>
    <t>Résidus normalisés</t>
  </si>
  <si>
    <t>RÉPARTITION DES PROBABILITÉS</t>
  </si>
  <si>
    <t>Centile</t>
  </si>
  <si>
    <t>Statistiques de la régression</t>
  </si>
  <si>
    <t>Coefficient de détermination multiple</t>
  </si>
  <si>
    <t>Coefficient de détermination R^2</t>
  </si>
  <si>
    <t>Résidus</t>
  </si>
  <si>
    <t>Valeur critique de F</t>
  </si>
  <si>
    <t>Pl&amp;age des valeurs et des probabilités:</t>
  </si>
  <si>
    <t>Constante</t>
  </si>
  <si>
    <t xml:space="preserve">Limite inférieure pour seuil de confiance = </t>
  </si>
  <si>
    <t>Limite inférieure pour seuil de confiance = 95%</t>
  </si>
  <si>
    <t xml:space="preserve">Limite supérieure pour seuil de confiance = </t>
  </si>
  <si>
    <t>Limite supérieure pour seuil de confiance = 95%</t>
  </si>
  <si>
    <t>Variable X</t>
  </si>
  <si>
    <t>Graphique des résidus</t>
  </si>
  <si>
    <t>Courbe de régression</t>
  </si>
  <si>
    <t>Répartition des probabilités</t>
  </si>
  <si>
    <t>Calcul en cours :</t>
  </si>
  <si>
    <t>FAUX</t>
  </si>
  <si>
    <t>VRAI</t>
  </si>
  <si>
    <t xml:space="preserve"> - Impossible d'allouer de la mémoire pour les calculs.</t>
  </si>
  <si>
    <t xml:space="preserve"> - Alpha doit être compris entre 0 et 1.</t>
  </si>
  <si>
    <t xml:space="preserve"> - Distribution de Bernouilli: la probabilité doit être spécifiée et doit être un nombre compris entre 0 et 1.</t>
  </si>
  <si>
    <t xml:space="preserve"> - Distribution Binomiale: la probabilité doit être spécifiée et doit être un nombre compris entre 0 et 1.</t>
  </si>
  <si>
    <t xml:space="preserve"> - Distribution Binomiale: le nombre de tirages doit être un entier positif.</t>
  </si>
  <si>
    <t xml:space="preserve"> - La plage des classes ne peut être vide.</t>
  </si>
  <si>
    <t xml:space="preserve"> - La plage des classes est un paramètre optionnel - La plage des classes doit être une référence.</t>
  </si>
  <si>
    <t xml:space="preserve"> - La plage des classes ne peut contenir des données non numériques.</t>
  </si>
  <si>
    <t xml:space="preserve"> - La plage d'entrée et la plage des classes ne peuvent se chevaucher.</t>
  </si>
  <si>
    <t xml:space="preserve"> - La plage de sortie et la plage des classes ne peuvent se chevaucher.</t>
  </si>
  <si>
    <t xml:space="preserve"> - Impossible de créer un graphique pour une classe vide.</t>
  </si>
  <si>
    <t xml:space="preserve"> - Le paramètre Graphique doit être une valeur logique.</t>
  </si>
  <si>
    <t xml:space="preserve"> - Le paramètre Constante doit être une valeur logique.</t>
  </si>
  <si>
    <t xml:space="preserve"> - Le paramètre Graphique_cumulé doit être une valeur logique.</t>
  </si>
  <si>
    <t xml:space="preserve"> - Le paramètre Inverse doit être une valeur logique.</t>
  </si>
  <si>
    <t xml:space="preserve"> - Le paramètre Traçage_courbe_ajustement doit être une valeur logique.</t>
  </si>
  <si>
    <t xml:space="preserve"> - Le paramètre Étiquettes doit être une valeur logique.</t>
  </si>
  <si>
    <t xml:space="preserve"> - Le paramètre Pareto doit être une valeur logique.</t>
  </si>
  <si>
    <t xml:space="preserve"> - Le paramètre Traçage_probabilité_loinormale doit être une valeur logique.</t>
  </si>
  <si>
    <t xml:space="preserve"> - Le paramètre Traçage_résidus doit être une valeur logique.</t>
  </si>
  <si>
    <t xml:space="preserve"> - Le paramètre Résidus doit être une valeur logique.</t>
  </si>
  <si>
    <t xml:space="preserve"> - Le paramètre Erreurs_type doit être une valeur logique.</t>
  </si>
  <si>
    <t xml:space="preserve"> - Le paramètre pour les Résidus normalisés doit être un booléen.</t>
  </si>
  <si>
    <t xml:space="preserve"> - Le paramètre Résumé_statistique doit être une valeur logique.</t>
  </si>
  <si>
    <t xml:space="preserve"> - La plage d'entrée spécifiée n'est pas une référence!</t>
  </si>
  <si>
    <t xml:space="preserve"> - Impossible de créer une référence relative.</t>
  </si>
  <si>
    <t xml:space="preserve"> - Certaines données vont être cachées par des graphiques incorporés.</t>
  </si>
  <si>
    <t xml:space="preserve"> - Impossible de créer un graphique incorporé: les bordures du graphique s'étendent au-delà des bordures de la feuille.</t>
  </si>
  <si>
    <t xml:space="preserve"> - Interruption des calculs: cliquez sur OK pour interrompre les calculs, sur Annuler pour reprendre les calculs.</t>
  </si>
  <si>
    <t xml:space="preserve"> - Le niveau de confiance doit être compris entre 0 et 100.</t>
  </si>
  <si>
    <t xml:space="preserve"> - Impossible de convertir la plage d'entrée en Valeurs et Probabilités.</t>
  </si>
  <si>
    <t xml:space="preserve"> - Le paramètre de lissage doit être un nombre.</t>
  </si>
  <si>
    <t xml:space="preserve"> - Le paramètre de lissage doit être un nombre positif.</t>
  </si>
  <si>
    <t xml:space="preserve"> - La somme des probabilités d'une distribution discrète doit être égale à 1.</t>
  </si>
  <si>
    <t xml:space="preserve"> - La plage des Valeurs et des Probabilités doit être spécifiée et doit être une sélection comportant deux colonnes.</t>
  </si>
  <si>
    <t xml:space="preserve"> - La plage des Valeurs et des Probabilités doivent contenir au moins deux lignes de données.</t>
  </si>
  <si>
    <t xml:space="preserve"> - Distribution discrète : les plages d'entrée des Valeurs et Probabilités doivent  seulement contenir des données numériques et doivent avoir le même nombre de données.</t>
  </si>
  <si>
    <t xml:space="preserve"> - La plage d'entrée des Valeurs et des Probabilités et la plage de sortie ne peuvent se chevaucher.</t>
  </si>
  <si>
    <t xml:space="preserve"> -La plage d'entrée doit contenir au moins 5 données lors de la vérification des erreurs types</t>
  </si>
  <si>
    <t xml:space="preserve"> - Trop d'arguments.  Vérifiez les syntaxes de la fonction RANDOM().</t>
  </si>
  <si>
    <t xml:space="preserve"> - La plage d'entrée pour les variables X ne peut contenir plus de 16 variables (colonnes).</t>
  </si>
  <si>
    <t xml:space="preserve"> - Le nombre d'échantillons sélectionnés doit être une puissance de deux. Par exemple: 2, 4, 8, 16, 64, 128, ...</t>
  </si>
  <si>
    <t xml:space="preserve"> - Le nombre d'échantillons sélectionnés doit être inférieur ou égale à 4096.</t>
  </si>
  <si>
    <t xml:space="preserve"> - L'argument groupé_par doit être "C" pour groupement par colonnes et "R" pour groupement par ligne.</t>
  </si>
  <si>
    <t xml:space="preserve"> - La plage d'entrée doit contenir au moins deux blocs de données disposés en lignes ou en colonnes.</t>
  </si>
  <si>
    <t xml:space="preserve"> - La plage d'entrée doit être une sélection continue.</t>
  </si>
  <si>
    <t xml:space="preserve"> - La plage d'entrée n'est pas définie.</t>
  </si>
  <si>
    <t xml:space="preserve"> - Les plages d'entrée et de sortie se chevauchent. Veuillez spécifier de nouvelles plages.</t>
  </si>
  <si>
    <t xml:space="preserve"> - La plage d'entrée doit contenir au moins une donnée.</t>
  </si>
  <si>
    <t xml:space="preserve"> - L'intervalle doit être un nombre.</t>
  </si>
  <si>
    <t xml:space="preserve"> - L'intervalle doit être un nombre entier positif.</t>
  </si>
  <si>
    <t xml:space="preserve"> - L'intervalle ne peut pas être plus grand que le nombre de points.</t>
  </si>
  <si>
    <t xml:space="preserve"> - La plage d'entrée contient une donnée qui n'est pas un nombre complexe. Les nombres complexes doivent être de la forme x+yi ou x+yj.</t>
  </si>
  <si>
    <t xml:space="preserve"> - Tous les nombres complexes doivent utiliser le même vecteur complexe, soit "i" ou soit "j".</t>
  </si>
  <si>
    <t xml:space="preserve"> - Le Kème Maximum doit être un entier positif et ne doit pas être plus grand que le nombre de données dans la sélection.</t>
  </si>
  <si>
    <t xml:space="preserve"> - Une erreur est survenue pendant le calcul de la fonction DROITEREG(). Veuillez vérifier les données des plages d'entrée.</t>
  </si>
  <si>
    <t xml:space="preserve"> - La différence hypothétique des moyennes doit être un nombre positif.</t>
  </si>
  <si>
    <t xml:space="preserve"> - Nombre d'arguments insuffisant.</t>
  </si>
  <si>
    <t xml:space="preserve"> - Les plages d'entrée et de sortie doivent être sur la même feuille de calcul.</t>
  </si>
  <si>
    <t xml:space="preserve"> - Les plages d'entrée et de sortie doivent être des sélections continues.</t>
  </si>
  <si>
    <t xml:space="preserve"> - La plage d'entrée doit spécifier soit une sélection n'ayant qu'une colonne ou soit une sélection n'ayant qu'une ligne.</t>
  </si>
  <si>
    <t xml:space="preserve"> - Les plages d'entrée doivent avoir le même nombre de données.</t>
  </si>
  <si>
    <t xml:space="preserve"> - La plage d'entrée doit contenir au moins 4 données.</t>
  </si>
  <si>
    <t xml:space="preserve"> - Impossible de créer un nouveau classeur.</t>
  </si>
  <si>
    <t xml:space="preserve"> - Impossible d'insérer une nouvelle feuille.</t>
  </si>
  <si>
    <t xml:space="preserve"> Impossible d'accéder à la boîte de dialogue des Utilitaires d'Analyse. Veuillez ré-installer les Utilitaires d'Analyse.</t>
  </si>
  <si>
    <t xml:space="preserve"> Impossible d'accéder à la boîte de dialogue de la procédure sélectionnée. Veuillez contacter les services clientèles.</t>
  </si>
  <si>
    <t xml:space="preserve"> - La plage d'entrée ne peut contenir des données non numériques.</t>
  </si>
  <si>
    <t xml:space="preserve"> - L'espérance mathématique pour la distribution normale doit être un nombre.</t>
  </si>
  <si>
    <t xml:space="preserve"> - L'écart-type doit être spécifié et doit être un nombre.</t>
  </si>
  <si>
    <t xml:space="preserve"> - Le nombre d'échantillons doit être un nombre positif.</t>
  </si>
  <si>
    <t xml:space="preserve"> - Le nombre d'échantillons doit être spécifié pour l'échantillonnage aléatoire.</t>
  </si>
  <si>
    <t xml:space="preserve"> - Une erreur s'est produite durant la manipulation des références des plages d'entrée et de sortie.</t>
  </si>
  <si>
    <t xml:space="preserve"> - Impossible d'ouvrir une ressource du module.</t>
  </si>
  <si>
    <t xml:space="preserve"> - Option de sortie non valide.</t>
  </si>
  <si>
    <t xml:space="preserve"> - La plage de sortie doit être une référence valide.</t>
  </si>
  <si>
    <t xml:space="preserve"> - La plage de sortie doit être spécifiée.</t>
  </si>
  <si>
    <t xml:space="preserve"> - La plage de sortie s'étend au-delà des limites de la feuille de calcul. Veuillez spécifier une différente plage de sortie.</t>
  </si>
  <si>
    <t xml:space="preserve"> - La plage de sortie contient des données. Cliquez sur OK pour remplacer ces données: </t>
  </si>
  <si>
    <t xml:space="preserve"> - Distribution périodique : les valeurs du point de départ, du point d'arrêt et du pas ne sont pas compatibles.</t>
  </si>
  <si>
    <t xml:space="preserve"> - Distribution périodique : le point de départ doit être spécifié et doit être un nombre.</t>
  </si>
  <si>
    <t xml:space="preserve"> - Distribution périodique : le pas doit être spécifié et doit être un nombre.</t>
  </si>
  <si>
    <t xml:space="preserve"> - Distribution périodique : le point d'arrêt doit être spécifié et doit être un nombre.</t>
  </si>
  <si>
    <t xml:space="preserve"> - Distribution périodique : le nombre de répétitions pour les nombres générés doit être spécifié et doit être un nombre positif.</t>
  </si>
  <si>
    <t xml:space="preserve"> - Distribution périodique : le nombre de répétitions de la séquence doit être spécifié et doit être un nombre positif.</t>
  </si>
  <si>
    <t xml:space="preserve"> - L'intervalle pour l'échantillonnage périodique doit être un entier positif.</t>
  </si>
  <si>
    <t xml:space="preserve"> - L'intervalle pour l'échantillonnage périodique doit être spécifié.</t>
  </si>
  <si>
    <t xml:space="preserve"> - L'intervalle pour l'échantillonnage périodique ne doit pas être plus grand que le nombre de données dans la plage d'entrée.</t>
  </si>
  <si>
    <t xml:space="preserve"> - Le facteur Lambda pour la distribution de Poisson doit être spécifié et doit être un nombre positif.</t>
  </si>
  <si>
    <t xml:space="preserve"> - Le type de distribution (entier de 1 à 7) doit être spécifié.</t>
  </si>
  <si>
    <t xml:space="preserve"> - Le nombre de nombres aléatoires générés doit être un entier positif.</t>
  </si>
  <si>
    <t xml:space="preserve"> - Distribution discrète: impossible de trouver une valeur pour la probabilité sélectionnée.</t>
  </si>
  <si>
    <t xml:space="preserve"> - Le nombre de variables doit être un entier positif.</t>
  </si>
  <si>
    <t xml:space="preserve"> - Une procédure au moins doit être choisie.</t>
  </si>
  <si>
    <t xml:space="preserve"> - Le nombre de lignes par échantillon doit être spécifié.</t>
  </si>
  <si>
    <t xml:space="preserve"> - Le nombre de lignes de données par échantillon doit être un entier positif.</t>
  </si>
  <si>
    <t xml:space="preserve"> - Tous les échantillons doivent contenir le même nombre de lignes.</t>
  </si>
  <si>
    <t xml:space="preserve"> - Les plages d'entrée pour les variables X et pour la variable Y doivent avoir le même nombre de lignes, sans y compter l'intitulé.</t>
  </si>
  <si>
    <t xml:space="preserve"> - Méthode d'échantillonnage non valide, doit être "P" pour l'échantillonnage périodique ou "R" pour l'échantillonnage aléatoire..</t>
  </si>
  <si>
    <t xml:space="preserve"> - La méthode d'échantillonnage doit être spécifiée.</t>
  </si>
  <si>
    <t xml:space="preserve"> - L'entier générateur doit être compris entre 1 et 32767..</t>
  </si>
  <si>
    <t xml:space="preserve"> - Impossible de modifier une feuille protégée contre l'écriture.</t>
  </si>
  <si>
    <t xml:space="preserve"> - Distribution uniforme: les bornes doivent être définies et doivent être de type numérique.</t>
  </si>
  <si>
    <t xml:space="preserve"> - Les plages d'entrée doivent être du même type de sélection, soit sélection sur ligne ou soit sélection sur une colonne.</t>
  </si>
  <si>
    <t xml:space="preserve"> - Les plages d'entrée pour les variables doivent avoir chacun au moins deux données.</t>
  </si>
  <si>
    <t xml:space="preserve"> - La plage d'entrée pour la variable 1 doit être une sélection continue.</t>
  </si>
  <si>
    <t xml:space="preserve"> - La plage d'entrée pour la variable 1 doit être spécifiée.</t>
  </si>
  <si>
    <t xml:space="preserve"> - Les plages d'entrée pour les variables 1 et 2 ne peuvent se chevaucher.</t>
  </si>
  <si>
    <t xml:space="preserve"> - La plage d'entrée pour la variable 1 et la plage de sortie ne peuvent se chevaucher.</t>
  </si>
  <si>
    <t xml:space="preserve"> - La plage d'entrée pour la variable 2 doit être une sélection continue.</t>
  </si>
  <si>
    <t xml:space="preserve"> - La plage d'entrée pour la variable 2 doit être spécifiée.</t>
  </si>
  <si>
    <t xml:space="preserve"> - La plage d'entrée pour la variable 2 et la plage de sortie ne peuvent se chevaucher.</t>
  </si>
  <si>
    <t xml:space="preserve"> - Le type de distribution doit être un entier compris entre 1 et 7.</t>
  </si>
  <si>
    <t xml:space="preserve"> - La plage de sortie et la plage d'entrée pour les variables X ne peuvent se chevaucher.</t>
  </si>
  <si>
    <t xml:space="preserve"> - La plage d'entrée pour les variables X doit être une sélection continue.</t>
  </si>
  <si>
    <t xml:space="preserve"> - La plage d'entrée pour les variables X doit être spécifiée.</t>
  </si>
  <si>
    <t xml:space="preserve"> - La plage d'entrée pour les variables X ne peut être une sélection carrée, ayant même nombre de lignes et nombre de colonnes.</t>
  </si>
  <si>
    <t xml:space="preserve"> - La plage d'entrée pour les variables X et la plage d'entrée pour la variable Y ne peuvent se chevaucher.</t>
  </si>
  <si>
    <t xml:space="preserve"> - La plage de sortie et la plage d'entrée pour la variable Y ne peuvent se chevaucher.</t>
  </si>
  <si>
    <t xml:space="preserve"> - La plage d'entrée pour la variable Y doit être une sélection continue.</t>
  </si>
  <si>
    <t xml:space="preserve"> - La plage d'entrée pour la variable Y doit être spécifiée.</t>
  </si>
  <si>
    <t xml:space="preserve"> - La variance pour la variable 1 doit être un nombre positif.</t>
  </si>
  <si>
    <t xml:space="preserve"> - La variance pour la variable 2 doit être un nombre positif.</t>
  </si>
  <si>
    <t xml:space="preserve"> - Accès aux contrôles ActiveX de classeur impossible. Pour obtenir de l'aide, contactez le support technique.</t>
  </si>
  <si>
    <t xml:space="preserve"> - Impossible d'insérer un graphique dans un classeur partagé. Continuer la création de la table de sortie ?</t>
  </si>
  <si>
    <t>Analýza dat</t>
  </si>
  <si>
    <t>Anova: jeden faktor</t>
  </si>
  <si>
    <t>Regrese</t>
  </si>
  <si>
    <t>Korelace</t>
  </si>
  <si>
    <t>Popisná statistika</t>
  </si>
  <si>
    <t>Exponenciální vyrovnání</t>
  </si>
  <si>
    <t>Dvouvýběrový F-test pro rozptyl</t>
  </si>
  <si>
    <t>Vzorkování</t>
  </si>
  <si>
    <t>Generátor pseudonáhodných čísel</t>
  </si>
  <si>
    <t>Storno</t>
  </si>
  <si>
    <t>&amp;Analytické nástroje:</t>
  </si>
  <si>
    <t>Vstup</t>
  </si>
  <si>
    <t>Možnosti výstupu</t>
  </si>
  <si>
    <t>&amp;Počet proměnných:</t>
  </si>
  <si>
    <t>Vstupní &amp;oblast:</t>
  </si>
  <si>
    <t>Vstupní oblast &amp;Y:</t>
  </si>
  <si>
    <t>&amp;1. soubor:</t>
  </si>
  <si>
    <t>&amp;Přepsat data v oblasti:</t>
  </si>
  <si>
    <t>Počet náhodných čí&amp;sel:</t>
  </si>
  <si>
    <t>Sdružit:</t>
  </si>
  <si>
    <t>Vstupní oblast &amp;X:</t>
  </si>
  <si>
    <t>Zapsat do nové o&amp;blasti:</t>
  </si>
  <si>
    <t>Koefi&amp;cient útlumu:</t>
  </si>
  <si>
    <t>&amp;2. soubor:</t>
  </si>
  <si>
    <t>&amp;Popisky</t>
  </si>
  <si>
    <t>Nový &amp;list:</t>
  </si>
  <si>
    <t>Metoda vzorkování</t>
  </si>
  <si>
    <t>Typ &amp;rozložení:</t>
  </si>
  <si>
    <t>&amp;Popisky v prvním sloupci</t>
  </si>
  <si>
    <t>&amp;Sloupce</t>
  </si>
  <si>
    <t>Nový s&amp;ešit</t>
  </si>
  <si>
    <t>Pop&amp;isky</t>
  </si>
  <si>
    <t>&amp;Popisky v prvním řádku</t>
  </si>
  <si>
    <t>Řá&amp;dky</t>
  </si>
  <si>
    <t>&amp;Konstanta je nula</t>
  </si>
  <si>
    <t>Informace se zapisují do neprázdných buněk. Některá data mohou být přepsána!</t>
  </si>
  <si>
    <t>&amp;Alfa:</t>
  </si>
  <si>
    <t>Perio&amp;dické</t>
  </si>
  <si>
    <t>Parametry</t>
  </si>
  <si>
    <t>&amp;Hladina spolehlivosti</t>
  </si>
  <si>
    <t>Ná&amp;hodné</t>
  </si>
  <si>
    <t>N</t>
  </si>
  <si>
    <t>Výs&amp;tupní oblast:</t>
  </si>
  <si>
    <t>Perioda:</t>
  </si>
  <si>
    <t>analýza času</t>
  </si>
  <si>
    <t>informační analýza</t>
  </si>
  <si>
    <t>Nápověda</t>
  </si>
  <si>
    <t>Počet vzorků:</t>
  </si>
  <si>
    <t>matematická analýza</t>
  </si>
  <si>
    <t>statistická analýza</t>
  </si>
  <si>
    <t>finanční analýza</t>
  </si>
  <si>
    <t>Vytvořit gra&amp;f</t>
  </si>
  <si>
    <t>inženýrská analýza</t>
  </si>
  <si>
    <t>&amp;Standardní chyby</t>
  </si>
  <si>
    <t>analýza dat</t>
  </si>
  <si>
    <t>&amp;Celkový přehled</t>
  </si>
  <si>
    <t>&amp;Hladina spolehlivosti pro stř. hodnotu:</t>
  </si>
  <si>
    <t>Rezidua</t>
  </si>
  <si>
    <t>&amp;Oblast vstupu hodnot a pravděpodobností:</t>
  </si>
  <si>
    <t>Anova: dva faktory s opakováním</t>
  </si>
  <si>
    <t>&amp;Rezidua</t>
  </si>
  <si>
    <t>Kovariance</t>
  </si>
  <si>
    <t>Anova: dva faktory bez opakování</t>
  </si>
  <si>
    <t>&amp;Standardní rezidua</t>
  </si>
  <si>
    <t>K-té nej&amp;větší</t>
  </si>
  <si>
    <t>&amp;Základ generátoru:</t>
  </si>
  <si>
    <t>Faktor</t>
  </si>
  <si>
    <t>Graf s rezi&amp;dui</t>
  </si>
  <si>
    <t>Dvouvýběrový párový t-test na střední hodnotu</t>
  </si>
  <si>
    <t>Výběr</t>
  </si>
  <si>
    <t>Graf regresní pří&amp;mky</t>
  </si>
  <si>
    <t>K-té nej&amp;menší</t>
  </si>
  <si>
    <t>Počet</t>
  </si>
  <si>
    <t>Normální pravděpodobnost</t>
  </si>
  <si>
    <t>Součet</t>
  </si>
  <si>
    <t>&amp;Graf pravděpodobnosti</t>
  </si>
  <si>
    <t>Průměr</t>
  </si>
  <si>
    <t>Rozptyl</t>
  </si>
  <si>
    <t>Zdroj variability</t>
  </si>
  <si>
    <t>Řá&amp;dků na výběr:</t>
  </si>
  <si>
    <t>&amp;Hypotetický rozdíl středních hodnot:</t>
  </si>
  <si>
    <t>Rozdíl</t>
  </si>
  <si>
    <t>Hodnota P</t>
  </si>
  <si>
    <t>F krit</t>
  </si>
  <si>
    <t>Celkem</t>
  </si>
  <si>
    <t>Mezi výběry</t>
  </si>
  <si>
    <t>Nový &amp;sešit</t>
  </si>
  <si>
    <t>Všechny výběry</t>
  </si>
  <si>
    <t>Sloupec</t>
  </si>
  <si>
    <t>Interakce</t>
  </si>
  <si>
    <t>Pořadová statistika a percentily</t>
  </si>
  <si>
    <t>&amp;Od:</t>
  </si>
  <si>
    <t>Dohromady</t>
  </si>
  <si>
    <t>Řádky</t>
  </si>
  <si>
    <t>&amp;Do:</t>
  </si>
  <si>
    <t>Sloupce</t>
  </si>
  <si>
    <t>Chyba</t>
  </si>
  <si>
    <t>Stř. hodnota</t>
  </si>
  <si>
    <t>Dvouvýběrový t-test s rovností rozptylů</t>
  </si>
  <si>
    <t>Chyba stř. hodnoty</t>
  </si>
  <si>
    <t>Medián</t>
  </si>
  <si>
    <t>Modus</t>
  </si>
  <si>
    <t>Směr. odchylka</t>
  </si>
  <si>
    <t>&amp;Krok:</t>
  </si>
  <si>
    <t>Rozptyl výběru</t>
  </si>
  <si>
    <t>Špičatost</t>
  </si>
  <si>
    <t>K&amp;aždé číslo opakovat:</t>
  </si>
  <si>
    <t>Šikmost</t>
  </si>
  <si>
    <t>Rozdíl max-min</t>
  </si>
  <si>
    <t>krát</t>
  </si>
  <si>
    <t>Počet sekven&amp;cí:</t>
  </si>
  <si>
    <t xml:space="preserve">Největší </t>
  </si>
  <si>
    <t xml:space="preserve">Nejmenší </t>
  </si>
  <si>
    <t xml:space="preserve">Hladina spolehlivosti </t>
  </si>
  <si>
    <t>Exp. vyrovnání</t>
  </si>
  <si>
    <t>Klouzavý průměr</t>
  </si>
  <si>
    <t>Fourierova analýza</t>
  </si>
  <si>
    <t>Skutečnost</t>
  </si>
  <si>
    <t>Předpověď</t>
  </si>
  <si>
    <t>Datový bod</t>
  </si>
  <si>
    <t>Hodnota</t>
  </si>
  <si>
    <t>Stře&amp;dní hodnota =</t>
  </si>
  <si>
    <t>Třídy</t>
  </si>
  <si>
    <t>Četnost</t>
  </si>
  <si>
    <t>S&amp;měrodatná odchylka =</t>
  </si>
  <si>
    <t>Kumul. %</t>
  </si>
  <si>
    <t>Dvouvýběrový t-test s nerovností rozptylů</t>
  </si>
  <si>
    <t>Další</t>
  </si>
  <si>
    <t>I&amp;nverze</t>
  </si>
  <si>
    <t>Pozorování</t>
  </si>
  <si>
    <t>P(F&lt;=f) (1)</t>
  </si>
  <si>
    <t>F krit (1)</t>
  </si>
  <si>
    <t>Hyp. rozdíl stř. hodnot</t>
  </si>
  <si>
    <t>Společný rozptyl</t>
  </si>
  <si>
    <t>Pears. korelace</t>
  </si>
  <si>
    <t>P(T&lt;=t) (1)</t>
  </si>
  <si>
    <t>Pr&amp;avděpodobnost výskytu =</t>
  </si>
  <si>
    <t>P(T&lt;=t) (2)</t>
  </si>
  <si>
    <t>t krit (1)</t>
  </si>
  <si>
    <t>t krit (2)</t>
  </si>
  <si>
    <t>Soubor 1</t>
  </si>
  <si>
    <t>&amp;Hranice tříd:</t>
  </si>
  <si>
    <t>Soubor 2</t>
  </si>
  <si>
    <t>Dvouvýběrový z-test na střední hodnotu</t>
  </si>
  <si>
    <t>Známý rozptyl</t>
  </si>
  <si>
    <t>P(Z&lt;=z) (1)</t>
  </si>
  <si>
    <t>z krit (1)</t>
  </si>
  <si>
    <t>P(Z&lt;=z) (2)</t>
  </si>
  <si>
    <t>P&amp;očet výběrů =</t>
  </si>
  <si>
    <t>z krit (2)</t>
  </si>
  <si>
    <t>Pořadí</t>
  </si>
  <si>
    <t>P&amp;areto (tříděný histogram)</t>
  </si>
  <si>
    <t>Percentil</t>
  </si>
  <si>
    <t>Ku&amp;mulativní procentuální podíl</t>
  </si>
  <si>
    <t>Bod</t>
  </si>
  <si>
    <t>Řádek</t>
  </si>
  <si>
    <t>Rovnoměrné</t>
  </si>
  <si>
    <t>Normální</t>
  </si>
  <si>
    <t>Bernoulliho</t>
  </si>
  <si>
    <t>&amp;Rozptyl 1. souboru (znám):</t>
  </si>
  <si>
    <t>Binomické</t>
  </si>
  <si>
    <t>Poissonovo</t>
  </si>
  <si>
    <t>R&amp;ozptyl 2. souboru (znám):</t>
  </si>
  <si>
    <t>Vzorky</t>
  </si>
  <si>
    <t>Diskrétní</t>
  </si>
  <si>
    <t>REZIDUA</t>
  </si>
  <si>
    <t>L&amp;ambda =</t>
  </si>
  <si>
    <t>Očekávané</t>
  </si>
  <si>
    <t>Očekávaná Y</t>
  </si>
  <si>
    <t>Normovaná rezidua</t>
  </si>
  <si>
    <t>PRAVDĚPODOBNOST</t>
  </si>
  <si>
    <t>VÝSLEDEK</t>
  </si>
  <si>
    <t>Regresní statistika</t>
  </si>
  <si>
    <t>Násobné R</t>
  </si>
  <si>
    <t>Hodnota spolehlivosti R</t>
  </si>
  <si>
    <t>Nastavená hodnota spolehlivosti R</t>
  </si>
  <si>
    <t>Významnost F</t>
  </si>
  <si>
    <t>Hranice</t>
  </si>
  <si>
    <t>Dolní</t>
  </si>
  <si>
    <t>Dolní 95%</t>
  </si>
  <si>
    <t>Horní</t>
  </si>
  <si>
    <t>Horní 95%</t>
  </si>
  <si>
    <t>Soubor X</t>
  </si>
  <si>
    <t>Koeficienty</t>
  </si>
  <si>
    <t>Graf s rezidui</t>
  </si>
  <si>
    <t>Graf porovnání hodnot</t>
  </si>
  <si>
    <t>Graf s rozdělením pravděpodobnosti</t>
  </si>
  <si>
    <t>Percentil výběru</t>
  </si>
  <si>
    <t>Výpočet:</t>
  </si>
  <si>
    <t>: nedostatek paměti pro výpočet.</t>
  </si>
  <si>
    <t>: alfa musí ležet v intervalu 0 .. 1.</t>
  </si>
  <si>
    <t>: Bernoulliho pravděpodobnost je povinná a musí ležet v intervalu 0 .. 1.</t>
  </si>
  <si>
    <t>: binomická pravděpodobnost je povinná a musí ležet v intervalu 0 .. 1.</t>
  </si>
  <si>
    <t>: binomický výběr je povinný; musí jím být číslo větší než 0.</t>
  </si>
  <si>
    <t>: oblast tříd nemůže být prázdná.</t>
  </si>
  <si>
    <t>: oblast tříd nelze vynechat; musí se jednat o odkaz.</t>
  </si>
  <si>
    <t>: oblast tříd nemůže obsahovat nečíselná data.</t>
  </si>
  <si>
    <t>: oblast tříd a vstupu se překrývají.</t>
  </si>
  <si>
    <t>: oblast tříd a výstupu se překrývají.</t>
  </si>
  <si>
    <t>: pro prázdnou třídu nelze vykreslit graf.</t>
  </si>
  <si>
    <t>: výstup grafu musí být logická hodnota.</t>
  </si>
  <si>
    <t>: konstanta musí být logická hodnota.</t>
  </si>
  <si>
    <t>: kumulativní procentuální podíl musí být logická hodnota.</t>
  </si>
  <si>
    <t>: inverze musí být logická hodnota.</t>
  </si>
  <si>
    <t>: graf porovnání musí být logická hodnota.</t>
  </si>
  <si>
    <t>: popisek musí být logická hodnota.</t>
  </si>
  <si>
    <t>: pareto musí být logická hodnota.</t>
  </si>
  <si>
    <t>: graf s rozdělením pravděpodobnosti musí být logická hodnota.</t>
  </si>
  <si>
    <t>: graf s rezidui musí být logická hodnota.</t>
  </si>
  <si>
    <t>: rezidua musí být logická hodnota.</t>
  </si>
  <si>
    <t>: výstup standardní chyby musí být logická hodnota.</t>
  </si>
  <si>
    <t>: standardní rezidua musí být logická hodnota.</t>
  </si>
  <si>
    <t>: souhrnná statistika musí být logická hodnota.</t>
  </si>
  <si>
    <t>: oblast vstupu či výstupu nelze převést na platný odkaz!</t>
  </si>
  <si>
    <t>: nelze vytvořit relativní odkazy mezi oblastmi.</t>
  </si>
  <si>
    <t>: vnořený graf překryje část dat.</t>
  </si>
  <si>
    <t>: graf nelze zakreslit, protože překračuje okraje listu.</t>
  </si>
  <si>
    <t>: přerušení výpočtů. Chcete-li výpočty přerušit, klepněte na tlačítko OK. Klepnutím na tlačítko Storno můžete ve výpočtech pokračovat.</t>
  </si>
  <si>
    <t>: spolehlivost musí ležet v intervalu 0 až 100.</t>
  </si>
  <si>
    <t>: vstupní oblast nelze převést na hodnoty a pravděpodobnosti.</t>
  </si>
  <si>
    <t>: faktor útlumu musí být číslo.</t>
  </si>
  <si>
    <t>: faktor útlumu musí být kladné číslo.</t>
  </si>
  <si>
    <t>: součet hodnot ve sloupci diskrétní pravděpodobnosti je 1.</t>
  </si>
  <si>
    <t>: zadejte prosím dvousloupcovou vstupní oblast pro diskrétní hodnoty a pravděpodobnosti.</t>
  </si>
  <si>
    <t>: zadejte prosím vstupní oblast s více než jednou hodnotou a pravděpodobností.</t>
  </si>
  <si>
    <t>: vstupní oblast pro diskrétní hodnoty a pro pravděpodobnosti musí mít stejný počet položek s výhradně číselnými daty.</t>
  </si>
  <si>
    <t>: vstupní oblast pro diskrétní hodnoty a pravděpodobnosti nemůže překrývat oblast výstupu.</t>
  </si>
  <si>
    <t>: vstupní oblast musí při kontrole standardních chyb obsahovat alespoň 5 datových bodů.</t>
  </si>
  <si>
    <t>: příliš mnoho argumentů. Zkontrolujte prosím syntaxi RANDOM().</t>
  </si>
  <si>
    <t>: vstupní oblast X nemůže obsahovat více než 16 proměnných (sloupců).</t>
  </si>
  <si>
    <t>: počet vstupních hodnot musí tvořit mocninu dvou, např. 2, 4, 8, 16, 32, 64, 128…</t>
  </si>
  <si>
    <t>: počet vstupních hodnot musí být menší než 4097.</t>
  </si>
  <si>
    <t>: uspořádání skupin dat zadejte písmeny "C" pro sloupce a "R" pro řádky.</t>
  </si>
  <si>
    <t>: vstupní oblast by měla obsahovat dvě nebo více skupin dat v řádcích či sloupcích.</t>
  </si>
  <si>
    <t>: vstupní oblast musí tvořit souvislý odkaz.</t>
  </si>
  <si>
    <t>: zadejte prosím vstupní oblast.</t>
  </si>
  <si>
    <t>: oblasti vstupu a výstupu se překrývají. Zadejte je prosím znovu.</t>
  </si>
  <si>
    <t>: vstupní oblast musí obsahovat alespoň jeden datový bod.</t>
  </si>
  <si>
    <t>: interval musí být číslo.</t>
  </si>
  <si>
    <t>: interval musí být kladné celé číslo.</t>
  </si>
  <si>
    <t>: interval nemůže být větší než datové body.</t>
  </si>
  <si>
    <t>: vstupní oblast obsahuje chybné komplexní číslo; to musí být ve tvaru x+yi či x+yj</t>
  </si>
  <si>
    <t>: ve všech komplexních číslech musí být stejná komplexní jednotka; buď  "i" nebo "j".</t>
  </si>
  <si>
    <t>: k-tá největší hodnota musí být celé kladné číslo menší než počet datových bodů.</t>
  </si>
  <si>
    <t>: k-tá nejmenší hodnota musí být celé kladné číslo větší než 0 a menší než počet datových bodů.</t>
  </si>
  <si>
    <t>: funkce LINEST() vrátila chybnou hodnotu. Zkontrolujte prosím vstupní hodnoty.</t>
  </si>
  <si>
    <t>: rozdíl středních hodnot by mělo být kladné číslo.</t>
  </si>
  <si>
    <t>: funkce vyžaduje více argumentů.</t>
  </si>
  <si>
    <t>: vstupní a výstupní oblast musí ležet na stejném listu.</t>
  </si>
  <si>
    <t>: vstupní a výstupní oblast musí tvořit souvislou oblast buněk.</t>
  </si>
  <si>
    <t>: vstupní oblast musí být jeden řádek či sloupec.</t>
  </si>
  <si>
    <t>: vstupní oblasti musí mít stejný počet datových bodů.</t>
  </si>
  <si>
    <t>: vstupní oblast musí obsahovat alespoň 4 datové body.</t>
  </si>
  <si>
    <t xml:space="preserve">: nelze vytvořit nový sešit. </t>
  </si>
  <si>
    <t>: nelze vytvořit nový list pro výstup. Zkontrolujte, zda není sešit zamčen.</t>
  </si>
  <si>
    <t xml:space="preserve"> Nelze vyvolat hlavní dialog analýzy dat. Obraťte se prosím na odbornou pomoc.</t>
  </si>
  <si>
    <t xml:space="preserve"> Nelze vyvolat dialog analýzy dat pro danou proceduru. Obraťte se prosím na odbornou pomoc.</t>
  </si>
  <si>
    <t>: vstupní oblast obsahuje nečíselná data.</t>
  </si>
  <si>
    <t>: normální střední hodnota je povinná; musí se jednat číslo.</t>
  </si>
  <si>
    <t>: normální směrodatná odchylka je povinná; musí se jednat o nenulové číslo.</t>
  </si>
  <si>
    <t>: počet výběrů musí být celé kladné číslo..</t>
  </si>
  <si>
    <t>: zadejte prosím počet náhodných výběrů.</t>
  </si>
  <si>
    <t>: nelze určit odkaz na vstupní či výstupní oblast.</t>
  </si>
  <si>
    <t xml:space="preserve">: nelze otevřít zdrojový list. </t>
  </si>
  <si>
    <t>: neplatná volba výstupu.</t>
  </si>
  <si>
    <t>: výstupní oblast musí být platný odkaz.</t>
  </si>
  <si>
    <t>: zadejte prosím výstupní oblast.</t>
  </si>
  <si>
    <t xml:space="preserve">: odhadovaná výstupní oblast přesahuje okraje listu. Zadejte prosím jiný odkaz.     </t>
  </si>
  <si>
    <t xml:space="preserve">: výstupní oblast přepíše existující data. Klepnutím na tlačítko OK přepíšete data v oblasti:   </t>
  </si>
  <si>
    <t>: zadaný krok je neplatný.</t>
  </si>
  <si>
    <t>: počátek výběrů je povinný a musí jej tvořit číslo.</t>
  </si>
  <si>
    <t>: krok výběrů je povinný a musí jej tvořit nenulové číslo.</t>
  </si>
  <si>
    <t>: konec výběrů je povinný a musí jej tvořit číslo.</t>
  </si>
  <si>
    <t>: opakující se hodnota výběrů je povinná a musí ji tvořit celé číslo větší než nula.</t>
  </si>
  <si>
    <t>: počet sekvencí opakujících se hodnot výběrů je povinný a musí jej tvořit celé číslo větší než nula.</t>
  </si>
  <si>
    <t>: perioda musí být celé číslo větší než nula.</t>
  </si>
  <si>
    <t>: zadejte prosím periodu výběrů.</t>
  </si>
  <si>
    <t>: perioda výběrů nemůže být větší než počet hodnot v oblasti vstupu.</t>
  </si>
  <si>
    <t>: parametr lambda je povinný a musí jej tvořit číslo větší než nula.</t>
  </si>
  <si>
    <t>: typ rozdělení je povinný a musí být celé číslo v intervalu 1 až 7.</t>
  </si>
  <si>
    <t>: počet náhodných čísel musí být celé číslo větší než nula.</t>
  </si>
  <si>
    <t>: diskrétní rozdělení: nelze nalézt odpovídající hodnotu pro náhodně vybranou pravděpodobnost.</t>
  </si>
  <si>
    <t xml:space="preserve">: počet proměnných musí být celé číslo větší než nula. </t>
  </si>
  <si>
    <t>: zadejte prosím alespoň jednu statistickou volbu.</t>
  </si>
  <si>
    <t>: zadejte prosím počet řádků na výběr.</t>
  </si>
  <si>
    <t>: počet řádků na výběr musí tvořit celé číslo větší než nula.</t>
  </si>
  <si>
    <t>: každý výběr musí obsahovat stejný počet řádků.</t>
  </si>
  <si>
    <t>: oblast X a Y musí obsahovat stejný počet řádků (hodnot výběru) bez ohledu na popisky.</t>
  </si>
  <si>
    <t>: neplatná metoda vzorkování: "P" značí periodické vzorkování, "N" značí náhodné vzorkování.</t>
  </si>
  <si>
    <t>: metoda vzorkování je povinná.</t>
  </si>
  <si>
    <t>: základ pro generování musí ležet v intervalu 1..32767.</t>
  </si>
  <si>
    <t>: zamčený list nelze upravovat.</t>
  </si>
  <si>
    <t>: meze jsou povinné a musí je tvořit číslo.</t>
  </si>
  <si>
    <t>: oblasti proměnných musí být buď řádky nebo sloupce.</t>
  </si>
  <si>
    <t>: oblasti proměnných musí obsahovat stejný počet datových bodů.</t>
  </si>
  <si>
    <t>: oblasti proměnných musí obsahovat alespoň dva datové body.</t>
  </si>
  <si>
    <t>: oblast proměnných 1 musí tvořit souvislý odkaz.</t>
  </si>
  <si>
    <t>: oblast proměnných 1 schází.</t>
  </si>
  <si>
    <t>: oblasti proměnných 1 a 2 se nemohou překrývat.</t>
  </si>
  <si>
    <t>: oblast proměnných 1 se nemůže překrývat s výstupní oblastí.</t>
  </si>
  <si>
    <t>: oblast proměnných 2 musí tvořit souvislý odkaz.</t>
  </si>
  <si>
    <t>: oblast proměnných 2 schází.</t>
  </si>
  <si>
    <t>: oblast proměnných 2 se nemůže překrývat s výstupní oblastí.</t>
  </si>
  <si>
    <t>: typ náhodného rozdělení musí ležet v intervalu 1 až 7.</t>
  </si>
  <si>
    <t>: oblast X se nemůže překrývat s výstupní oblastí. Zadejte prosím jinou výstupní oblast.</t>
  </si>
  <si>
    <t>: vstupní oblast X musí být souvislý odkaz.</t>
  </si>
  <si>
    <t>: vstupní oblast X schází.</t>
  </si>
  <si>
    <t>: počet řádků a sloupců v oblasti X nemůže být shodný.</t>
  </si>
  <si>
    <t>: oblasti X a Y se nemohou překrývat.</t>
  </si>
  <si>
    <t>: oblast Y se nemůže překrývat s výstupní oblastí. Zadejte prosím jinou výstupní oblast.</t>
  </si>
  <si>
    <t>: vstupní oblast Y musí tvořit souvislý odkaz.</t>
  </si>
  <si>
    <t>: vstupní oblast Y schází. Zadejte ji prosím.</t>
  </si>
  <si>
    <t>: rozptyl 1 musí být číslo větší než nula.</t>
  </si>
  <si>
    <t>: rozptyl 2 musí být číslo větší než nula.</t>
  </si>
  <si>
    <t>: ovládací prvky ActiveX na listu nejsou přístupné. Obraťte se prosím na odbornou pomoc.</t>
  </si>
  <si>
    <t>: graf nelze přidat na sdílený sešit. Chcete pokračovat ve vytváření výstupní tabulky?</t>
  </si>
  <si>
    <t>Dataanalyse</t>
  </si>
  <si>
    <t>Anava: Enkelt faktor</t>
  </si>
  <si>
    <t>Korrelation</t>
  </si>
  <si>
    <t>Beskrivende statistik</t>
  </si>
  <si>
    <t>Eksponentiel udglatning</t>
  </si>
  <si>
    <t>F-test: Dobbelt-stikprøve for varians</t>
  </si>
  <si>
    <t>Stikprøve</t>
  </si>
  <si>
    <t>Generering af tilfældige tal</t>
  </si>
  <si>
    <t>Annuller</t>
  </si>
  <si>
    <t>&amp;Analyseværktøj</t>
  </si>
  <si>
    <t>Outputindstillinger</t>
  </si>
  <si>
    <t>Antal &amp;variabler:</t>
  </si>
  <si>
    <t>&amp;Inputområde:</t>
  </si>
  <si>
    <t>Input for &amp;Y-område:</t>
  </si>
  <si>
    <t>Område for variabel &amp;1:</t>
  </si>
  <si>
    <t>&amp;Overskriv data i området:</t>
  </si>
  <si>
    <t>&amp;Antal tilfældige tal:</t>
  </si>
  <si>
    <t>Grupperet efter:</t>
  </si>
  <si>
    <t>Input for &amp;X-område:</t>
  </si>
  <si>
    <t>Skriv til nyt &amp;område:</t>
  </si>
  <si>
    <t>&amp;Dæmpningsfaktor:</t>
  </si>
  <si>
    <t>Område for variabel &amp;2:</t>
  </si>
  <si>
    <t>&amp;Etiketter</t>
  </si>
  <si>
    <t>Ny regnearksfa&amp;ne:</t>
  </si>
  <si>
    <t>Stikprøvemetode</t>
  </si>
  <si>
    <t>&amp;Fordeling:</t>
  </si>
  <si>
    <t>&amp;Etiketter i første kolonne</t>
  </si>
  <si>
    <t>&amp;Kolonner</t>
  </si>
  <si>
    <t>Ny projekt&amp;mappe</t>
  </si>
  <si>
    <t>&amp;Etiketter i første række</t>
  </si>
  <si>
    <t>&amp;Rækker</t>
  </si>
  <si>
    <t>&amp;Konstant er nul</t>
  </si>
  <si>
    <t>Oplysninger skrives til celler, der ikke er tomme: data kan gå tabt!</t>
  </si>
  <si>
    <t>&amp;Periodisk</t>
  </si>
  <si>
    <t>Parametre</t>
  </si>
  <si>
    <t xml:space="preserve">&amp;Etiketter i første række </t>
  </si>
  <si>
    <t>Kon&amp;fidensniveau</t>
  </si>
  <si>
    <t>&amp;Tilfældig</t>
  </si>
  <si>
    <t>&amp;Outputområde:</t>
  </si>
  <si>
    <t>Periode:</t>
  </si>
  <si>
    <t>Dato og klokkeslæt</t>
  </si>
  <si>
    <t>Hjælp</t>
  </si>
  <si>
    <t>Antal stikprøver:</t>
  </si>
  <si>
    <t>Mat og trig</t>
  </si>
  <si>
    <t>Statistisk</t>
  </si>
  <si>
    <t>Finansiel</t>
  </si>
  <si>
    <t>Diagramoutp&amp;ut</t>
  </si>
  <si>
    <t>Teknik</t>
  </si>
  <si>
    <t>&amp;Standardfejl</t>
  </si>
  <si>
    <t>Res&amp;umestatistik</t>
  </si>
  <si>
    <t>Anava</t>
  </si>
  <si>
    <t>Kon&amp;fidensniveau for middelværdi:</t>
  </si>
  <si>
    <t>Residualer</t>
  </si>
  <si>
    <t>&amp;Inputområde for værdi og sandsynlighed:</t>
  </si>
  <si>
    <t>Anava: To-faktor med gentagelse</t>
  </si>
  <si>
    <t>&amp;Residualer</t>
  </si>
  <si>
    <t>Kovarians</t>
  </si>
  <si>
    <t>Anava: To-faktor uden gentagelse</t>
  </si>
  <si>
    <t>&amp;Standardiserede residualer</t>
  </si>
  <si>
    <t>K'te-&amp;største:</t>
  </si>
  <si>
    <t>&amp;Tilfældige basistal:</t>
  </si>
  <si>
    <t>RESUME</t>
  </si>
  <si>
    <t>Resi&amp;dualplot</t>
  </si>
  <si>
    <t>t-test: Parvis dobbelt stikprøve for middelværdi</t>
  </si>
  <si>
    <t>Grupper</t>
  </si>
  <si>
    <t>L&amp;injetilpasningsplot</t>
  </si>
  <si>
    <t>K'te-min&amp;dste:</t>
  </si>
  <si>
    <t>Antal</t>
  </si>
  <si>
    <t>Normal sandsynlighed</t>
  </si>
  <si>
    <t>&amp;Plot af normal sandsynlighed</t>
  </si>
  <si>
    <t>Gennemsnit</t>
  </si>
  <si>
    <t>Varians</t>
  </si>
  <si>
    <t>ANAVA</t>
  </si>
  <si>
    <t>Variationskilde</t>
  </si>
  <si>
    <t>&amp;Rækker pr. stikprøve:</t>
  </si>
  <si>
    <t>SK</t>
  </si>
  <si>
    <t>Hypo&amp;tese for forskel i middelværdi:</t>
  </si>
  <si>
    <t>fg</t>
  </si>
  <si>
    <t>MK</t>
  </si>
  <si>
    <t>P-værdi</t>
  </si>
  <si>
    <t>I alt</t>
  </si>
  <si>
    <t>Mellem grupper</t>
  </si>
  <si>
    <t>Inden for grupper</t>
  </si>
  <si>
    <t>Kolonne</t>
  </si>
  <si>
    <t>Interaktion</t>
  </si>
  <si>
    <t>Rang og fraktil</t>
  </si>
  <si>
    <t>Mel&amp;lem</t>
  </si>
  <si>
    <t>Indenfor</t>
  </si>
  <si>
    <t>Rækker</t>
  </si>
  <si>
    <t>o&amp;g</t>
  </si>
  <si>
    <t>Kolonner</t>
  </si>
  <si>
    <t>Fejl</t>
  </si>
  <si>
    <t>Middelværdi</t>
  </si>
  <si>
    <t>t-test: To stikprøver med ens varians</t>
  </si>
  <si>
    <t>F&amp;ra</t>
  </si>
  <si>
    <t>Standardfejl</t>
  </si>
  <si>
    <t>ti&amp;l</t>
  </si>
  <si>
    <t>Tilstand</t>
  </si>
  <si>
    <t>Standardafvigelse</t>
  </si>
  <si>
    <t>&amp;i trin af</t>
  </si>
  <si>
    <t>Stikprøvevarians</t>
  </si>
  <si>
    <t>G&amp;entag hvert nummer</t>
  </si>
  <si>
    <t>Skævhed</t>
  </si>
  <si>
    <t>Område</t>
  </si>
  <si>
    <t>gange</t>
  </si>
  <si>
    <t>&amp;Gentag sekvensen</t>
  </si>
  <si>
    <t>Maksimum</t>
  </si>
  <si>
    <t>Største</t>
  </si>
  <si>
    <t>Mindste</t>
  </si>
  <si>
    <t>Konfidensniveau</t>
  </si>
  <si>
    <t>Bevægeligt gennemsnit</t>
  </si>
  <si>
    <t>Fourier-analyse</t>
  </si>
  <si>
    <t>Faktisk</t>
  </si>
  <si>
    <t>Prognose</t>
  </si>
  <si>
    <t>Datapunkt</t>
  </si>
  <si>
    <t>Værdi</t>
  </si>
  <si>
    <t>M&amp;iddelværdi =</t>
  </si>
  <si>
    <t>Interval</t>
  </si>
  <si>
    <t>Hyppighed</t>
  </si>
  <si>
    <t>&amp;Standardafvigelse =</t>
  </si>
  <si>
    <t>Kumulativ %</t>
  </si>
  <si>
    <t>t-test: To stikprøver med forskellig varians</t>
  </si>
  <si>
    <t>Mere</t>
  </si>
  <si>
    <t>Inter&amp;val:</t>
  </si>
  <si>
    <t>F-test: Dobbelt stikprøve for varians</t>
  </si>
  <si>
    <t>In&amp;vers</t>
  </si>
  <si>
    <t>Observationer</t>
  </si>
  <si>
    <t>P(F&lt;=f) en-halet</t>
  </si>
  <si>
    <t>F-kritisk en-halet</t>
  </si>
  <si>
    <t>Hypotese for forskel i middelværdi</t>
  </si>
  <si>
    <t>&amp;Diagramoutput</t>
  </si>
  <si>
    <t>Puljevarians</t>
  </si>
  <si>
    <t>Pearson-korrelation</t>
  </si>
  <si>
    <t>P(T&lt;=t) en-halet</t>
  </si>
  <si>
    <t>p-væ&amp;rdi =</t>
  </si>
  <si>
    <t>P(T&lt;=t) to-halet</t>
  </si>
  <si>
    <t>t-stat</t>
  </si>
  <si>
    <t>t-kritisk en-halet</t>
  </si>
  <si>
    <t>t-kritisk to-halet</t>
  </si>
  <si>
    <t>Variabel 1</t>
  </si>
  <si>
    <t>Inter&amp;valområde:</t>
  </si>
  <si>
    <t>Variabel 2</t>
  </si>
  <si>
    <t>z-test: To stikprøver for middelværdi</t>
  </si>
  <si>
    <t>Kendt varians</t>
  </si>
  <si>
    <t>P(Z&lt;=z) en-halet</t>
  </si>
  <si>
    <t>z-kritisk en-halet</t>
  </si>
  <si>
    <t>P(Z&lt;=z) to-halet</t>
  </si>
  <si>
    <t>Antal for&amp;søg =</t>
  </si>
  <si>
    <t>z-kritisk to-halet</t>
  </si>
  <si>
    <t>&amp;Pareto (sorteret histogram)</t>
  </si>
  <si>
    <t>Procent</t>
  </si>
  <si>
    <t>&amp;Kumulativ frekvens</t>
  </si>
  <si>
    <t>Punkt</t>
  </si>
  <si>
    <t>Række</t>
  </si>
  <si>
    <t>Jævn</t>
  </si>
  <si>
    <t>&amp;Varians for variabel 1 (kendt):</t>
  </si>
  <si>
    <t>Va&amp;rians for variabel 2 (kendt):</t>
  </si>
  <si>
    <t>Sammensat</t>
  </si>
  <si>
    <t>Diskret</t>
  </si>
  <si>
    <t>RESIDUALOUTPUT</t>
  </si>
  <si>
    <t>Forudsagt</t>
  </si>
  <si>
    <t>Forudsagt Y</t>
  </si>
  <si>
    <t>Standardresidualer</t>
  </si>
  <si>
    <t>SANDSYNLIGHEDSOUTPUT</t>
  </si>
  <si>
    <t>Fraktil</t>
  </si>
  <si>
    <t>RESUMEOUTPUT</t>
  </si>
  <si>
    <t>Regressionsstatistik</t>
  </si>
  <si>
    <t>Multipel R</t>
  </si>
  <si>
    <t>R-kvadreret</t>
  </si>
  <si>
    <t>Justeret R-kvadreret</t>
  </si>
  <si>
    <t>Signifikans F</t>
  </si>
  <si>
    <t>Skæring</t>
  </si>
  <si>
    <t>Nedre</t>
  </si>
  <si>
    <t>Nedre 95%</t>
  </si>
  <si>
    <t>Øvre</t>
  </si>
  <si>
    <t>Øvre 95%</t>
  </si>
  <si>
    <t>X-variabel</t>
  </si>
  <si>
    <t>Koefficienter</t>
  </si>
  <si>
    <t xml:space="preserve"> Residualplot</t>
  </si>
  <si>
    <t>Linjetilpasningsplot</t>
  </si>
  <si>
    <t>Normalsandsynlighedsplot</t>
  </si>
  <si>
    <t>Stikprøvefraktil</t>
  </si>
  <si>
    <t>Stikprøvetagning</t>
  </si>
  <si>
    <t>Beregner</t>
  </si>
  <si>
    <t xml:space="preserve"> - Kunne ikke allokere hukommelse til beregningen.</t>
  </si>
  <si>
    <t xml:space="preserve"> - Alpha skal være et tal i intervallet 0 .. 1.</t>
  </si>
  <si>
    <t xml:space="preserve"> - Bernoulli-sandsynlighed kræves og skal være et tal mellem 0 .. 1.</t>
  </si>
  <si>
    <t xml:space="preserve"> - Binomial sandsynlighed kræves og skal være et tal mellem 0 .. 1.</t>
  </si>
  <si>
    <t xml:space="preserve"> - Binomiale forsøg kræves og skal være et heltal større end nul.</t>
  </si>
  <si>
    <t xml:space="preserve"> - Intervalområdet kan ikke være tomt.</t>
  </si>
  <si>
    <t xml:space="preserve"> - Intervalområdet kan udelades. Hvis det indtastes, skal intervalområdet være en reference.</t>
  </si>
  <si>
    <t xml:space="preserve"> - Intervalområdet kan ikke indeholde ikke-numeriske data.</t>
  </si>
  <si>
    <t xml:space="preserve"> - Interval-og inputområdet overlapper hinanden.</t>
  </si>
  <si>
    <t xml:space="preserve"> - Interval- og outputområdet overlapper hinanden.</t>
  </si>
  <si>
    <t xml:space="preserve"> - Kan ikke tegne et diagram med tomme intervaller.</t>
  </si>
  <si>
    <t xml:space="preserve"> - Diagramoutput skal være en logisk værdi.</t>
  </si>
  <si>
    <t xml:space="preserve"> - Konstant skal være en logisk værdi.</t>
  </si>
  <si>
    <t xml:space="preserve"> - Kumulativ frekvens skal være en logisk værdi.</t>
  </si>
  <si>
    <t xml:space="preserve"> - Invers skal være en logisk værdi.</t>
  </si>
  <si>
    <t xml:space="preserve"> - Linjetilpasningsplot skal være en logisk værdi.</t>
  </si>
  <si>
    <t xml:space="preserve"> - Etiket skal være en logisk værdi.</t>
  </si>
  <si>
    <t xml:space="preserve"> - Pareto skal være en logisk værdi.</t>
  </si>
  <si>
    <t xml:space="preserve"> - Normalsandsynlighedsplot skal være en logisk værdi.</t>
  </si>
  <si>
    <t xml:space="preserve"> - Residualplot skal være en logisk værdi.</t>
  </si>
  <si>
    <t xml:space="preserve"> - Residualer skal være logiske værdier.</t>
  </si>
  <si>
    <t xml:space="preserve"> - Standardfejloutput skal være en logisk værdi.</t>
  </si>
  <si>
    <t xml:space="preserve"> - Standardresidualer skal være logiske værdier.</t>
  </si>
  <si>
    <t xml:space="preserve"> - Resumestatistik skal være en logisk værdi.</t>
  </si>
  <si>
    <t xml:space="preserve"> - Kan ikke konvertere input-/outputområde til en gyldig reference!</t>
  </si>
  <si>
    <t xml:space="preserve"> - Kan ikke oprette en relativ reference mellem områder.</t>
  </si>
  <si>
    <t xml:space="preserve"> - Nogle data vil blive skjult af integrerede diagrammer.</t>
  </si>
  <si>
    <t xml:space="preserve"> - Kan ikke afbilde et diagram, da dets reference vil overskride regnearkets grænser.</t>
  </si>
  <si>
    <t xml:space="preserve"> - Afbrydelse af beregning: Vælg OK for at afbryde beregningen, vælg Annuller for at genoptage beregningen.</t>
  </si>
  <si>
    <t xml:space="preserve"> - Konfidens skal være et tal mellem 0 og 100.</t>
  </si>
  <si>
    <t xml:space="preserve"> - Kan ikke konvertere inputområdet til værdier og sandsynligheder. Prøv igen.</t>
  </si>
  <si>
    <t xml:space="preserve"> - Dæmpningsfaktoren skal være numerisk.</t>
  </si>
  <si>
    <t xml:space="preserve"> - Dæmpningsfaktoren skal være et positivt tal.</t>
  </si>
  <si>
    <t xml:space="preserve"> - Summen af tallene i kolonnen med diskrete sandsynligheder skal være 1.</t>
  </si>
  <si>
    <t xml:space="preserve"> - Angiv et to-kolonneområde for inputområdet til diskret værdi og sandsynlighed.</t>
  </si>
  <si>
    <t xml:space="preserve"> - Angiv et inputområde med mere end én værdi og mere end én sandsynlighed.</t>
  </si>
  <si>
    <t xml:space="preserve"> - Områderne for diskret værdi og sandsynlighed må kun indeholde numeriske data og skal have det samme antal data.</t>
  </si>
  <si>
    <t xml:space="preserve"> - Områderne for diskret værdi og sandsynlighed kan ikke overlappe outputområdet.</t>
  </si>
  <si>
    <t xml:space="preserve"> - Inputområdet skal indeholde mindst 5 datapunkter, når der kontrolleres for standardfejl.</t>
  </si>
  <si>
    <t xml:space="preserve"> - For mange argumenter angivet. Kontroller syntaksen for TILFÆLDIG().</t>
  </si>
  <si>
    <t xml:space="preserve"> - Inputområde til  X kan ikke indeholde mere end 16 variabler (kolonner).</t>
  </si>
  <si>
    <t xml:space="preserve"> - Antallet af inputværdier skal være en potens af 2. F.eks : 2, 4, 8, 16, 32, 64, 128,...</t>
  </si>
  <si>
    <t xml:space="preserve"> - Antallet af inputværdier skal være mindre end eller lig med 4096.</t>
  </si>
  <si>
    <t xml:space="preserve"> - Brug "K" for kolonner og "R" for rækker til at indikere hvordan grupper af data er arrangeret.</t>
  </si>
  <si>
    <t xml:space="preserve"> - Inputområdet skal indeholde 2 eller flere blokke med data, arrangeret i rækker eller kolonner.</t>
  </si>
  <si>
    <t xml:space="preserve"> - Inputområdet skal være en sammenhængende reference.</t>
  </si>
  <si>
    <t xml:space="preserve"> - Inputområdet mangler. Indtast et inputområde.</t>
  </si>
  <si>
    <t xml:space="preserve"> - Input- og outputområder overlapper hinanden! Indtast igen.</t>
  </si>
  <si>
    <t xml:space="preserve"> - Inputområdet skal indeholde mindst ét datapunkt.</t>
  </si>
  <si>
    <t xml:space="preserve"> - Intervallet skal være numerisk.</t>
  </si>
  <si>
    <t xml:space="preserve"> - Intervallet skal være et positivt heltal.</t>
  </si>
  <si>
    <t xml:space="preserve"> - Intervallet kan ikke være større end datapunkterne.</t>
  </si>
  <si>
    <t xml:space="preserve"> - Inputområdet indeholder et ugyldigt komplekst tal. Det komplekse tal skal have formen x+yi eller x+yj</t>
  </si>
  <si>
    <t xml:space="preserve"> - Alle komplekse tal skal have samme suffiks, enten "i" eller "j".</t>
  </si>
  <si>
    <t xml:space="preserve"> - K'te-største skal være et positivt heltal større end 0 og kan ikke overstige antallet af datapunkter.</t>
  </si>
  <si>
    <t xml:space="preserve"> - K'te-mindste skal være et positivt heltal større end 0 og kan ikke overstige antallet af datapunkter.</t>
  </si>
  <si>
    <t xml:space="preserve"> - Funktionen LINREGR() returnerer en fejl. Kontroller inputområderne igen.</t>
  </si>
  <si>
    <t xml:space="preserve"> - Middelværdiforskellen skal være et positivt tal.</t>
  </si>
  <si>
    <t xml:space="preserve"> - Funktionen kræver flere argumenter.</t>
  </si>
  <si>
    <t xml:space="preserve"> - Input- og outputområder skal være på samme ark.</t>
  </si>
  <si>
    <t xml:space="preserve"> - Input- /outputområde skal være et område af sammenhængende celler.</t>
  </si>
  <si>
    <t xml:space="preserve"> - Inputområdet skal være en enkelt række eller kolonne.</t>
  </si>
  <si>
    <t xml:space="preserve"> - Inputområderne skal have samme antal datapunkter.</t>
  </si>
  <si>
    <t xml:space="preserve"> - Inputområdet skal indeholde mindst 4 datapunkter.</t>
  </si>
  <si>
    <t xml:space="preserve"> - Der kan ikke oprettes en ny projektmappe.</t>
  </si>
  <si>
    <t xml:space="preserve"> - Der kan ikke oprettes et nyt ark til output.</t>
  </si>
  <si>
    <t xml:space="preserve">  Der er ikke adgang til  hoved ATP-dialogboksen. Kontakt kundeservice for at få hjælp.</t>
  </si>
  <si>
    <t xml:space="preserve">  Der er ikke adgang til dialogboksen for den valgte procedure. Kontakt kundeservice for at få hjælp.</t>
  </si>
  <si>
    <t xml:space="preserve"> - Inputområdet indeholder ikke-numeriske data.</t>
  </si>
  <si>
    <t xml:space="preserve"> - Der skal angives en normal middelværdi, som skal være numerisk.</t>
  </si>
  <si>
    <t xml:space="preserve"> - Der skal angives en normal standardafvigelse, som skal være et tal forskelligt fra nul.</t>
  </si>
  <si>
    <t xml:space="preserve"> - Antallet af stikprøver skal være et heltal større end 0.</t>
  </si>
  <si>
    <t xml:space="preserve"> - Indtast antallet af tilfældige stikprøver.</t>
  </si>
  <si>
    <t xml:space="preserve"> - Der er problemer med at forskyde input-/outputreference.</t>
  </si>
  <si>
    <t xml:space="preserve"> - Kildearket kan ikke åbnes.</t>
  </si>
  <si>
    <t xml:space="preserve"> - Ugyldig outputindstilling.</t>
  </si>
  <si>
    <t xml:space="preserve"> - Outputområdet skal være en gyldig reference.</t>
  </si>
  <si>
    <t xml:space="preserve"> - Outputområdet mangler. Indtast et outputområde.</t>
  </si>
  <si>
    <t xml:space="preserve"> - Den estimerede outputtabel vil overskride grænserne på regnearket. Vælg en anden reference.</t>
  </si>
  <si>
    <t xml:space="preserve"> - Outputområdet vil overskrive eksisterende data. Tryk på OK for at overskrive data i området:</t>
  </si>
  <si>
    <t xml:space="preserve"> - Med de angivne værdier for nedre grænse og trin kan øvre grænse ikke nås.</t>
  </si>
  <si>
    <t xml:space="preserve"> - Der skal angives en numerisk værdi for nedre grænse.</t>
  </si>
  <si>
    <t xml:space="preserve"> - Der skal angives en værdi for trin, som skal være et tal forskelligt fra 0.</t>
  </si>
  <si>
    <t xml:space="preserve"> - Der skal angives en numerisk værdi for øvre grænse.</t>
  </si>
  <si>
    <t xml:space="preserve"> - Der skal angives en gentagelseshyppighed for værdier, som skal være et heltal større end 0.</t>
  </si>
  <si>
    <t xml:space="preserve"> - Der skal angives en gentagelseshyppighed for sekvens, som skal være et heltal større end 0.</t>
  </si>
  <si>
    <t xml:space="preserve"> - Det periodiske interval skal være et heltal større end 0.</t>
  </si>
  <si>
    <t xml:space="preserve"> - Indtast det periodiske interval til stikprøvetagning.</t>
  </si>
  <si>
    <t xml:space="preserve"> - Det periodiske interval kan ikke overstige antallet af værdier i inputområdet.</t>
  </si>
  <si>
    <t xml:space="preserve"> - Der skal angives en Poisson-lamda-værdi, som skal være et tal større end 0.</t>
  </si>
  <si>
    <t xml:space="preserve"> - Distributionstypen skal angives. Der skal indtastes et heltal mellem 1 og 7.</t>
  </si>
  <si>
    <t xml:space="preserve"> - Antallet af tilfældige tal skal være et heltal større end 0.</t>
  </si>
  <si>
    <t xml:space="preserve"> - Diskret fordeling: Der kan ikke findes en værdi, der svarer til den tilfældigt valgte sandsynlighed.</t>
  </si>
  <si>
    <t xml:space="preserve"> - Antallet af variabler skal være et heltal større end 0.</t>
  </si>
  <si>
    <t xml:space="preserve"> - Indtast mindst én statistisk indstilling.</t>
  </si>
  <si>
    <t xml:space="preserve"> - Antal rækker pr. stikprøve skal angives. Indtast antal rækker.</t>
  </si>
  <si>
    <t xml:space="preserve"> - Antal rækker pr. stikprøve skal være et heltal større end 0.</t>
  </si>
  <si>
    <t xml:space="preserve"> - Hver stikprøve skal indeholde det samme antal rækker.</t>
  </si>
  <si>
    <t xml:space="preserve"> - X-område og Y-område skal have det samme antal rækker (stikprøveværdier), uanset etiketter.</t>
  </si>
  <si>
    <t xml:space="preserve"> - Ugyldig stikprøvemetode. Indtast "P" for periodisk stikprøve eller "T" for tilfældig stikprøve.</t>
  </si>
  <si>
    <t xml:space="preserve"> - Der skal angives en stikprøvemetode. Indtast stikprøvemetode.</t>
  </si>
  <si>
    <t xml:space="preserve"> - Basistallet skal være et heltal mellem  1 .. 32767.</t>
  </si>
  <si>
    <t xml:space="preserve"> - Et beskyttet ark kan ikke redigeres.</t>
  </si>
  <si>
    <t xml:space="preserve"> - Der kræves jævne grænser, som skal være numeriske.</t>
  </si>
  <si>
    <t xml:space="preserve"> - BEGGE variabelområder skal være rækker eller kolonner.</t>
  </si>
  <si>
    <t xml:space="preserve"> - Variabelområderne skal have samme antal datapunkter.</t>
  </si>
  <si>
    <t xml:space="preserve"> - Variabelområderne skal have mindst to datapunkter.</t>
  </si>
  <si>
    <t xml:space="preserve"> - Området for variabel 1 skal være en sammenhængende reference.</t>
  </si>
  <si>
    <t xml:space="preserve"> - Området for variabel 1 mangler. Indtast området.</t>
  </si>
  <si>
    <t xml:space="preserve"> - Variabelområde 1 og 2 kan ikke overlappe hinanden.</t>
  </si>
  <si>
    <t xml:space="preserve"> - Området for variabel 1 og outputområde kan ikke overlappe hinanden</t>
  </si>
  <si>
    <t xml:space="preserve"> - Området for variabel 2 skal være en sammenhængende reference.</t>
  </si>
  <si>
    <t xml:space="preserve"> - Området for variabel 2 mangler. Indtast området.</t>
  </si>
  <si>
    <t xml:space="preserve"> - Området for variabel 2 og outputområde kan ikke overlappe hinanden</t>
  </si>
  <si>
    <t xml:space="preserve"> - Tilfældig fordelingstype skal være et tal mellem 1 og 7.</t>
  </si>
  <si>
    <t xml:space="preserve"> - X-område og outputområde vil overlappe hinanden. Vælg et andet outputområde.</t>
  </si>
  <si>
    <t xml:space="preserve"> - Inputområde til  X skal være en sammenhængende reference.</t>
  </si>
  <si>
    <t xml:space="preserve"> - Inputområde til  X mangler. Indtast område.</t>
  </si>
  <si>
    <t xml:space="preserve"> - Antallet af rækker og kolonner i X-området kan ikke være ens.</t>
  </si>
  <si>
    <t xml:space="preserve"> - X-område og Y-område kan ikke overlappe hinanden.</t>
  </si>
  <si>
    <t xml:space="preserve"> - Y-område og outputområde vil overlappe hinanden. Vælg et andet outputområde.</t>
  </si>
  <si>
    <t xml:space="preserve"> - Inputområde til Y skal være en sammenhængende reference.</t>
  </si>
  <si>
    <t xml:space="preserve"> - Inputområde til Y mangler. Indtast område.</t>
  </si>
  <si>
    <t xml:space="preserve"> - Varians 1 skal være et tal større end 0.</t>
  </si>
  <si>
    <t xml:space="preserve"> - Varians 2 skal være et tal større end 0.</t>
  </si>
  <si>
    <t>- Der er ikke adgang til projektmappen ActiveX-kontrolelementer. Kontakt kundeservice for hjælp.</t>
  </si>
  <si>
    <t>- Et diagram kan ikke føjes til en delt projektmappe. Vil du fortsætte med at oprette outputtabellen?</t>
  </si>
  <si>
    <t>Analyse-Funktionen</t>
  </si>
  <si>
    <t>Anova: Einfaktorielle Varianzanalyse</t>
  </si>
  <si>
    <t>Populationskenngrößen</t>
  </si>
  <si>
    <t>Exponentielles Glätten</t>
  </si>
  <si>
    <t>Zwei-Stichproben F-Test</t>
  </si>
  <si>
    <t>Stichprobenziehung</t>
  </si>
  <si>
    <t>Zufallszahlengenerierung</t>
  </si>
  <si>
    <t>Abbrechen</t>
  </si>
  <si>
    <t>&amp;Analyse-Funktionen</t>
  </si>
  <si>
    <t>Eingabe</t>
  </si>
  <si>
    <t>Ausgabe</t>
  </si>
  <si>
    <t>Anzahl &amp;der Variablen:</t>
  </si>
  <si>
    <t>&amp;Eingabebereich:</t>
  </si>
  <si>
    <t>&amp;Y-Eingabebereich:</t>
  </si>
  <si>
    <t>B&amp;ereich Variable A:</t>
  </si>
  <si>
    <t>Anzahl der &amp;Zufallszahlen:</t>
  </si>
  <si>
    <t>Geordnet nach:</t>
  </si>
  <si>
    <t>&amp;X-Eingabebereich:</t>
  </si>
  <si>
    <t>&amp;Glättungsparameter:</t>
  </si>
  <si>
    <t>Bereich &amp;Variable B:</t>
  </si>
  <si>
    <t>&amp;Beschriftungen</t>
  </si>
  <si>
    <t>&amp;Neues Tabellenblatt:</t>
  </si>
  <si>
    <t>Stichprobenverfahren</t>
  </si>
  <si>
    <t>&amp;Verteilung:</t>
  </si>
  <si>
    <t>&amp;Beschriftungen in erster Spalte</t>
  </si>
  <si>
    <t>&amp;Spalten</t>
  </si>
  <si>
    <t>Neue Arbeits&amp;mappe</t>
  </si>
  <si>
    <t>&amp;Beschriftungen in erster Zeile</t>
  </si>
  <si>
    <t>&amp;Zeilen</t>
  </si>
  <si>
    <t>&amp;Konstante ist Null</t>
  </si>
  <si>
    <t>&amp;Periodisch</t>
  </si>
  <si>
    <t>Parameter</t>
  </si>
  <si>
    <t>K&amp;onfidenzniveau:</t>
  </si>
  <si>
    <t>&amp;Zufällig</t>
  </si>
  <si>
    <t>A&amp;usgabebereich:</t>
  </si>
  <si>
    <t>Datum &amp; Zeit</t>
  </si>
  <si>
    <t>Stichprobenanzahl:</t>
  </si>
  <si>
    <t>Math. &amp; Trigonom.</t>
  </si>
  <si>
    <t>Statistik</t>
  </si>
  <si>
    <t>Finanzmathematik</t>
  </si>
  <si>
    <t>&amp;Diagrammdarstellung</t>
  </si>
  <si>
    <t>Technisch</t>
  </si>
  <si>
    <t>&amp;Standardfehler</t>
  </si>
  <si>
    <t>Datenanalyse</t>
  </si>
  <si>
    <t>S&amp;tatistische Kenngrößen</t>
  </si>
  <si>
    <t>K&amp;onfidenzniveau für Mittelwert:</t>
  </si>
  <si>
    <t>Residuen</t>
  </si>
  <si>
    <t>&amp;Werte und Wahrscheinlichkeiten-Eingabebereich:</t>
  </si>
  <si>
    <t>Anova: Zweifaktorielle Varianzanalyse mit Messwiederholung</t>
  </si>
  <si>
    <t>&amp;Residuen</t>
  </si>
  <si>
    <t>Kovarianz</t>
  </si>
  <si>
    <t>Anova: Zweifaktorielle Varianzanalyse ohne Messwiederholung</t>
  </si>
  <si>
    <t>S&amp;tandardisierte Residuen</t>
  </si>
  <si>
    <t>k-größter &amp;Wert:</t>
  </si>
  <si>
    <t>&amp;Ausgangswert:</t>
  </si>
  <si>
    <t>ZUSAMMENFASSUNG</t>
  </si>
  <si>
    <t>Resi&amp;duenplots</t>
  </si>
  <si>
    <t>Zweistichproben t-Test bei abhängigen Stichproben</t>
  </si>
  <si>
    <t>Gruppen</t>
  </si>
  <si>
    <t>Kur&amp;venanpassung</t>
  </si>
  <si>
    <t>&amp;k-kleinster Wert:</t>
  </si>
  <si>
    <t>Anzahl</t>
  </si>
  <si>
    <t>Normalverteilte Wahrscheinlichkeit</t>
  </si>
  <si>
    <t>Summe</t>
  </si>
  <si>
    <t>&amp;Quantilsplot</t>
  </si>
  <si>
    <t>Mittelwert</t>
  </si>
  <si>
    <t>Varianz</t>
  </si>
  <si>
    <t>Streuungsursache</t>
  </si>
  <si>
    <t>&amp;Zeilen je Stichprobe:</t>
  </si>
  <si>
    <t>Quadratsummen (SS)</t>
  </si>
  <si>
    <t>Hyp&amp;othetische Differenz der Mittelwerte:</t>
  </si>
  <si>
    <t>Freiheitsgrade (df)</t>
  </si>
  <si>
    <t>Mittlere Quadratsumme (MS)</t>
  </si>
  <si>
    <t>Prüfgröße (F)</t>
  </si>
  <si>
    <t>P-Wert</t>
  </si>
  <si>
    <t>kritischer F-Wert</t>
  </si>
  <si>
    <t>Gesamt</t>
  </si>
  <si>
    <t>Unterschiede zwischen den Gruppen</t>
  </si>
  <si>
    <t>Innerhalb der Gruppen</t>
  </si>
  <si>
    <t>Stichprobe</t>
  </si>
  <si>
    <t>Spalte</t>
  </si>
  <si>
    <t>Wechselwirkung</t>
  </si>
  <si>
    <t>Rang und Quantil</t>
  </si>
  <si>
    <t>Z&amp;wischen</t>
  </si>
  <si>
    <t>Fehler</t>
  </si>
  <si>
    <t>Zeilen</t>
  </si>
  <si>
    <t>un&amp;d</t>
  </si>
  <si>
    <t>Spalten</t>
  </si>
  <si>
    <t>Zufallsfehler</t>
  </si>
  <si>
    <t>Deskriptive Statistik</t>
  </si>
  <si>
    <t>Zweistichproben t-Test: Gleicher Varianzen</t>
  </si>
  <si>
    <t>V&amp;on</t>
  </si>
  <si>
    <t>Standardfehler</t>
  </si>
  <si>
    <t>&amp;bis</t>
  </si>
  <si>
    <t>Standardabweichung</t>
  </si>
  <si>
    <t>Sch&amp;rittlänge:</t>
  </si>
  <si>
    <t>Stichprobenvarianz</t>
  </si>
  <si>
    <t>&amp;Jede Zahl</t>
  </si>
  <si>
    <t>Schiefe</t>
  </si>
  <si>
    <t>Wertebereich</t>
  </si>
  <si>
    <t>mal wiederholen</t>
  </si>
  <si>
    <t>Jede &amp;Folge</t>
  </si>
  <si>
    <t>k-größter Wert</t>
  </si>
  <si>
    <t>k-kleinster Wert</t>
  </si>
  <si>
    <t>Konfidenzniveau</t>
  </si>
  <si>
    <t>Gleitender Durchschnitt</t>
  </si>
  <si>
    <t>Fourieranalyse</t>
  </si>
  <si>
    <t>Aktuell</t>
  </si>
  <si>
    <t>Datenpunkt</t>
  </si>
  <si>
    <t>Wert</t>
  </si>
  <si>
    <t>Histogramm</t>
  </si>
  <si>
    <t>M&amp;ittelwert =</t>
  </si>
  <si>
    <t>Klasse</t>
  </si>
  <si>
    <t>Häufigkeit</t>
  </si>
  <si>
    <t>&amp;Standardabweichung =</t>
  </si>
  <si>
    <t>Kumuliert %</t>
  </si>
  <si>
    <t>Zweistichproben t-Test: Unterschiedlicher Varianzen</t>
  </si>
  <si>
    <t>und größer</t>
  </si>
  <si>
    <t>&amp;Intervall:</t>
  </si>
  <si>
    <t>Zweistichproben t-Test unter der Annahme gleicher Varianzen</t>
  </si>
  <si>
    <t>Zweistichproben t-Test bei abhängigen Stichproben (Paarvergleichstest)</t>
  </si>
  <si>
    <t>Zweistichproben t-Test unter der Annahme unterschiedlicher Varianzen</t>
  </si>
  <si>
    <t>&amp;Inverse Transformation</t>
  </si>
  <si>
    <t>Beobachtungen</t>
  </si>
  <si>
    <t>P(F&lt;=f) einseitig</t>
  </si>
  <si>
    <t>Kritischer F-Wert bei einseitigem Test</t>
  </si>
  <si>
    <t>Hypothetische Differenz der Mittelwerte</t>
  </si>
  <si>
    <t>Gepoolte Varianz</t>
  </si>
  <si>
    <t>Pearson Korrelation</t>
  </si>
  <si>
    <t>P(T&lt;=t) einseitig</t>
  </si>
  <si>
    <t>p-&amp;Wert =</t>
  </si>
  <si>
    <t>P(T&lt;=t) zweiseitig</t>
  </si>
  <si>
    <t>t-Statistik</t>
  </si>
  <si>
    <t>Kritischer t-Wert bei einseitigem t-Test</t>
  </si>
  <si>
    <t>Kritischer t-Wert bei zweiseitigem t-Test</t>
  </si>
  <si>
    <t>&amp;Klassenbereich:</t>
  </si>
  <si>
    <t>Zweistichproben-Test bei bekannten Varianzen, Gausstest</t>
  </si>
  <si>
    <t>Bekannte Varianz</t>
  </si>
  <si>
    <t>P(Z&lt;=z) einseitig</t>
  </si>
  <si>
    <t>Kritischer z-Wert bei einseitigem Test</t>
  </si>
  <si>
    <t>P(Z&lt;=z) zweiseitig</t>
  </si>
  <si>
    <t>Zweistichproben-Test bei bekannten Varianzen</t>
  </si>
  <si>
    <t>Zahl der V&amp;ersuche =</t>
  </si>
  <si>
    <t>Kritischer z-Wert bei zweiseitigem Test</t>
  </si>
  <si>
    <t>&amp;Pareto (sortiertes Histogramm)</t>
  </si>
  <si>
    <t>Prozent</t>
  </si>
  <si>
    <t>Kumu&amp;lierte Häufigkeit</t>
  </si>
  <si>
    <t>Zeile</t>
  </si>
  <si>
    <t>Gleichverteilt</t>
  </si>
  <si>
    <t>Standard</t>
  </si>
  <si>
    <t>Varian&amp;z für Variable A (bekannt):</t>
  </si>
  <si>
    <t>Va&amp;rianz für Variable B (bekannt):</t>
  </si>
  <si>
    <t>Schematisch</t>
  </si>
  <si>
    <t>Diskrete</t>
  </si>
  <si>
    <t>AUSGABE: RESIDUENPLOT</t>
  </si>
  <si>
    <t>Beobachtung</t>
  </si>
  <si>
    <t>Schätzung für</t>
  </si>
  <si>
    <t>Schätzung für Y</t>
  </si>
  <si>
    <t>Standardisierte Residuen</t>
  </si>
  <si>
    <t>AUSGABE: QUANTILSPLOT</t>
  </si>
  <si>
    <t>Quantil</t>
  </si>
  <si>
    <t>AUSGABE: ZUSAMMENFASSUNG</t>
  </si>
  <si>
    <t>Regressions-Statistik</t>
  </si>
  <si>
    <t>Multipler Korrelationskoeffizient</t>
  </si>
  <si>
    <t>Bestimmtheitsmaß</t>
  </si>
  <si>
    <t>Adjustiertes Bestimmtheitsmaß</t>
  </si>
  <si>
    <t>Residue</t>
  </si>
  <si>
    <t>Schnittpunkt</t>
  </si>
  <si>
    <t>Untere</t>
  </si>
  <si>
    <t>Untere 95%</t>
  </si>
  <si>
    <t>Obere</t>
  </si>
  <si>
    <t>Obere 95%</t>
  </si>
  <si>
    <t>Koeffizienten</t>
  </si>
  <si>
    <t>Residuenplot</t>
  </si>
  <si>
    <t>Kurvenanpassung</t>
  </si>
  <si>
    <t>Quantilsplot</t>
  </si>
  <si>
    <t>Stichproben-Quantile</t>
  </si>
  <si>
    <t>Berechnet</t>
  </si>
  <si>
    <t>FALSCH</t>
  </si>
  <si>
    <t>WAHR</t>
  </si>
  <si>
    <t xml:space="preserve"> - Nicht genügend Speicher für Berechung verfügbar. Versuchen Sie es noch einmal.</t>
  </si>
  <si>
    <t xml:space="preserve"> - Alpha muss eine Zahl im Bereich 0 .. 1 sein.</t>
  </si>
  <si>
    <t xml:space="preserve"> - Die Bernoulli-Wahrscheinlichkeit ist erforderlich und muss eine Zahl im Bereich 0 .. 1 sein.</t>
  </si>
  <si>
    <t xml:space="preserve"> - Die Binomial-Wahrscheinlichkeit ist erforderlich und muss eine Zahl im Bereich 0 .. 1 sein.</t>
  </si>
  <si>
    <t xml:space="preserve"> - Die Anzahl der Versuche ist erforderlich und muss eine ganze Zahl größer 0 sein.</t>
  </si>
  <si>
    <t xml:space="preserve"> - Klassenbereich darf nicht leer sein.</t>
  </si>
  <si>
    <t xml:space="preserve"> - Klassenbereich ist optional. Falls angegeben, muss Klassenbereich ein Bezug sein.</t>
  </si>
  <si>
    <t xml:space="preserve"> - Klassenbereich darf keine nichtnumerischen Werte enthalten.</t>
  </si>
  <si>
    <t xml:space="preserve"> - Klassenbereich und Eingabebereich überlappen.</t>
  </si>
  <si>
    <t xml:space="preserve"> - Klassenbereich und Ausgabebereich überlappen.</t>
  </si>
  <si>
    <t xml:space="preserve"> - Kann kein Diagramm für leere Klassen zeichnen.</t>
  </si>
  <si>
    <t xml:space="preserve"> - Diagrammdarstellung muss ein Wahrheitswert sein.</t>
  </si>
  <si>
    <t xml:space="preserve"> - Konstante muss ein Wahrheitswert sein.</t>
  </si>
  <si>
    <t xml:space="preserve"> - Kumulierte Häufigkeit muss ein Wahrheitswert sein.</t>
  </si>
  <si>
    <t xml:space="preserve"> - Inverse Transformation muss ein Wahrheitswert sein.</t>
  </si>
  <si>
    <t xml:space="preserve"> - Kurvenanpassung muss ein Wahrheitswert sein.</t>
  </si>
  <si>
    <t xml:space="preserve"> - Eingabe für Beschriftungen muss ein Wahrheitswert sein.</t>
  </si>
  <si>
    <t xml:space="preserve"> - Pareto muss ein Wahrheitswert sein.</t>
  </si>
  <si>
    <t xml:space="preserve"> - Quantilsplot muss ein Wahrheitswert sein.</t>
  </si>
  <si>
    <t xml:space="preserve"> - Residuenplots muss ein Wahrheitswert sein.</t>
  </si>
  <si>
    <t xml:space="preserve"> - Residuen muss ein Wahrheitswert sein.</t>
  </si>
  <si>
    <t xml:space="preserve"> - Standardfehler muss ein Wahrheitswert sein.</t>
  </si>
  <si>
    <t xml:space="preserve"> - Standardisierte Residuen muss ein Wahrheitswert sein.</t>
  </si>
  <si>
    <t xml:space="preserve"> - Statistische Kenngrößen muss ein Wahrheitswert sein.</t>
  </si>
  <si>
    <t xml:space="preserve"> - Eingabe-/Ausgabebereich kann nicht in einen gültigen Bezug umgewandelt werden!</t>
  </si>
  <si>
    <t xml:space="preserve"> - Kann keinen relativen Bezug zwischen Bereichen erstellen.</t>
  </si>
  <si>
    <t xml:space="preserve"> - Daten werden von eingebetteten Diagrammen verdeckt.</t>
  </si>
  <si>
    <t xml:space="preserve"> - Diagramm kann nicht erstellt werden, da der zugehörige Bezug den Rand des Tabellenblatts überschreitet.</t>
  </si>
  <si>
    <t xml:space="preserve"> - Sind Sie sicher, dass Sie den Vorgang abbrechen möchten?</t>
  </si>
  <si>
    <t xml:space="preserve"> - Konfidenz muss eine Zahl zwischen 0 und 100 sein.</t>
  </si>
  <si>
    <t xml:space="preserve"> - Eingabebereich kann nicht in Werte und Wahrscheinlichkeiten umgesetzt werden. Versuchen Sie es noch einmal.</t>
  </si>
  <si>
    <t xml:space="preserve"> - Glättungsparameter muss numerisch sein.</t>
  </si>
  <si>
    <t xml:space="preserve"> - Glättungsparameter muss positiv sein.</t>
  </si>
  <si>
    <t xml:space="preserve"> - Die Spalte mit den diskreten Wahrscheinlichkeiten muss in der Summe 1 ergeben.</t>
  </si>
  <si>
    <t xml:space="preserve"> - Geben Sie einen zweispaltigen Bereich für Wert und Wahrscheinlichkeiten-Eingabebereich ein.</t>
  </si>
  <si>
    <t xml:space="preserve"> - Geben Sie einen Eingabebereich ein, der aus mehr als einem Wert und einer Wahrscheinlichkeit besteht.</t>
  </si>
  <si>
    <t xml:space="preserve"> - Diskreter Wert und Wahrscheinlichkeitenbereiche dürfen nur numerische Daten beinhalten und müssen die gleiche Anzahl von Daten besitzen.</t>
  </si>
  <si>
    <t xml:space="preserve"> - Diskreter Wert und Wahrscheinlichkeitenbereich können nicht mit Ausgabebereich überlappen.</t>
  </si>
  <si>
    <t xml:space="preserve"> - Der Eingabebereich muss mindestens 5 Datenpunkte enthalten, wenn Standardfehler überprüft werden.</t>
  </si>
  <si>
    <t xml:space="preserve"> - Zu viele Argumente wurden eingegeben. Überprüfen Sie die Syntax für ZUFALLSVARIABLE().</t>
  </si>
  <si>
    <t xml:space="preserve"> - X-Eingabebereich kann nicht mehr als 16 Variablen (Spalten) enthalten.</t>
  </si>
  <si>
    <t xml:space="preserve"> - Die Anzahl der Eingabewerte muss eine gerade Potenz von 2 sein. Zum Beispiel: 2, 4, 8, 16,  32, 64, 128, ...</t>
  </si>
  <si>
    <t xml:space="preserve"> - Die Anzahl der Eingabewerte muss kleiner oder gleich 4096 sein.</t>
  </si>
  <si>
    <t xml:space="preserve"> - Um anzugeben, wie die Datengruppen aufgeteilt sind, verwenden Sie "C" für Spalten und "R" für Zeilen.</t>
  </si>
  <si>
    <t xml:space="preserve"> - Eingabebereich muss mindestens zwei Datensätze beinhalten, die in Spalten und Zeilen aufgebaut sind.</t>
  </si>
  <si>
    <t xml:space="preserve"> - Eingabebereich muss ein zusammenhängender Bezug sein.</t>
  </si>
  <si>
    <t xml:space="preserve"> - Sie müssen einen Eingabebereich eingeben.</t>
  </si>
  <si>
    <t xml:space="preserve"> - Eingabe- und Ausgabebereiche überlappen! Geben Sie sie erneut ein.</t>
  </si>
  <si>
    <t xml:space="preserve"> - Eingabebereich muss mindestens einen Datenpunkt beinhalten.</t>
  </si>
  <si>
    <t xml:space="preserve"> - Intervall muss numerisch sein.</t>
  </si>
  <si>
    <t xml:space="preserve"> - Intervall muss eine positive ganze Zahl sein.</t>
  </si>
  <si>
    <t xml:space="preserve"> - Intervall kann nicht größer als die Datenpunkte sein.</t>
  </si>
  <si>
    <t xml:space="preserve"> - Eingabebereich beinhaltet eine ungültige komplexe Zahl. Komplexe Zahlen müssen die Form x+yi oder x+yj haben.</t>
  </si>
  <si>
    <t xml:space="preserve"> - Alle komplexen Zahlen müssen die gleiche Endung haben, entweder "i" oder "j".</t>
  </si>
  <si>
    <t xml:space="preserve"> - Der k-größte Wert muss eine ganze Zahl größer als Null sein und kann nicht größer sein als die Anzahl der Datenpunkte.</t>
  </si>
  <si>
    <t xml:space="preserve"> - Der k-kleinste Wert muss eine ganze Zahl größer als Null sein und kann nicht größer sein als die Anzahl der Datenpunkte.</t>
  </si>
  <si>
    <t xml:space="preserve"> - Die Funktion RGP() liefert einen Fehlerwert. Überprüfen Sie die Eingabebereiche.</t>
  </si>
  <si>
    <t xml:space="preserve"> - Die Differenz der Mittelwerte muss positiv sein.</t>
  </si>
  <si>
    <t xml:space="preserve"> - Die Funktion benötigt mehr Argumente.</t>
  </si>
  <si>
    <t xml:space="preserve"> - Eingabe- und Ausgabebereiche müssen auf dem gleichen Blatt sein.</t>
  </si>
  <si>
    <t xml:space="preserve"> - Eingabe-/Ausgabebereich muss ein Bereich zusammenhängender Zellen sein.</t>
  </si>
  <si>
    <t xml:space="preserve"> - Eingabebereich muss eine einzelne Zeile oder Spalte sein.</t>
  </si>
  <si>
    <t xml:space="preserve"> - Eingabebereiche müssen die gleiche Anzahl von Datenpunkten haben.</t>
  </si>
  <si>
    <t xml:space="preserve"> - Eingabebereich muss mindestens 4 Datenpunkte beinhalten.</t>
  </si>
  <si>
    <t xml:space="preserve"> - Kann neue Arbeitsmappe nicht erstellen.</t>
  </si>
  <si>
    <t xml:space="preserve"> - Kann ein neues Blatt für die Ausgabe nicht erstellen.</t>
  </si>
  <si>
    <t>Kann auf das Ausgangsdialogfeld der Analyse-Funktionen nicht zugreifen. Bitte wenden Sie sich an den Microsoft Software Service.</t>
  </si>
  <si>
    <t>Auf das Dialogfeld einiger Prozeduren kann nicht zugegriffen werden. Bitte wenden Sie sich an den Microsoft Software Service.</t>
  </si>
  <si>
    <t xml:space="preserve"> - Eingabebereich beinhaltet nichtnumerische Daten.</t>
  </si>
  <si>
    <t xml:space="preserve"> - Ein Mittelwert ist erforderlich und muss numerisch sein.</t>
  </si>
  <si>
    <t xml:space="preserve"> - Eine Standardabweichung ist erforderlich und kann nicht Null sein.</t>
  </si>
  <si>
    <t xml:space="preserve"> - Stichprobenanzahl muss eine ganze Zahl größer als Null sein.</t>
  </si>
  <si>
    <t xml:space="preserve"> - Geben Sie die Stichprobenanzahl ein.</t>
  </si>
  <si>
    <t xml:space="preserve"> - Kann zu Eingabe-/Ausgabebereich nicht schreiben.</t>
  </si>
  <si>
    <t xml:space="preserve"> - Kann Quellblatt nicht öffnen.</t>
  </si>
  <si>
    <t xml:space="preserve"> - Ausgabeoption ist ungültig.</t>
  </si>
  <si>
    <t xml:space="preserve"> - Ausgabebereich muss ein gültiger Bezug sein.</t>
  </si>
  <si>
    <t xml:space="preserve"> - Geben Sie einen Ausgabebereich ein.</t>
  </si>
  <si>
    <t xml:space="preserve"> - Der erwartete Ausgabebereich überschreitet den Rand des Tabellenblatts. Wählen Sie einen anderen Bezug.</t>
  </si>
  <si>
    <t xml:space="preserve"> - Ausgabebereich wird Daten überschreiben. Wählen Sie OK, um Daten zu überschreiben. Bereich:</t>
  </si>
  <si>
    <t xml:space="preserve"> - Die schematische Verteilung kann den Bis-Wert nicht erreichen. Wählen Sie eine passende Schrittlänge.</t>
  </si>
  <si>
    <t xml:space="preserve"> - Der Von-Wert der schematischen Verteilung ist erforderlich und muss numerisch sein.</t>
  </si>
  <si>
    <t xml:space="preserve"> - Die Schrittlänge der schematischen Verteilung ist erforderlich und muss eine Zahl ungleich 0 sein.</t>
  </si>
  <si>
    <t xml:space="preserve"> - Der Bis-Wert der schematischen Verteilung ist erforderlich und muss numerisch sein.</t>
  </si>
  <si>
    <t xml:space="preserve"> - Die Anzahl der Wiederholungen bei der schematischen Verteilung ist erforderlich und muss eine ganze Zahl größer als 0 sein.</t>
  </si>
  <si>
    <t xml:space="preserve"> - Das periodische Intervall muss eine ganze Zahl größer als Null sein.</t>
  </si>
  <si>
    <t xml:space="preserve"> - Geben Sie ein periodisches Intervall für die Stichprobenziehung ein.</t>
  </si>
  <si>
    <t xml:space="preserve"> - Das periodische Intervall kann nicht größer sein als die Anzahl der Werte im Eingabebereich.</t>
  </si>
  <si>
    <t xml:space="preserve"> - Poisson-Lambda ist erforderlich und muss eine Zahl größer als Null sein.</t>
  </si>
  <si>
    <t xml:space="preserve"> - Verteilungstyp ist erforderlich. Eingabe muss eine ganze Zahl zwischen 1 und 7 sein.</t>
  </si>
  <si>
    <t xml:space="preserve"> - Anzahl der Zufallszahlen muss eine ganze Zahl größer als Null sein.</t>
  </si>
  <si>
    <t xml:space="preserve"> - Diskrete Verteilung: Kein passender Wert für zufällig ausgewählte Wahrscheinlichkeit vorhanden.</t>
  </si>
  <si>
    <t xml:space="preserve"> - Anzahl der Variablen muss eine ganze Zahl größer als Null sein.</t>
  </si>
  <si>
    <t xml:space="preserve"> - Wählen Sie mindestens eine statistische Option.</t>
  </si>
  <si>
    <t xml:space="preserve"> - Geben Sie eine Eingabe für Zeilen je Stichprobe ein.</t>
  </si>
  <si>
    <t xml:space="preserve"> - Zeilen je Stichprobe muss eine ganze Zahl größer als Null sein.</t>
  </si>
  <si>
    <t xml:space="preserve"> - Alle Stichproben müssen die gleiche Anzahl von Zeilen beinhalten.</t>
  </si>
  <si>
    <t xml:space="preserve"> - X- und Y-Eingabebereich müssen unabhängig von den Beschriftungen die gleiche Anzahl Zeilen besitzen (Beispielwerte).</t>
  </si>
  <si>
    <t xml:space="preserve"> - Stichprobenverfahren ist ungültig. Geben Sie "P" für Periodisch oder "R" für Zufällig ein.</t>
  </si>
  <si>
    <t xml:space="preserve"> - Geben Sie ein Stichprobenverfahren ein.</t>
  </si>
  <si>
    <t xml:space="preserve"> - Ausgangswert muss eine ganze Zahl zwischen 1 .. 32767 sein.</t>
  </si>
  <si>
    <t xml:space="preserve"> - Ausgabebereich ist auf einem geschützten Blatt. Kann nicht zu einem geschützten Blatt schreiben.</t>
  </si>
  <si>
    <t xml:space="preserve"> - Parameter sind erforderlich und müssen numerisch sein.</t>
  </si>
  <si>
    <t xml:space="preserve"> - Beide Variablenbereiche müssen entweder Zeilen oder Spalten sein.</t>
  </si>
  <si>
    <t xml:space="preserve"> - Beide Variablenbereiche müssen die gleiche Anzahl Werte besitzen.</t>
  </si>
  <si>
    <t xml:space="preserve"> - Beide Variablenbereiche müssen mindestens jeweils zwei Werte umfassen.</t>
  </si>
  <si>
    <t xml:space="preserve"> - Bereich Variable A muss ein zusammenhängender Bezug sein.</t>
  </si>
  <si>
    <t xml:space="preserve"> - Geben Sie einen Bezug für Bereich Variable A ein.</t>
  </si>
  <si>
    <t xml:space="preserve"> - Bereich Variable A und Bereich Variable B können nicht überlappen.</t>
  </si>
  <si>
    <t xml:space="preserve"> - Bereich Variable A und Ausgabebereich können nicht überlappen.</t>
  </si>
  <si>
    <t xml:space="preserve"> - Bereich Variable B muss ein zusammenhängender Bezug sein.</t>
  </si>
  <si>
    <t xml:space="preserve"> - Geben Sie einen Bezug für Bereich Variable B ein.</t>
  </si>
  <si>
    <t xml:space="preserve"> - Bereich Variable B und Ausgabebereich können nicht überlappen.</t>
  </si>
  <si>
    <t xml:space="preserve"> - Verteilungstyp muss eine Zahl zwischen 1 und 7 sein.</t>
  </si>
  <si>
    <t xml:space="preserve"> - X-Eingabebereich und Ausgabebereich überlappen. Geben Sie einen neuen Ausgabebereich ein.</t>
  </si>
  <si>
    <t xml:space="preserve"> - X-Eingabebereich muss ein zusammenhängender Bezug sein.</t>
  </si>
  <si>
    <t xml:space="preserve"> - Geben Sie einen Bezug für den X-Eingabebereich ein.</t>
  </si>
  <si>
    <t xml:space="preserve"> - Die Anzahl von Zeilen und Spalten des X-Eingabebereichs kann nicht gleich sein.</t>
  </si>
  <si>
    <t xml:space="preserve"> - X- und Y-Eingabebereiche können nicht überlappen.</t>
  </si>
  <si>
    <t xml:space="preserve"> - Y-Eingabebereich und Ausgabebereich überlappen. Geben Sie einen neuen Ausgabebereich ein.</t>
  </si>
  <si>
    <t xml:space="preserve"> - Y-Eingabebereich muss ein zusammenhängender Bezug sein.</t>
  </si>
  <si>
    <t xml:space="preserve"> - Geben Sie einen Bezug für den Y-Eingabebereich ein.</t>
  </si>
  <si>
    <t xml:space="preserve"> - Varianz für Variable A muss eine Zahl größer als Null sein.</t>
  </si>
  <si>
    <t xml:space="preserve"> - Varianz für Variable B muss eine Zahl größer als Null sein.</t>
  </si>
  <si>
    <t xml:space="preserve"> - Kann auf ActiveX-Hilfsmittel der Arbeitsmappe nicht zugreifen.</t>
  </si>
  <si>
    <t xml:space="preserve"> - Diagramm kann zur freigegebenen Arbeitsmappe nicht hinzugefügt werden. Soll mit der Erstellung der Ausgabetabelle fortgefahren werden?</t>
  </si>
  <si>
    <t>Ανάλυση δεδομένων</t>
  </si>
  <si>
    <t>Ανάλυση διακύμανσης κατά ένα παράγοντα</t>
  </si>
  <si>
    <t>Παλινδρόμηση</t>
  </si>
  <si>
    <t>Συσχέτιση</t>
  </si>
  <si>
    <t>Περιγραφικά στατιστικά στοιχεία</t>
  </si>
  <si>
    <t>Εκθετική εξομάλυνση</t>
  </si>
  <si>
    <t>Έλεγχος F των διακυμάνσεων δύο δειγμάτων</t>
  </si>
  <si>
    <t>Δειγματοληψία</t>
  </si>
  <si>
    <t>Γεννήτρια τυχαίων αριθμών</t>
  </si>
  <si>
    <t>Άκυρο</t>
  </si>
  <si>
    <t>&amp;Εργαλεία ανάλυσης</t>
  </si>
  <si>
    <t>Είσοδος</t>
  </si>
  <si>
    <t>Επιλογές εξόδου</t>
  </si>
  <si>
    <t>Πλήθος &amp;μεταβλητών:</t>
  </si>
  <si>
    <t>&amp;Περιοχή εισόδου:</t>
  </si>
  <si>
    <t>Περιοχή εισόδου &amp;Υ:</t>
  </si>
  <si>
    <t>Περιοχή μεταβλητής &amp;1:</t>
  </si>
  <si>
    <t>&amp;Αντικατάσταση δεδομένων στην περιοχή:</t>
  </si>
  <si>
    <t>Πλήθος &amp;τυχαίων αριθμών:</t>
  </si>
  <si>
    <t>Ομαδοποίηση κατά:</t>
  </si>
  <si>
    <t>Περιοχή εισόδου &amp;Χ:</t>
  </si>
  <si>
    <t>Εγγραφή στη νέα &amp;περιοχή:</t>
  </si>
  <si>
    <t>Συντελεστής &amp;απόσβεσης:</t>
  </si>
  <si>
    <t>Περιοχή μεταβλητής &amp;2:</t>
  </si>
  <si>
    <t>&amp;Ετικέτες</t>
  </si>
  <si>
    <t>Νέο &amp;φύλλο:</t>
  </si>
  <si>
    <t>Μέθοδος δειγματοληψίας</t>
  </si>
  <si>
    <t>Κατα&amp;νομή:</t>
  </si>
  <si>
    <t>&amp;Ετικέτες στην πρώτη στήλη</t>
  </si>
  <si>
    <t>Στή&amp;λες</t>
  </si>
  <si>
    <t>Νέο βιβλίο εργα&amp;σίας</t>
  </si>
  <si>
    <t>&amp;Ετικέτες στην πρώτη γραμμή</t>
  </si>
  <si>
    <t>&amp;Γραμμές</t>
  </si>
  <si>
    <t>Ο σταθερός όρος είναι &amp;μηδέν</t>
  </si>
  <si>
    <t>Εγγραφή πληροφοριών σε μη κενά κελιά: τα δεδομένα ίσως χαθούν!</t>
  </si>
  <si>
    <t>Άλφ&amp;α:</t>
  </si>
  <si>
    <t>Πε&amp;ριοδική</t>
  </si>
  <si>
    <t>Παράμετροι</t>
  </si>
  <si>
    <t>Βα&amp;θμός εμπιστοσύνης</t>
  </si>
  <si>
    <t>&amp;Τυχαία</t>
  </si>
  <si>
    <t>Περιοχή ε&amp;ξόδου:</t>
  </si>
  <si>
    <t>Περίοδος:</t>
  </si>
  <si>
    <t>Ημερομηνία &amp; Ώρα</t>
  </si>
  <si>
    <t>Πληροφορίες</t>
  </si>
  <si>
    <t>Βοήθεια</t>
  </si>
  <si>
    <t>Μέγεθος δείγματος:</t>
  </si>
  <si>
    <t>Μαθηματικές &amp; Τριγωνομετρίας</t>
  </si>
  <si>
    <t>Στατιστικές</t>
  </si>
  <si>
    <t>Οικονομικές</t>
  </si>
  <si>
    <t>Έξοδος &amp;γραφήματος</t>
  </si>
  <si>
    <t>Μηχανική</t>
  </si>
  <si>
    <t>&amp;Τυπικά σφάλματα</t>
  </si>
  <si>
    <t>Περιληπ&amp;τικά στατιστικά</t>
  </si>
  <si>
    <t>Ανάλυση διακύμανσης</t>
  </si>
  <si>
    <t>Βα&amp;θμός εμπιστοσύνης για το μέσο:</t>
  </si>
  <si>
    <t>Υπόλοιπα</t>
  </si>
  <si>
    <t>&amp;Περιοχή εισόδου τιμής και πιθανότητας:</t>
  </si>
  <si>
    <t>Ανάλυση διακύμανσης δύο παραγόντων με αλληλεπίδραση</t>
  </si>
  <si>
    <t>Υπό&amp;λοιπα</t>
  </si>
  <si>
    <t>Συνδιακύμανση</t>
  </si>
  <si>
    <t>Ανάλυση διακύμανσης δύο παραγόντων χωρίς αλληλεπίδραση</t>
  </si>
  <si>
    <t>&amp;Τυποποιημένα υπόλοιπα</t>
  </si>
  <si>
    <t>K &amp;μεγαλύτερο:</t>
  </si>
  <si>
    <t>Τυχαίος &amp;γεννήτωρ:</t>
  </si>
  <si>
    <t>ΣΥΜΠΕΡΑΣΜΑ</t>
  </si>
  <si>
    <t>Διάγρ&amp;αμμα υπολοίπων</t>
  </si>
  <si>
    <t>Έλεγχος t του μέσου δύο δειγμάτων συσχετισμένων ζευγών</t>
  </si>
  <si>
    <t>Ομάδες</t>
  </si>
  <si>
    <t>Διάγραμμα προσαρμογής &amp;γραμμής</t>
  </si>
  <si>
    <t>K μι&amp;κρότερο:</t>
  </si>
  <si>
    <t>Πλήθος</t>
  </si>
  <si>
    <t>Κανονική πιθανότητα</t>
  </si>
  <si>
    <t>Άθροισμα</t>
  </si>
  <si>
    <t>Διάγραμμα &amp;κανονικής πιθανότητας</t>
  </si>
  <si>
    <t>Μέσος όρος</t>
  </si>
  <si>
    <t>Διακύμανση</t>
  </si>
  <si>
    <t>ΑΝΑΛΥΣΗ ΔΙΑΚΥΜΑΝΣΗΣ</t>
  </si>
  <si>
    <t>Προέλευση διακύμανσης</t>
  </si>
  <si>
    <t>&amp;Γραμμές ανά δείγμα:</t>
  </si>
  <si>
    <t>&amp;Υποτιθέμενη διαφορά μέσων:</t>
  </si>
  <si>
    <t>βαθμοί ελευθερίας</t>
  </si>
  <si>
    <t>τιμή-P</t>
  </si>
  <si>
    <t>κριτήριο F</t>
  </si>
  <si>
    <t>Σύνολο</t>
  </si>
  <si>
    <t>Μεταξύ ομάδων</t>
  </si>
  <si>
    <t>Μέσα στις ομάδες</t>
  </si>
  <si>
    <t>Δείγμα</t>
  </si>
  <si>
    <t>Στήλη</t>
  </si>
  <si>
    <t>Αλληλεπίδραση</t>
  </si>
  <si>
    <t>Τάξη και εκατοστημόρια</t>
  </si>
  <si>
    <t>Μ&amp;εταξύ</t>
  </si>
  <si>
    <t>Μέσα σε</t>
  </si>
  <si>
    <t>Γραμμές</t>
  </si>
  <si>
    <t>&amp;και</t>
  </si>
  <si>
    <t>Στήλες</t>
  </si>
  <si>
    <t>Σφάλμα</t>
  </si>
  <si>
    <t>Μέσος</t>
  </si>
  <si>
    <t>Έλεγχος t δύο δειγμάτων με υποτιθέμενες ίσες διακυμάνσεις</t>
  </si>
  <si>
    <t>Α&amp;πό</t>
  </si>
  <si>
    <t>Τυπικό σφάλμα</t>
  </si>
  <si>
    <t>Διάμεσος</t>
  </si>
  <si>
    <t>έ&amp;ως</t>
  </si>
  <si>
    <t>Επικρατούσα τιμή</t>
  </si>
  <si>
    <t>Μέση απόκλιση τετραγώνου</t>
  </si>
  <si>
    <t>με βήμ&amp;ατα</t>
  </si>
  <si>
    <t>Κύρτωση</t>
  </si>
  <si>
    <t>επανάληψη κά&amp;θε αριθμού</t>
  </si>
  <si>
    <t>Ασυμμετρία</t>
  </si>
  <si>
    <t>Εύρος</t>
  </si>
  <si>
    <t>φορές</t>
  </si>
  <si>
    <t>Ελάχιστο</t>
  </si>
  <si>
    <t>&amp;επανάληψη της ακολουθίας</t>
  </si>
  <si>
    <t>Μέγιστο</t>
  </si>
  <si>
    <t>Μεγαλύτερο</t>
  </si>
  <si>
    <t>Μικρότερο</t>
  </si>
  <si>
    <t>Βαθμός εμπιστοσύνης</t>
  </si>
  <si>
    <t>Κυλιόμενος μέσος</t>
  </si>
  <si>
    <t>Ανάλυση Fourier</t>
  </si>
  <si>
    <t>Πραγματικό</t>
  </si>
  <si>
    <t>Πρόβλεψη</t>
  </si>
  <si>
    <t>Σημείο δεδομένων</t>
  </si>
  <si>
    <t>Τιμή</t>
  </si>
  <si>
    <t>Ιστόγραμμα</t>
  </si>
  <si>
    <t>Μέσ&amp;ος =</t>
  </si>
  <si>
    <t>Κλάση</t>
  </si>
  <si>
    <t>Συχνότητα</t>
  </si>
  <si>
    <t xml:space="preserve">Τυπική &amp;απόκλιση = </t>
  </si>
  <si>
    <t>Αθροιστικό %</t>
  </si>
  <si>
    <t>Έλεγχος t δύο δειγμάτων με υποτιθέμενες άνισες διακυμάνσεις</t>
  </si>
  <si>
    <t>&amp;Διάστημα:</t>
  </si>
  <si>
    <t>&amp;Αντίστροφος</t>
  </si>
  <si>
    <t>Μέγεθος δείγματος</t>
  </si>
  <si>
    <t>P(F&lt;=f) μονόπλευρη</t>
  </si>
  <si>
    <t>F κρίσιμο, μονόπλευρο</t>
  </si>
  <si>
    <t>Υποτιθέμενη διαφορά μέσων</t>
  </si>
  <si>
    <t>Διάμεση διακύμανση</t>
  </si>
  <si>
    <t>Συσχέτιση Pearson</t>
  </si>
  <si>
    <t>P(T&lt;=t) μονόπλευρη</t>
  </si>
  <si>
    <t>Τ&amp;ιμή πιθανότητας p =</t>
  </si>
  <si>
    <t>P(T&lt;=t) δίπλευρη</t>
  </si>
  <si>
    <t>t</t>
  </si>
  <si>
    <t>t κρίσιμο, μονόπλευρο</t>
  </si>
  <si>
    <t>t κρίσιμο, δίπλευρο</t>
  </si>
  <si>
    <t>Μεταβλητή 1</t>
  </si>
  <si>
    <t>Περιοχή κλάσης &amp;δεδομένων:</t>
  </si>
  <si>
    <t>Μεταβλητή 2</t>
  </si>
  <si>
    <t>Έλεγχος z του μέσου δύο δειγμάτων</t>
  </si>
  <si>
    <t>Γνωστή διακύμανση</t>
  </si>
  <si>
    <t>P(Z&lt;=z) μονόπλευρη</t>
  </si>
  <si>
    <t>z κρίσιμο, μονόπλευρο</t>
  </si>
  <si>
    <t>P(Z&lt;=z) δίπλευρη</t>
  </si>
  <si>
    <t xml:space="preserve">Α&amp;ριθμός προσπαθειών = </t>
  </si>
  <si>
    <t>z κρίσιμο, δίπλευρο</t>
  </si>
  <si>
    <t>Τάξη και Εκατοστημόρια</t>
  </si>
  <si>
    <t>Τ&amp;ιμή p =</t>
  </si>
  <si>
    <t>Κατάταξη</t>
  </si>
  <si>
    <t>Pareto (ταξινομημένο ιστόγ&amp;ραμμα)</t>
  </si>
  <si>
    <t>Ποσοστό</t>
  </si>
  <si>
    <t>Α&amp;θροιστική σχετική συχνότητα</t>
  </si>
  <si>
    <t>Θέση</t>
  </si>
  <si>
    <t>Γραμμή</t>
  </si>
  <si>
    <t>Παραγωγή τυχαίου αριθμού</t>
  </si>
  <si>
    <t>Ομοιόμορφη</t>
  </si>
  <si>
    <t>Κανονική</t>
  </si>
  <si>
    <t>&amp;Διακύμανση μεταβλητής 1 (γνωστή):</t>
  </si>
  <si>
    <t>Διωνυμική</t>
  </si>
  <si>
    <t>Δια&amp;κύμανση μεταβλητής 2 (γνωστή):</t>
  </si>
  <si>
    <t>Με υπόδειγμα</t>
  </si>
  <si>
    <t>Διακριτή</t>
  </si>
  <si>
    <t>ΈΞΟΔΟΣ ΥΠΟΛΟΙΠΩΝ</t>
  </si>
  <si>
    <t>&amp;Λάμδα =</t>
  </si>
  <si>
    <t>Προβλεπόμενος</t>
  </si>
  <si>
    <t>Προβλεπόμενο Y</t>
  </si>
  <si>
    <t>Τυπικά υπόλοιπα</t>
  </si>
  <si>
    <t>ΈΞΟΔΟΣ ΠΙΘΑΝΟΤΗΤΑΣ</t>
  </si>
  <si>
    <t>Εκατοστημόριο</t>
  </si>
  <si>
    <t>ΈΞΟΔΟΣ ΣΥΜΠΕΡΑΣΜΑΤΟΣ</t>
  </si>
  <si>
    <t>Στατιστικά παλινδρόμησης</t>
  </si>
  <si>
    <t>Πολλαπλό R</t>
  </si>
  <si>
    <t>R Τετράγωνο</t>
  </si>
  <si>
    <t>Προσαρμοσμένο R Τετράγωνο</t>
  </si>
  <si>
    <t>Υπόλοιπο</t>
  </si>
  <si>
    <t>Σημαντικότητα F</t>
  </si>
  <si>
    <t>Τεταγμένη επί την αρχή</t>
  </si>
  <si>
    <t>Κατώτερο</t>
  </si>
  <si>
    <t>Κατώτερο 95%</t>
  </si>
  <si>
    <t>Υψηλότερο</t>
  </si>
  <si>
    <t>Υψηλότερο 95%</t>
  </si>
  <si>
    <t>Μεταβλητή X</t>
  </si>
  <si>
    <t>Συντελεστές</t>
  </si>
  <si>
    <t>Διάγραμμα υπολοίπων</t>
  </si>
  <si>
    <t>Διάγραμμα προσαρμογής γραμμής</t>
  </si>
  <si>
    <t>Διάγραμμα κανονικής πιθανότητας</t>
  </si>
  <si>
    <t>Δείγμα ποσοστού</t>
  </si>
  <si>
    <t>Υπολογισμός:</t>
  </si>
  <si>
    <t xml:space="preserve"> - Δεν είναι δυνατή η δέσμευση μνήμης για τον υπολογισμό.</t>
  </si>
  <si>
    <t xml:space="preserve"> - Το Άλφα πρέπει να είναι ένας αριθμός στην περιοχή 0 .. 1.</t>
  </si>
  <si>
    <t xml:space="preserve"> - Η πιθανότητα Bernoulli απαιτείται και πρέπει να είναι αριθμός μεταξύ 0 .. 1.</t>
  </si>
  <si>
    <t xml:space="preserve"> - Η διωνυμική πιθανότητα απαιτείται και πρέπει να είναι αριθμός μεταξύ 0 .. 1.</t>
  </si>
  <si>
    <t xml:space="preserve"> - Οι διωνυμικές δοκιμές απαιτούνται και πρέπει να είναι ένας ακέραιος μεγαλύτερος από το μηδέν.</t>
  </si>
  <si>
    <t xml:space="preserve"> - Η περιοχή κλάσης δεν μπορεί να είναι κενή.</t>
  </si>
  <si>
    <t xml:space="preserve"> - Η περιοχή κλάσης δεν μπορεί να παραλειφθεί. Εάν εισαχθεί, η περιοχή κλάσης πρέπει να είναι αναφορά.</t>
  </si>
  <si>
    <t xml:space="preserve"> - Η περιοχή κλάσης δεν μπορεί να έχει μη αριθμητικά δεδομένα.</t>
  </si>
  <si>
    <t xml:space="preserve"> - Η περιοχή κλάσης και η περιοχή εισόδου επικαλύπτονται.</t>
  </si>
  <si>
    <t xml:space="preserve"> - Η περιοχή κλάσης και η περιοχή εξόδου επικαλύπτονται.</t>
  </si>
  <si>
    <t xml:space="preserve"> - Δεν είναι δυνατή η σχεδίαση γραφήματος για τις κενές κλάσεις.</t>
  </si>
  <si>
    <t xml:space="preserve"> - Η έξοδος γραφήματος πρέπει να έχει λογική τιμή.</t>
  </si>
  <si>
    <t xml:space="preserve"> - Η σταθερά πρέπει να έχει λογική τιμή.</t>
  </si>
  <si>
    <t xml:space="preserve"> - Το αθροιστικό ποσοστό πρέπει να έχει λογική τιμή.</t>
  </si>
  <si>
    <t xml:space="preserve"> - Το αντίστροφο πρέπει να έχει λογική τιμή.</t>
  </si>
  <si>
    <t xml:space="preserve"> - Το διάγραμμα προσαρμογής γραμμής πρέπει να έχει λογική τιμή.</t>
  </si>
  <si>
    <t xml:space="preserve"> - Η ετικέτα πρέπει να έχει λογική τιμή.</t>
  </si>
  <si>
    <t xml:space="preserve"> - Το Pareto πρέπει να έχει λογική τιμή.</t>
  </si>
  <si>
    <t xml:space="preserve"> - Το διάγραμμα κανονικής πιθανότητας πρέπει να έχει λογική τιμή.</t>
  </si>
  <si>
    <t xml:space="preserve"> - Το διάγραμμα υπολοίπων πρέπει να έχει λογική τιμή.</t>
  </si>
  <si>
    <t xml:space="preserve"> - Τα υπόλοιπα πρέπει να έχουν λογική τιμή.</t>
  </si>
  <si>
    <t xml:space="preserve"> - Η έξοδος τυπικών σφαλμάτων πρέπει να έχει λογική τιμή.</t>
  </si>
  <si>
    <t xml:space="preserve"> - Τα τυπικά υπόλοιπα πρέπει να έχουν λογική τιμή.</t>
  </si>
  <si>
    <t xml:space="preserve"> - Τα περιληπτικά στατιστικά πρέπει να έχουν λογική τιμή.</t>
  </si>
  <si>
    <t xml:space="preserve"> - Δεν είναι δυνατή η μετατροπή της περιοχής εισόδου/εξόδου σε έγκυρη αναφορά!</t>
  </si>
  <si>
    <t xml:space="preserve"> - Δεν είναι δυνατή η δημιουργία σχετικής αναφοράς μεταξύ των περιοχών.</t>
  </si>
  <si>
    <t xml:space="preserve"> - Μερικά δεδομένα θα καλυφθούν από τα ένθετα γραφήματα.</t>
  </si>
  <si>
    <t xml:space="preserve"> - Δεν είναι δυνατή η σχεδίαση γραφήματος, διότι η θέση του θα είναι εκτός των ορίων του φύλλου εργασίας.</t>
  </si>
  <si>
    <t xml:space="preserve"> - Διακοπή υπολογισμών: Επιλέξτε το κουμπί "ΟΚ" για διακοπή των υπολογισμών ή το κουμπί "Άκυρο" για συνέχισή τους.</t>
  </si>
  <si>
    <t xml:space="preserve"> - Η εμπιστοσύνη πρέπει να είναι αριθμός μεταξύ 0 και 100.</t>
  </si>
  <si>
    <t xml:space="preserve"> - Δεν είναι δυνατή η μετατροπή της περιοχής εισόδου σε Τιμές και Πιθανότητες.</t>
  </si>
  <si>
    <t xml:space="preserve"> - Ο συντελεστής απόσβεσης πρέπει να είναι αριθμητικός.</t>
  </si>
  <si>
    <t xml:space="preserve"> - Ο συντελεστής απόσβεσης πρέπει να είναι θετικός αριθμός.</t>
  </si>
  <si>
    <t xml:space="preserve"> - Οι αριθμοί στη στήλη διακριτής πιθανότητας πρέπει να έχουν άθροισμα 1.</t>
  </si>
  <si>
    <t xml:space="preserve"> - Καθορίστε μια περιοχή δύο στηλών για την περιοχή εισόδου διακριτής τιμής και πιθανότητας.</t>
  </si>
  <si>
    <t xml:space="preserve"> - Καθορίστε μια περιοχή εισόδου με περισσότερες από μία τιμές και περισσότερες από μία πιθανότητες.</t>
  </si>
  <si>
    <t xml:space="preserve"> - Οι περιοχές διακριτής τιμής και πιθανότητας πρέπει να έχουν μόνο αριθμητικά δεδομένα και τον ίδιο αριθμό δεδομένων.</t>
  </si>
  <si>
    <t xml:space="preserve"> - Η περιοχή διακριτής τιμής και πιθανότητας δεν μπορεί να συμπίπτει με την περιοχή εξόδου.</t>
  </si>
  <si>
    <t xml:space="preserve"> - Η περιοχή εισόδου πρέπει να περιέχει τουλάχιστον 5 σημεία δεδομένων, όταν έχει ενεργοποιηθεί η επιλογή "Τυπικά σφάλματα".</t>
  </si>
  <si>
    <t xml:space="preserve"> - Πληκτρολογήσατε πάρα πολλά ορίσματα.  Ελέγξτε τις μορφές σύνταξης για τη RANDOM().</t>
  </si>
  <si>
    <t xml:space="preserve"> - Η περιοχή εισόδου X δεν μπορεί να περιέχει περισσότερες από 16 μεταβλητές (στήλες).</t>
  </si>
  <si>
    <t xml:space="preserve"> - Το πλήθος των τιμών εισόδου πρέπει να είναι δύναμη του 2. Για παράδειγμα : 2, 4, 8, 16,  32, 64, 128, ...</t>
  </si>
  <si>
    <t xml:space="preserve"> - Το πλήθος των τιμών εισόδου δεν πρέπει να υπερβαίνει τις 4096.</t>
  </si>
  <si>
    <t xml:space="preserve"> - Για να δείξετε πώς θα τακτοποιηθούν οι ομάδες δεδομένων, χρησιμοποιήστε "C" για τις στήλες, "R" για τις γραμμές.</t>
  </si>
  <si>
    <t xml:space="preserve"> - Η περιοχή εισόδου πρέπει να περιέχει δύο ή περισσότερα τμήματα περιοχών δεδομένων τακτοποιημένα σε γραμμές ή στήλες.</t>
  </si>
  <si>
    <t xml:space="preserve"> - Η περιοχή εισόδου πρέπει να είναι γειτονική αναφορά.</t>
  </si>
  <si>
    <t xml:space="preserve"> - Η περιοχή εισόδου λείπει.  Εισαγάγετέ την.</t>
  </si>
  <si>
    <t xml:space="preserve"> - Οι περιοχές εισόδου και εξόδου επικαλύπτονται!  Εισαγάγετέ τις ξανά.</t>
  </si>
  <si>
    <t xml:space="preserve"> - Η περιοχή εισόδου πρέπει να περιέχει τουλάχιστον ένα σημείο δεδομένων.</t>
  </si>
  <si>
    <t xml:space="preserve"> - Το διάστημα πρέπει να είναι αριθμητικό.</t>
  </si>
  <si>
    <t xml:space="preserve"> - Το διάστημα πρέπει να είναι θετικός ακέραιος.</t>
  </si>
  <si>
    <t xml:space="preserve"> - Το διάστημα δεν μπορεί να είναι μεγαλύτερο από τα σημεία δεδομένων.</t>
  </si>
  <si>
    <t xml:space="preserve"> - Η περιοχή εισόδου περιέχει μη έγκυρο μιγαδικό αριθμό.   Ο μιγαδικός αριθμός πρέπει να έχει μορφή x+yi ή x+yj</t>
  </si>
  <si>
    <t xml:space="preserve"> - Όλοι οι μιγαδικοί αριθμοί πρέπει να έχουν το ίδιο πρόθεμα, είτε "i" είτε "j".</t>
  </si>
  <si>
    <t xml:space="preserve"> - Το K μεγαλύτερο πρέπει να είναι θετικός ακέραιος μεγαλύτερος από το 0 και δεν μπορεί να υπερβαίνει το πλήθος των σημείων δεδομένων.</t>
  </si>
  <si>
    <t xml:space="preserve"> - Το K μικρότερο πρέπει να είναι θετικός ακέραιος μεγαλύτερος από το 0 και δεν μπορεί να υπερβαίνει το πλήθος των σημείων δεδομένων.</t>
  </si>
  <si>
    <t xml:space="preserve"> - Η συνάρτηση LINEST() αποδίδει σφάλμα.  Ελέγξτε ξανά τις περιοχές εισόδου.</t>
  </si>
  <si>
    <t xml:space="preserve"> - Η διαφορά μέσων πρέπει να είναι θετικός αριθμός.</t>
  </si>
  <si>
    <t xml:space="preserve"> - Η συνάρτηση χρειάζεται περισσότερα ορίσματα.</t>
  </si>
  <si>
    <t xml:space="preserve"> - Οι περιοχές εισόδου και εξόδου πρέπει να βρίσκονται στο ίδιο φύλλο.</t>
  </si>
  <si>
    <t xml:space="preserve"> - Η περιοχή εισόδου/εξόδου πρέπει να είναι περιοχή γειτονικών κελιών.</t>
  </si>
  <si>
    <t xml:space="preserve"> - Η περιοχή εισόδου πρέπει να είναι μία μόνο γραμμή ή στήλη.</t>
  </si>
  <si>
    <t xml:space="preserve"> - Οι περιοχές εισόδου πρέπει να έχουν τον ίδιο αριθμό σημείων δεδομένων.</t>
  </si>
  <si>
    <t xml:space="preserve"> - Η περιοχή εισόδου πρέπει να περιέχει τουλάχιστον 4 σημεία δεδομένων.</t>
  </si>
  <si>
    <t>#Δ/Υ</t>
  </si>
  <si>
    <t xml:space="preserve"> - Δεν είναι δυνατή η δημιουργία νέου βιβλίου εργασίας. </t>
  </si>
  <si>
    <t xml:space="preserve"> - Δεν είναι δυνατή η δημιουργία νέου φύλλου για έξοδο.  Ελέγξτε την παράμετρο προστασίας βιβλίου εργασίας.</t>
  </si>
  <si>
    <t xml:space="preserve">  Δεν είναι δυνατή η πρόσβαση στο κύριο παράθυρο διαλόγου ATP. Επικοινωνήστε με την υποστήριξη πελατών για βοήθεια.</t>
  </si>
  <si>
    <t xml:space="preserve">  Δεν είναι δυνατή η πρόσβαση στο παράθυρο διαλόγου για την επιλεγμένη διαδικασία. Επικοινωνήστε με την υποστήριξη πελατών για βοήθεια.</t>
  </si>
  <si>
    <t xml:space="preserve"> - Η περιοχή εισόδου περιέχει μη αριθμητικά δεδομένα.</t>
  </si>
  <si>
    <t xml:space="preserve"> - Ο κανονικός μέσος απαιτείται και πρέπει να είναι αριθμητικός.</t>
  </si>
  <si>
    <t xml:space="preserve"> - Η κανονική τυπική απόκλιση απαιτείται και πρέπει να είναι μη μηδενικός αριθμός.</t>
  </si>
  <si>
    <t xml:space="preserve"> - Ο αριθμός των δειγμάτων πρέπει να είναι ακέραιος μεγαλύτερος από το μηδέν.</t>
  </si>
  <si>
    <t xml:space="preserve"> - Εισαγάγετε τον αριθμό των τυχαίων δειγμάτων.</t>
  </si>
  <si>
    <t xml:space="preserve"> - Υπάρχει πρόβλημα με τη σχετική απόσταση της αναφοράς εισόδου/εξόδου.</t>
  </si>
  <si>
    <t xml:space="preserve"> - Δεν είναι δυνατό να ανοίξει το φύλλο πόρου.</t>
  </si>
  <si>
    <t xml:space="preserve"> - Μη έγκυρη επιλογή εξόδου.</t>
  </si>
  <si>
    <t xml:space="preserve"> - Η περιοχή εξόδου πρέπει να είναι έγκυρη αναφορά.</t>
  </si>
  <si>
    <t xml:space="preserve"> - Η περιοχή εξόδου λείπει. Εισαγάγετέ την.</t>
  </si>
  <si>
    <t xml:space="preserve"> - Ο υπολογιζόμενος πίνακας εξόδου θα υπερβεί τα όρια του φύλλου εργασίας. Επιλέξτε μια άλλη αναφορά.</t>
  </si>
  <si>
    <t xml:space="preserve"> - Η περιοχή εξόδου θα αντικαταστήσει τα υπάρχοντα δεδομένα. Πιέστε το κουμπί "ΟΚ" για να αντικαταστήσετε τα δεδομένα στην περιοχή:  </t>
  </si>
  <si>
    <t xml:space="preserve"> - Η εκκίνηση με υπόδειγμα δεν μπορεί να φτάσει στο τέλος με το δεδομένο βήμα.</t>
  </si>
  <si>
    <t xml:space="preserve"> - Η εκκίνηση με υπόδειγμα απαιτείται και πρέπει να είναι αριθμητική.</t>
  </si>
  <si>
    <t xml:space="preserve"> - Το βήμα υποδείγματος απαιτείται και πρέπει να είναι μη μηδενικός αριθμός.</t>
  </si>
  <si>
    <t xml:space="preserve"> - Ο τερματισμός με υπόδειγμα απαιτείται και πρέπει να είναι αριθμητικός.</t>
  </si>
  <si>
    <t xml:space="preserve"> - Η επανάληψη με υπόδειγμα απαιτείται και πρέπει να είναι ακέραιος μεγαλύτερος από το μηδέν.</t>
  </si>
  <si>
    <t xml:space="preserve"> - Η τιμή με υπόδειγμα των επαναλήψεων ακολουθιών απαιτείται και πρέπει να είναι ακέραιος μεγαλύτερος από το μηδέν.</t>
  </si>
  <si>
    <t xml:space="preserve"> - Το περιοδικό διάστημα πρέπει να είναι ακέραιος μεγαλύτερος από το μηδέν.</t>
  </si>
  <si>
    <t xml:space="preserve"> - Εισαγάγετε το περιοδικό διάστημα για τη δειγματοληψία.</t>
  </si>
  <si>
    <t xml:space="preserve"> - Το περιοδικό διάστημα δεν μπορεί να υπερβαίνει τον αριθμό των τιμών της περιοχής εισόδου.</t>
  </si>
  <si>
    <t xml:space="preserve"> - Το λάμδα Poisson απαιτείται και πρέπει να είναι αριθμός μεγαλύτερος από το μηδέν.</t>
  </si>
  <si>
    <t xml:space="preserve"> - Ο τύπος της κατανομής απαιτείται. Η καταχώριση πρέπει να είναι ακέραιος μεταξύ 1 και 7.</t>
  </si>
  <si>
    <t xml:space="preserve"> - Ο αριθμός των τυχαίων αριθμών πρέπει είναι ακέραιος μεγαλύτερος από το μηδέν.</t>
  </si>
  <si>
    <t xml:space="preserve"> - Διακριτή κατανομή : δεν είναι δυνατή η εύρεση δεδομένων που να ταιριάζουν για την τυχαία επιλεγμένη πιθανότητα.</t>
  </si>
  <si>
    <t xml:space="preserve"> - Ο αριθμός των μεταβλητών πρέπει να είναι ακέραιος μεγαλύτερος από το μηδέν.</t>
  </si>
  <si>
    <t xml:space="preserve"> - Επιλέξτε τουλάχιστον μία επιλογή στατιστικής.</t>
  </si>
  <si>
    <t xml:space="preserve"> - Οι γραμμές ανά δείγμα απαιτούνται.  Εισαγάγετέ τις.</t>
  </si>
  <si>
    <t xml:space="preserve"> - Οι γραμμές ανά δείγμα πρέπει να είναι ακέραιος μεγαλύτερος από το μηδέν.</t>
  </si>
  <si>
    <t xml:space="preserve"> - Κάθε δείγμα πρέπει να περιέχει τον ίδιο αριθμό γραμμών.</t>
  </si>
  <si>
    <t xml:space="preserve"> - Η περιοχή X και η περιοχή Y πρέπει να έχουν τον ίδιο αριθμό γραμμών (τιμές δείγματος), ανεξάρτητα από τις ετικέτες.</t>
  </si>
  <si>
    <t xml:space="preserve"> - Μη έγκυρη μέθοδος δειγματοληψίας. Εισαγάγετε "P" για περιοδική δειγματοληψία ή "R" για τυχαία δειγματοληψία.</t>
  </si>
  <si>
    <t xml:space="preserve"> - Η μέθοδος δειγματοληψίας απαιτείται.</t>
  </si>
  <si>
    <t xml:space="preserve"> - Ο γεννήτωρ πρέπει να είναι ακέραιος μεταξύ 1..32767.</t>
  </si>
  <si>
    <t xml:space="preserve"> - Δεν είναι δυνατή η τροποποίηση προστατευμένου φύλλου.</t>
  </si>
  <si>
    <t xml:space="preserve"> - Τα ομοειδή όρια απαιτούνται και πρέπει να είναι αριθμητικά.</t>
  </si>
  <si>
    <t xml:space="preserve"> - ΚΑΙ ΟΙ ΔΥΟ περιοχές μεταβλητών πρέπει να είναι γραμμές ή στήλες.</t>
  </si>
  <si>
    <t xml:space="preserve"> - Οι περιοχές μεταβλητών πρέπει να έχουν τον ίδιο αριθμό σημείων δεδομένων.</t>
  </si>
  <si>
    <t xml:space="preserve"> - Οι περιοχές μεταβλητών πρέπει να έχουν τουλάχιστον δύο σημεία δεδομένων.</t>
  </si>
  <si>
    <t xml:space="preserve"> - Η περιοχή της μεταβλητής 1 πρέπει να είναι συνεχόμενη αναφορά.</t>
  </si>
  <si>
    <t xml:space="preserve"> - Η περιοχή της μεταβλητής 1 λείπει.</t>
  </si>
  <si>
    <t xml:space="preserve"> - Οι περιοχές της μεταβλητής 1 και 2 δεν μπορούν να επικαλύπτονται.</t>
  </si>
  <si>
    <t xml:space="preserve"> - Οι περιοχές της μεταβλητής 1 και της περιοχής εξόδου δεν μπορούν να επικαλύπτονται.</t>
  </si>
  <si>
    <t xml:space="preserve"> - Η περιοχή της μεταβλητής 2 πρέπει να είναι συνεχόμενη αναφορά.</t>
  </si>
  <si>
    <t xml:space="preserve"> - Η περιοχή της μεταβλητής 2 λείπει.</t>
  </si>
  <si>
    <t xml:space="preserve"> - Οι περιοχές της μεταβλητής 2 και της περιοχής εξόδου δεν μπορούν να επικαλύπτονται.</t>
  </si>
  <si>
    <t xml:space="preserve"> - Ο τύπος της τυχαίας κατανομής πρέπει να είναι αριθμός μεταξύ 1 και 7.</t>
  </si>
  <si>
    <t xml:space="preserve"> - Η περιοχή X και η περιοχή εξόδου θα επικαλυφθούν. Επιλέξτε άλλη περιοχή εξόδου.</t>
  </si>
  <si>
    <t xml:space="preserve"> - Η περιοχή εισόδου X πρέπει να είναι συνεχόμενη αναφορά.</t>
  </si>
  <si>
    <t xml:space="preserve"> - Η περιοχή εισόδου X λείπει.</t>
  </si>
  <si>
    <t xml:space="preserve"> - Οι αριθμοί των γραμμών και των στηλών στην περιοχή X δεν μπορεί να είναι ίδιοι.</t>
  </si>
  <si>
    <t xml:space="preserve"> - Η περιοχή X και η περιοχή Y δεν μπορούν να επικαλύπτονται.</t>
  </si>
  <si>
    <t xml:space="preserve"> - Οι περιοχές Y και εξόδου θα επικαλυφθούν. Επιλέξτε άλλη περιοχή εξόδου.</t>
  </si>
  <si>
    <t xml:space="preserve"> - Η περιοχή εισόδου Y πρέπει να είναι συνεχόμενη αναφορά.</t>
  </si>
  <si>
    <t xml:space="preserve"> - Η περιοχή εισόδου Y λείπει. Εισαγάγετέ την.</t>
  </si>
  <si>
    <t xml:space="preserve"> - Η διακύμανση 1 πρέπει να είναι αριθμός μεγαλύτερος από το μηδέν.</t>
  </si>
  <si>
    <t xml:space="preserve"> - Η διακύμανση 2 πρέπει να είναι αριθμός μεγαλύτερος από το μηδέν.</t>
  </si>
  <si>
    <t xml:space="preserve"> - Δεν είναι δυνατή η πρόσβαση στα στοιχεία ελέγχου ActiveX του βιβλίου εργασίας.  Επικοινωνήστε με το τμήμα υποστήριξης πελατών για βοήθεια.</t>
  </si>
  <si>
    <t xml:space="preserve"> - Δεν είναι δυνατή η προσθήκη γραφήματος σε ένα κοινόχρηστο βιβλίο εργασίας. Να συνεχιστεί η δημιουργία πίνακα εξόδου;</t>
  </si>
  <si>
    <t>Analisar dados</t>
  </si>
  <si>
    <t>Anova: factor único</t>
  </si>
  <si>
    <t>Regressão</t>
  </si>
  <si>
    <t>Correlação</t>
  </si>
  <si>
    <t>Estatística descritiva</t>
  </si>
  <si>
    <t>Ajuste exponencial</t>
  </si>
  <si>
    <t>Teste F: duas amostras para variâncias</t>
  </si>
  <si>
    <t>Amostragem</t>
  </si>
  <si>
    <t>Geração de número aleatório</t>
  </si>
  <si>
    <t>Cancelar</t>
  </si>
  <si>
    <t>&amp;Ferramentas de análise</t>
  </si>
  <si>
    <t>Entrada</t>
  </si>
  <si>
    <t>Opções de saída</t>
  </si>
  <si>
    <t>Número de &amp;variáveis:</t>
  </si>
  <si>
    <t>Intervalo de &amp;entrada:</t>
  </si>
  <si>
    <t>Intervalo &amp;Y:</t>
  </si>
  <si>
    <t>Intervalo da variável &amp;1:</t>
  </si>
  <si>
    <t>&amp;Substituir dados no intervalo:</t>
  </si>
  <si>
    <t>&amp;Total de números aleatórios:</t>
  </si>
  <si>
    <t>Agrupado por:</t>
  </si>
  <si>
    <t>Intervalo &amp;X:</t>
  </si>
  <si>
    <t>Escrever num novo &amp;intervalo:</t>
  </si>
  <si>
    <t>&amp;Factor de amortecimento:</t>
  </si>
  <si>
    <t>Intervalo da variável &amp;2:</t>
  </si>
  <si>
    <t>&amp;Rótulos</t>
  </si>
  <si>
    <t>No&amp;va folha de cálculo:</t>
  </si>
  <si>
    <t>Método de amostragem</t>
  </si>
  <si>
    <t>Distri&amp;buição:</t>
  </si>
  <si>
    <t>&amp;Rótulos na primeira coluna</t>
  </si>
  <si>
    <t>&amp;Colunas</t>
  </si>
  <si>
    <t>Novo &amp;livro</t>
  </si>
  <si>
    <t>&amp;Rótulos na primeira linha</t>
  </si>
  <si>
    <t>Lin&amp;has</t>
  </si>
  <si>
    <t>Constante é &amp;zero</t>
  </si>
  <si>
    <t>Escrita de informação em células não vazias: podem ser perdidos dados!</t>
  </si>
  <si>
    <t>&amp;Periódico</t>
  </si>
  <si>
    <t>Parâmetros</t>
  </si>
  <si>
    <t>Nível de &amp;confiança</t>
  </si>
  <si>
    <t>&amp;Aleatório</t>
  </si>
  <si>
    <t>&amp;Intervalo de saída:</t>
  </si>
  <si>
    <t>Período:</t>
  </si>
  <si>
    <t>Data e hora</t>
  </si>
  <si>
    <t>No&amp;va folha de &amp;cálculo:</t>
  </si>
  <si>
    <t>Informação</t>
  </si>
  <si>
    <t>Ajuda</t>
  </si>
  <si>
    <t>&amp;Novo livro</t>
  </si>
  <si>
    <t>Número de amostras:</t>
  </si>
  <si>
    <t>Matemática e trigonometria</t>
  </si>
  <si>
    <t>Estatística</t>
  </si>
  <si>
    <t>Financeira</t>
  </si>
  <si>
    <t>Resultado &amp;do gráfico</t>
  </si>
  <si>
    <t>Engenharia</t>
  </si>
  <si>
    <t>Erro&amp;s-padrão</t>
  </si>
  <si>
    <t>Análise de dados</t>
  </si>
  <si>
    <t>Es&amp;tatísticas de sumário</t>
  </si>
  <si>
    <t>Nível de confiança para &amp;média:</t>
  </si>
  <si>
    <t>Residuais</t>
  </si>
  <si>
    <t>Intervalo de &amp;entrada de probabilidade e valor:</t>
  </si>
  <si>
    <t>Anova: factor duplo com repetição</t>
  </si>
  <si>
    <t>Residu&amp;ais</t>
  </si>
  <si>
    <t>Covariância</t>
  </si>
  <si>
    <t>Anova: factor duplo sem repetição</t>
  </si>
  <si>
    <t>Residuai&amp;s padronizados</t>
  </si>
  <si>
    <t>N-ésimo m&amp;aior:</t>
  </si>
  <si>
    <t>Semente &amp;aleatória:</t>
  </si>
  <si>
    <t>SUMÁRIO</t>
  </si>
  <si>
    <t>Des&amp;enho de valores residuais</t>
  </si>
  <si>
    <t>Teste T: duas amostras emparelhadas para médias</t>
  </si>
  <si>
    <t>Grupos</t>
  </si>
  <si>
    <t>Desenh&amp;o de linha ajustada</t>
  </si>
  <si>
    <t>N-ésim&amp;o menor:</t>
  </si>
  <si>
    <t>Contagem</t>
  </si>
  <si>
    <t>Probabilidade normal</t>
  </si>
  <si>
    <t>Soma</t>
  </si>
  <si>
    <t>&amp;Desenho de probabilidade normal</t>
  </si>
  <si>
    <t>Média</t>
  </si>
  <si>
    <t>Nova folha de &amp;cálculo:</t>
  </si>
  <si>
    <t>Variância</t>
  </si>
  <si>
    <t>Fonte de variação</t>
  </si>
  <si>
    <t>Lin&amp;has por amostra:</t>
  </si>
  <si>
    <t>SQ</t>
  </si>
  <si>
    <t>&amp;Hipótese de diferença de média:</t>
  </si>
  <si>
    <t>gl</t>
  </si>
  <si>
    <t>MQ</t>
  </si>
  <si>
    <t>valor P</t>
  </si>
  <si>
    <t>F crítico</t>
  </si>
  <si>
    <t>Entre grupos</t>
  </si>
  <si>
    <t>Dentro de grupos</t>
  </si>
  <si>
    <t>Amostra</t>
  </si>
  <si>
    <t>Coluna</t>
  </si>
  <si>
    <t>Interacções</t>
  </si>
  <si>
    <t>Ordem e percentil</t>
  </si>
  <si>
    <t>En&amp;tre</t>
  </si>
  <si>
    <t>Dentro</t>
  </si>
  <si>
    <t>Linhas</t>
  </si>
  <si>
    <t>&amp;e</t>
  </si>
  <si>
    <t>Colunas</t>
  </si>
  <si>
    <t>Erro</t>
  </si>
  <si>
    <t>Teste T: duas amostras com variâncias iguais</t>
  </si>
  <si>
    <t>Erro-padrão</t>
  </si>
  <si>
    <t>Mediana</t>
  </si>
  <si>
    <t>&amp;para</t>
  </si>
  <si>
    <t>Moda</t>
  </si>
  <si>
    <t>Desvio-padrão</t>
  </si>
  <si>
    <t>pass&amp;os de:</t>
  </si>
  <si>
    <t>Variância da amostra</t>
  </si>
  <si>
    <t>Curtose</t>
  </si>
  <si>
    <t>R&amp;epetindo cada número</t>
  </si>
  <si>
    <t>Assimetria</t>
  </si>
  <si>
    <t>Intervalo</t>
  </si>
  <si>
    <t>vezes</t>
  </si>
  <si>
    <t>Mínimo</t>
  </si>
  <si>
    <t>repe&amp;tindo a sequência</t>
  </si>
  <si>
    <t>Máximo</t>
  </si>
  <si>
    <t>Maior</t>
  </si>
  <si>
    <t>Menor</t>
  </si>
  <si>
    <t>Nível de confiança</t>
  </si>
  <si>
    <t>Média móvel</t>
  </si>
  <si>
    <t>Análise de Fourier</t>
  </si>
  <si>
    <t>Previsão</t>
  </si>
  <si>
    <t>Ponto de dados</t>
  </si>
  <si>
    <t>Valor</t>
  </si>
  <si>
    <t>Histograma</t>
  </si>
  <si>
    <t>Méd&amp;ia =</t>
  </si>
  <si>
    <t>Bloco</t>
  </si>
  <si>
    <t>Frequência</t>
  </si>
  <si>
    <t xml:space="preserve">&amp;Desvio-padrão = </t>
  </si>
  <si>
    <t>% acumulada</t>
  </si>
  <si>
    <t>Teste T: duas amostras com variâncias desiguais</t>
  </si>
  <si>
    <t>Mais</t>
  </si>
  <si>
    <t>In&amp;tervalo:</t>
  </si>
  <si>
    <t>Invers&amp;o</t>
  </si>
  <si>
    <t>Observações</t>
  </si>
  <si>
    <t>P(F&lt;=f) uni-caudal</t>
  </si>
  <si>
    <t>&amp;Hipótese da diferença de média:</t>
  </si>
  <si>
    <t>F crítico uni-caudal</t>
  </si>
  <si>
    <t>Hipótese de diferença de média</t>
  </si>
  <si>
    <t>&amp;Resultado do gráfico</t>
  </si>
  <si>
    <t>Variância agrupada</t>
  </si>
  <si>
    <t xml:space="preserve">Correlação de Pearson </t>
  </si>
  <si>
    <t>P(T&lt;=t) uni-caudal</t>
  </si>
  <si>
    <t>Valor &amp;p =</t>
  </si>
  <si>
    <t>P(T&lt;=t) bi-caudal</t>
  </si>
  <si>
    <t>Stat t</t>
  </si>
  <si>
    <t>t crítico uni-caudal</t>
  </si>
  <si>
    <t>t crítico bi-caudal</t>
  </si>
  <si>
    <t>Variável 1</t>
  </si>
  <si>
    <t>Intervalo de &amp;bloco:</t>
  </si>
  <si>
    <t>Variável 2</t>
  </si>
  <si>
    <t>Teste z: duas amostras para médias</t>
  </si>
  <si>
    <t>Variância conhecida</t>
  </si>
  <si>
    <t>P(Z&lt;=z) uni-caudal</t>
  </si>
  <si>
    <t>z crítico uni-caudal</t>
  </si>
  <si>
    <t>P(Z&lt;=z) bi-caudal</t>
  </si>
  <si>
    <t>Teste Z: duas amostras para médias</t>
  </si>
  <si>
    <t xml:space="preserve">Número de &amp;tentativas = </t>
  </si>
  <si>
    <t>z crítico bi-caudal</t>
  </si>
  <si>
    <t>Ordem</t>
  </si>
  <si>
    <t>&amp;Pareto (histograma classificado)</t>
  </si>
  <si>
    <t>Percentagem</t>
  </si>
  <si>
    <t>Percentagem &amp;acumulada</t>
  </si>
  <si>
    <t>Intervalo da variável &amp;1</t>
  </si>
  <si>
    <t>Ponto</t>
  </si>
  <si>
    <t>Linha</t>
  </si>
  <si>
    <t>Variância &amp;da variável 1 (conhecida):</t>
  </si>
  <si>
    <t>Variân&amp;cia da variável 2 (&amp;conhecida):</t>
  </si>
  <si>
    <t>Padronizada</t>
  </si>
  <si>
    <t>Discreta</t>
  </si>
  <si>
    <t>RESULTADO RESIDUAL</t>
  </si>
  <si>
    <t>Lamb&amp;da =</t>
  </si>
  <si>
    <t>Observação</t>
  </si>
  <si>
    <t>Previsto</t>
  </si>
  <si>
    <t>Y previsto</t>
  </si>
  <si>
    <t>Residuais-padrão</t>
  </si>
  <si>
    <t>RESULTADOS DE PROBABILIDADE</t>
  </si>
  <si>
    <t>SUMÁRIO DOS RESULTADOS</t>
  </si>
  <si>
    <t>Estatística de regressão</t>
  </si>
  <si>
    <t>R múltiplo</t>
  </si>
  <si>
    <t>Quadrado de R</t>
  </si>
  <si>
    <t>Quadrado de R ajustado</t>
  </si>
  <si>
    <t>F de significância</t>
  </si>
  <si>
    <t>Interceptar</t>
  </si>
  <si>
    <t>Inferior</t>
  </si>
  <si>
    <t>95% inferior</t>
  </si>
  <si>
    <t>Superior</t>
  </si>
  <si>
    <t>95% superior</t>
  </si>
  <si>
    <t>Variável X</t>
  </si>
  <si>
    <t>Coeficientes</t>
  </si>
  <si>
    <t>Desenho de residuais</t>
  </si>
  <si>
    <t>Desenho de linha ajustada</t>
  </si>
  <si>
    <t>Desenho de probabilidade normal</t>
  </si>
  <si>
    <t>Percentil da amostra</t>
  </si>
  <si>
    <t>A calcular</t>
  </si>
  <si>
    <t>FALSO</t>
  </si>
  <si>
    <t>VERDADEIRO</t>
  </si>
  <si>
    <t xml:space="preserve"> - Não foi possível atribuir memória para o cálculo.</t>
  </si>
  <si>
    <t xml:space="preserve"> - 'Alfa' tem de ser um número do intervalo 0 a 1.</t>
  </si>
  <si>
    <t xml:space="preserve"> - A probabilidade de Bernoulli é necessária e tem de ser um número entre 0 e 1.</t>
  </si>
  <si>
    <t xml:space="preserve"> - A probabilidade binomial é necessária e tem de ser um número entre 0 e 1.</t>
  </si>
  <si>
    <t xml:space="preserve"> - As tentativas binomiais são necessárias e têm de ser números inteiros maiores que zero.</t>
  </si>
  <si>
    <t xml:space="preserve"> - 'Intervalo de bloco' não pode estar vazio.</t>
  </si>
  <si>
    <t xml:space="preserve"> - 'Intervalo de bloco' pode ser omitido. Se introduzido, tem de ser uma referência.</t>
  </si>
  <si>
    <t xml:space="preserve"> - 'Intervalo de bloco' não pode ter dados não numéricos.</t>
  </si>
  <si>
    <t xml:space="preserve"> - 'Intervalo de bloco' e o 'Intervalo de entrada' sobrepõem-se.</t>
  </si>
  <si>
    <t xml:space="preserve"> - 'Intervalo de bloco' e 'Intervalo de saída' sobrepõem-se.</t>
  </si>
  <si>
    <t xml:space="preserve"> - Não é possível desenhar gráficos em blocos vazios.</t>
  </si>
  <si>
    <t xml:space="preserve"> - 'Resultado do gráfico' tem de ser um valor lógico.</t>
  </si>
  <si>
    <t xml:space="preserve"> - A constante tem de ser um valor lógico.</t>
  </si>
  <si>
    <t xml:space="preserve"> - 'Percentagem acumulada' tem de ser um valor lógico.</t>
  </si>
  <si>
    <t xml:space="preserve"> - 'Inverso' tem de ser um valor lógico.</t>
  </si>
  <si>
    <t xml:space="preserve"> - 'Desenho de linha ajustada' tem de ser um valor lógico.</t>
  </si>
  <si>
    <t xml:space="preserve"> - 'Rótulos' tem de ser um valor lógico.</t>
  </si>
  <si>
    <t xml:space="preserve"> - 'Pareto' tem de ser um valor lógico.</t>
  </si>
  <si>
    <t xml:space="preserve"> - 'Desenho de probabilidade normal' tem de ser um valor lógico.</t>
  </si>
  <si>
    <t xml:space="preserve"> - 'Desenho de residuais' tem de ser um valor lógico.</t>
  </si>
  <si>
    <t xml:space="preserve"> - 'Residuais' tem de ser um valor lógico.</t>
  </si>
  <si>
    <t xml:space="preserve"> - A saída de 'Erros-padrão' tem de ser um valor lógico.</t>
  </si>
  <si>
    <t xml:space="preserve"> - 'Residuais padronizados' tem de ser um valor lógico.</t>
  </si>
  <si>
    <t xml:space="preserve"> - 'Sumário estatístico' tem de ser um valor lógico.</t>
  </si>
  <si>
    <t xml:space="preserve"> - Não é possível converter o intervalo de entrada/saída numa referência válida! </t>
  </si>
  <si>
    <t xml:space="preserve"> - Não é possível criar uma referência relativa entre intervalos.</t>
  </si>
  <si>
    <t xml:space="preserve"> - Alguns dados podem estar escondidos por gráficos incorporados.</t>
  </si>
  <si>
    <t xml:space="preserve"> - Não é possível desenhar o gráfico, pois ultrapassará os limites da folha.</t>
  </si>
  <si>
    <t xml:space="preserve"> - Interromper o cálculo: escolha 'OK' para interromper; escolha 'Cancelar' para reduzir os cálculos.</t>
  </si>
  <si>
    <t xml:space="preserve"> - 'Nível de confiança' tem de ser um número entre 0 e 100.</t>
  </si>
  <si>
    <t xml:space="preserve"> - Não é possível converter o intervalo de entrada em valores e probabilidades.</t>
  </si>
  <si>
    <t xml:space="preserve"> - 'Factor de amortecimento' tem de ser numérico.</t>
  </si>
  <si>
    <t xml:space="preserve"> - 'Factor de amortecimento' tem de ser um número positivo.</t>
  </si>
  <si>
    <t xml:space="preserve"> - Os números na coluna de probabilidade 'Discreta' têm de somar 1.</t>
  </si>
  <si>
    <t xml:space="preserve"> - Especifique duas colunas para 'Intervalo de entrada de probabilidade e valor'.</t>
  </si>
  <si>
    <t xml:space="preserve"> - Especifique um intervalo de entrada com mais de um valor e mais de uma probabilidade.</t>
  </si>
  <si>
    <t xml:space="preserve"> - Os intervalos de probabilidade e valor 'Discreto' têm de conter somente dados numéricos e ter o mesmo número de dados.</t>
  </si>
  <si>
    <t xml:space="preserve"> - Os intervalos de probabilidade e valor 'Discreto' não podem sobrepor-se ao intervalo de saída.</t>
  </si>
  <si>
    <t xml:space="preserve"> - 'Intervalo X de entrada' tem de conter pelo menos  5 pontos de dados quando 'Erros-padrão' estiver seleccionado.</t>
  </si>
  <si>
    <t xml:space="preserve"> - Forneceu um número excessivo de argumentos. Verifique a sintaxe de ALEAT().</t>
  </si>
  <si>
    <t xml:space="preserve"> - 'Intervalo X de entrada' não suporta mais de 16 variáveis (colunas).</t>
  </si>
  <si>
    <t xml:space="preserve"> - O número de valores de entrada tem de ser uma potência de 2. Por exemplo: 2, 4, 8, 16,  32, 64, 128, ...</t>
  </si>
  <si>
    <t xml:space="preserve"> - O número de valores de entrada tem de ser igual ou menor que 4096.</t>
  </si>
  <si>
    <t xml:space="preserve"> - Para indicar qual a organização dos grupos de dados, utilize 'C' para colunas e 'L' para linhas.</t>
  </si>
  <si>
    <t xml:space="preserve"> - 'Intervalo de entrada' tem de conter dois ou mais blocos de dados, organizados em linhas ou colunas.</t>
  </si>
  <si>
    <t xml:space="preserve"> - 'Intervalo de entrada' tem de ser uma referência contígua.</t>
  </si>
  <si>
    <t xml:space="preserve"> - Falta preencher 'Intervalo de entrada'.</t>
  </si>
  <si>
    <t xml:space="preserve"> - Os intervalos de entrada e saída sobrepõem-se. Insira-os novamente.</t>
  </si>
  <si>
    <t xml:space="preserve"> - 'Intervalo de entrada' tem de conter pelo menos um ponto de dados.</t>
  </si>
  <si>
    <t xml:space="preserve"> - O intervalo tem de ser numérico.</t>
  </si>
  <si>
    <t xml:space="preserve"> - O intervalo tem de ser um número inteiro positivo.</t>
  </si>
  <si>
    <t xml:space="preserve"> - O intervalo não pode ser maior que os pontos de dados.</t>
  </si>
  <si>
    <t xml:space="preserve"> - 'Intervalo de entrada' contém um número complexo inválido. O número complexo deve ter a forma x+yi ou x+yj</t>
  </si>
  <si>
    <t xml:space="preserve"> - Todos os números complexos têm de ter o mesmo sufixo, ou 'I' ou 'j'.</t>
  </si>
  <si>
    <t xml:space="preserve"> - 'N-ésimo maior' tem de ser um número inteiro positivo maior que 0 e não pode exceder o número dos pontos de dados.</t>
  </si>
  <si>
    <t xml:space="preserve"> - 'N-ésimo menor' tem de ser um número inteiro positivo maior que 0 e não pode exceder o número dos pontos de dados.</t>
  </si>
  <si>
    <t xml:space="preserve"> - A função PROJ.LIN() devolve um erro. Verifique novamente os intervalos de entrada.</t>
  </si>
  <si>
    <t xml:space="preserve"> - A diferença da média deve ser um número positivo.</t>
  </si>
  <si>
    <t xml:space="preserve"> - A função requer mais argumentos.</t>
  </si>
  <si>
    <t xml:space="preserve"> - Os intervalos de entrada e saída têm de estar na mesma folha.</t>
  </si>
  <si>
    <t xml:space="preserve"> - O intervalo de entrada/saída tem de ser um intervalo de células contíguas.</t>
  </si>
  <si>
    <t xml:space="preserve"> - 'Intervalo de entrada' tem de ser uma única linha ou coluna.</t>
  </si>
  <si>
    <t xml:space="preserve"> - Os intervalos de entrada têm de ter o mesmo número de pontos de dados.</t>
  </si>
  <si>
    <t xml:space="preserve"> - 'Intervalo de entrada' tem de conter no mínimo 4 pontos de dados.</t>
  </si>
  <si>
    <t>#N/D</t>
  </si>
  <si>
    <t xml:space="preserve"> - Não é possível criar um novo livro. </t>
  </si>
  <si>
    <t xml:space="preserve"> - Não é possível criar uma nova folha para saída. Verifique a definição de protecção do livro.</t>
  </si>
  <si>
    <t xml:space="preserve"> - Não é possível aceder à caixa de diálogo principal do 'Analysis ToolPak'. Contacte o serviço de apoio ao utilizador para obter ajuda.</t>
  </si>
  <si>
    <t xml:space="preserve"> - Não é possível aceder à caixa de diálogo para procedimentos seleccionados. Contacte o serviço de apoio ao utilizador para obter ajuda.</t>
  </si>
  <si>
    <t xml:space="preserve"> - 'Intervalo de entrada' contém dados não numéricos.</t>
  </si>
  <si>
    <t xml:space="preserve"> - É necessária a média normal, que tem de ser numérica.</t>
  </si>
  <si>
    <t xml:space="preserve"> - É necessário o desvio-padrão normal, que tem de ser um número diferente de zero.</t>
  </si>
  <si>
    <t xml:space="preserve"> - 'Número de amostras' tem de ser um número inteiro maior que zero.</t>
  </si>
  <si>
    <t xml:space="preserve"> - Insira o número de amostras aleatórias.</t>
  </si>
  <si>
    <t xml:space="preserve"> - Está a haver dificuldade no deslocamento da referência de entrada/saída. </t>
  </si>
  <si>
    <t xml:space="preserve"> - Não é possível abrir uma folha de recurso.</t>
  </si>
  <si>
    <t xml:space="preserve"> - Opção de saída inválida.</t>
  </si>
  <si>
    <t xml:space="preserve"> - O intervalo de saída tem de ser uma referência válida.</t>
  </si>
  <si>
    <t xml:space="preserve"> - Falta o intervalo de saída. Insira-o.</t>
  </si>
  <si>
    <t xml:space="preserve"> - A tabela de saída prevista ultrapassará os limites da folha. Escolha uma referência diferente.  </t>
  </si>
  <si>
    <t xml:space="preserve"> - O intervalo de saída irá substituir os dados existentes. Faça clique sobre 'OK' para sobrepor os dados no intervalo:</t>
  </si>
  <si>
    <t xml:space="preserve"> - Não é possível o início padronizado alcançar o final com o passo escolhido.</t>
  </si>
  <si>
    <t xml:space="preserve"> - O início padronizado é obrigatório e tem de ser numérico.</t>
  </si>
  <si>
    <t xml:space="preserve"> - É necessário especificar o passo padronizado, que tem de ser um número diferente de zero.</t>
  </si>
  <si>
    <t xml:space="preserve"> - É necessário especificar o final padronizado, que tem de ser numérico.</t>
  </si>
  <si>
    <t xml:space="preserve"> - O valor de repetição padronizado é obrigatório e tem de ser um número maior que zero.</t>
  </si>
  <si>
    <t xml:space="preserve"> - O valor de sequências de repetição padronizada é obrigatório e tem de ser um número inteiro maior que zero.</t>
  </si>
  <si>
    <t xml:space="preserve"> - O intervalo 'Periódico' tem de ser um número inteiro maior que zero.</t>
  </si>
  <si>
    <t xml:space="preserve"> - Insira o intervalo 'Periódico' para a amostragem.</t>
  </si>
  <si>
    <t xml:space="preserve"> - O intervalo 'Periódico' não pode ultrapassar o número dos valores do intervalo de entrada.</t>
  </si>
  <si>
    <t xml:space="preserve"> - O lambda de Poisson é necessário e tem de ser um número maior que zero.</t>
  </si>
  <si>
    <t xml:space="preserve"> - O tipo de distribuição é necessário. Escreva um número inteiro entre 1 e 7.</t>
  </si>
  <si>
    <t xml:space="preserve"> - 'Total de números aleatórios' tem de ser um número inteiro maior que zero.</t>
  </si>
  <si>
    <t xml:space="preserve"> - Distribuição discreta: não é possível encontrar um valor de correspondência para a probabilidade seleccionada aleatoriamente.</t>
  </si>
  <si>
    <t xml:space="preserve"> - 'Número de variáveis' tem de ser um número inteiro maior que zero.</t>
  </si>
  <si>
    <t xml:space="preserve"> - Escolha pelo menos uma opção estatística.</t>
  </si>
  <si>
    <t xml:space="preserve"> - É necessário preencher um número para 'Linhas por amostra'.</t>
  </si>
  <si>
    <t xml:space="preserve"> - 'Linhas por amostra' tem de ser um número inteiro maior que zero.</t>
  </si>
  <si>
    <t xml:space="preserve"> - Cada amostra tem de ter o mesmo número de linhas.</t>
  </si>
  <si>
    <t xml:space="preserve"> - Os intervalos X e Y têm de ter o mesmo número de linhas (valores da amostra), independentemente dos rótulos.</t>
  </si>
  <si>
    <t xml:space="preserve"> - Método de amostragem inválido. Escreva 'P' para amostragem periódica e 'A' para amostragem aleatória.</t>
  </si>
  <si>
    <t xml:space="preserve"> - É necessário preencher 'Método de amostragem'.</t>
  </si>
  <si>
    <t xml:space="preserve"> - A semente tem de ser um número inteiro entre 1 e 32767.</t>
  </si>
  <si>
    <t xml:space="preserve"> - Não é possível modificar uma folha protegida.</t>
  </si>
  <si>
    <t xml:space="preserve"> - São necessários limites uniformes, que têm de ser numéricos.</t>
  </si>
  <si>
    <t xml:space="preserve"> - AMBOS os intervalos de variáveis têm de ser linhas ou colunas.</t>
  </si>
  <si>
    <t xml:space="preserve"> - Os intervalos de variáveis têm de ter o mesmo número de pontos de dados. </t>
  </si>
  <si>
    <t xml:space="preserve"> - Os intervalos de variáveis têm de ter no mínimo dois pontos de dados. </t>
  </si>
  <si>
    <t xml:space="preserve"> - 'Intervalo da variável 1' tem de ser uma referência contígua.</t>
  </si>
  <si>
    <t xml:space="preserve"> - Falta preencher 'Intervalo da variável 1'.</t>
  </si>
  <si>
    <t xml:space="preserve"> - Os intervalos das variáveis 1 e 2 não se podem sobrepor.</t>
  </si>
  <si>
    <t xml:space="preserve"> - 'Intervalo da variável 1' e 'Intervalo de saída' não se podem sobrepor. </t>
  </si>
  <si>
    <t xml:space="preserve"> - 'Intervalo da variável 2' tem de ser uma referência contígua. </t>
  </si>
  <si>
    <t xml:space="preserve"> - Falta preencher 'Intervalo da variável 2'.</t>
  </si>
  <si>
    <t xml:space="preserve"> - 'Intervalo da variável 2' e 'Intervalo de saída' não se podem sobrepor.</t>
  </si>
  <si>
    <t xml:space="preserve"> - O tipo de distribuição aleatória deve ser um número entre 1 e 7.</t>
  </si>
  <si>
    <t xml:space="preserve"> - 'Intervalo X' e 'Intervalo de saída' vão sobrepor-se. Escolha um intervalo de saída diferente.</t>
  </si>
  <si>
    <t xml:space="preserve"> - 'Intervalo X' tem de ser uma referência contígua.</t>
  </si>
  <si>
    <t xml:space="preserve"> - Falta preencher 'Intervalo X'.</t>
  </si>
  <si>
    <t xml:space="preserve"> - O número de linhas e colunas de 'Intervalo X' não pode ser o mesmo.</t>
  </si>
  <si>
    <t xml:space="preserve"> - 'Intervalo X' e 'Intervalo Y' não se podem sobrepor.</t>
  </si>
  <si>
    <t xml:space="preserve"> - 'Intervalo Y' e 'Intervalo de saída' vão sobrepor-se.  Escolha um intervalo de saída diferente.</t>
  </si>
  <si>
    <t xml:space="preserve"> - 'Intervalo Y' tem de ser uma referência contígua.</t>
  </si>
  <si>
    <t xml:space="preserve"> - Falta preencher 'Intervalo Y'.</t>
  </si>
  <si>
    <t xml:space="preserve"> - 'Variância 1' tem de ser um número maior que zero.</t>
  </si>
  <si>
    <t xml:space="preserve"> - 'Variância 2' tem de ser um número maior que zero.</t>
  </si>
  <si>
    <t xml:space="preserve"> - Não é possível aceder aos controlos de ActiveX do livro.  Para obter ajuda, contacte o serviço de apoio ao cliente.</t>
  </si>
  <si>
    <t xml:space="preserve"> - Não é possível adicionar o gráfico a um livro partilhado.  Deseja continuar a criação da tabela de saída?</t>
  </si>
  <si>
    <t>Tietojen analysointi</t>
  </si>
  <si>
    <t>Anova: yksisuuntainen</t>
  </si>
  <si>
    <t>Regressio</t>
  </si>
  <si>
    <t>Korrelaatio</t>
  </si>
  <si>
    <t>Tunnusluvut</t>
  </si>
  <si>
    <t>Eksponentiaalinen tasoitus</t>
  </si>
  <si>
    <t>Kahden otoksen F-testi variansseille</t>
  </si>
  <si>
    <t>Otanta</t>
  </si>
  <si>
    <t>Satunnaislukujen luonti</t>
  </si>
  <si>
    <t>Peruuta</t>
  </si>
  <si>
    <t>&amp;Analyysityökalut</t>
  </si>
  <si>
    <t>Syöttö</t>
  </si>
  <si>
    <t>Tulostusasetukset</t>
  </si>
  <si>
    <t>&amp;Muuttujien lukumäärä:</t>
  </si>
  <si>
    <t>&amp;Syöttöalue:</t>
  </si>
  <si>
    <t>&amp;Y-syöttöalue:</t>
  </si>
  <si>
    <t>&amp;1. muuttujan alue:</t>
  </si>
  <si>
    <t>&amp;Korvaa alueen tiedot:</t>
  </si>
  <si>
    <t>Satunna&amp;islukujen määrä:</t>
  </si>
  <si>
    <t>Ryhmitys:</t>
  </si>
  <si>
    <t>&amp;X-syöttöalue:</t>
  </si>
  <si>
    <t>Kirjoita uuteen &amp;alueeseen:</t>
  </si>
  <si>
    <t>Va&amp;imennuskerroin:</t>
  </si>
  <si>
    <t>&amp;2. muuttujan alue:</t>
  </si>
  <si>
    <t>Otsi&amp;kot</t>
  </si>
  <si>
    <t>Uusi &amp;laskentataulukko:</t>
  </si>
  <si>
    <t>Otantamenetelmä</t>
  </si>
  <si>
    <t>&amp;Jakauma:</t>
  </si>
  <si>
    <t>O&amp;tsikot ensimmäisessä sarakkeessa</t>
  </si>
  <si>
    <t>S&amp;arakkeittain</t>
  </si>
  <si>
    <t>Ots&amp;ikot</t>
  </si>
  <si>
    <t>Uusi &amp;työkirja</t>
  </si>
  <si>
    <t>O&amp;tsikot</t>
  </si>
  <si>
    <t>O&amp;tsikot ensimmäisellä rivillä</t>
  </si>
  <si>
    <t>Ri&amp;veittäin</t>
  </si>
  <si>
    <t>&amp;Vakio on nolla</t>
  </si>
  <si>
    <t>Tiedot kirjoitetaan soluihin, jotka eivät ole tyhjiä: tietoja voi kadota!</t>
  </si>
  <si>
    <t>Al&amp;fa:</t>
  </si>
  <si>
    <t>&amp;Jaksollinen</t>
  </si>
  <si>
    <t>Parametrit</t>
  </si>
  <si>
    <t>Luotettavuusta&amp;so</t>
  </si>
  <si>
    <t>Otsi&amp;kot ensimmäisellä rivillä</t>
  </si>
  <si>
    <t>Satu&amp;nnaisluku</t>
  </si>
  <si>
    <t>Tu&amp;lostusalue:</t>
  </si>
  <si>
    <t>Jakso:</t>
  </si>
  <si>
    <t>Päivä&amp;määrä  Aika</t>
  </si>
  <si>
    <t>&amp;Uusi laskentataulukko:</t>
  </si>
  <si>
    <t>Tiedot</t>
  </si>
  <si>
    <t>Ohje</t>
  </si>
  <si>
    <t>Uusi työki&amp;rja</t>
  </si>
  <si>
    <t>Otantojen lukumäärä:</t>
  </si>
  <si>
    <t>Matemaattiset ja trigonometriset</t>
  </si>
  <si>
    <t>Tilasto</t>
  </si>
  <si>
    <t>Rahoitus</t>
  </si>
  <si>
    <t>K&amp;aaviotulostus</t>
  </si>
  <si>
    <t>Tekniset</t>
  </si>
  <si>
    <t>Keski&amp;virheet</t>
  </si>
  <si>
    <t>Tunnuslukujen y&amp;hteenveto</t>
  </si>
  <si>
    <t>Kesk&amp;iarvon luotettavuustaso:</t>
  </si>
  <si>
    <t>Jäännökset</t>
  </si>
  <si>
    <t>Arvon ja to&amp;dennäköisyyden syöttöalue:</t>
  </si>
  <si>
    <t>Anova: kaksisuuntainen, toistot sallittuja</t>
  </si>
  <si>
    <t>Jäännökse&amp;t</t>
  </si>
  <si>
    <t>Kovarianssi</t>
  </si>
  <si>
    <t>Anova: kaksisuuntainen ilman toistoa</t>
  </si>
  <si>
    <t>Normalisoi&amp;dut jäännökset</t>
  </si>
  <si>
    <t>K:&amp;nneksi suurin:</t>
  </si>
  <si>
    <t>&amp;Siemenluku:</t>
  </si>
  <si>
    <t>YHTEENVETO</t>
  </si>
  <si>
    <t>&amp;Jäännöskaavio</t>
  </si>
  <si>
    <t>Parittainen kahden otoksen t-testi keskiarvoille</t>
  </si>
  <si>
    <t>Ryhmät</t>
  </si>
  <si>
    <t>&amp;Ennustekaavio</t>
  </si>
  <si>
    <t>K:nn&amp;eksi pienin:</t>
  </si>
  <si>
    <t>Lukumäärä</t>
  </si>
  <si>
    <t>Normaalitodennäköisyys</t>
  </si>
  <si>
    <t>Summa</t>
  </si>
  <si>
    <t>Normaalitode&amp;nnäköisyyden kaavio</t>
  </si>
  <si>
    <t>Keskiarvo</t>
  </si>
  <si>
    <t>Varianssi</t>
  </si>
  <si>
    <t>Vaihtelun lähde</t>
  </si>
  <si>
    <t>Ri&amp;vejä otoksessa:</t>
  </si>
  <si>
    <t>NS</t>
  </si>
  <si>
    <t>&amp;Arvioitu keskiarvojen ero:</t>
  </si>
  <si>
    <t>va</t>
  </si>
  <si>
    <t>KN</t>
  </si>
  <si>
    <t>P-arvo</t>
  </si>
  <si>
    <t>F-kriittinen</t>
  </si>
  <si>
    <t>Yhteensä</t>
  </si>
  <si>
    <t>Luokkien välissä</t>
  </si>
  <si>
    <t>Ryhmissä</t>
  </si>
  <si>
    <t>Otos</t>
  </si>
  <si>
    <t>Sarake</t>
  </si>
  <si>
    <t>Vuorovaikutus</t>
  </si>
  <si>
    <t>Järjestys ja prosenttipiste</t>
  </si>
  <si>
    <t>&amp;Välillä</t>
  </si>
  <si>
    <t>Sisällä</t>
  </si>
  <si>
    <t>Rivit</t>
  </si>
  <si>
    <t>j&amp;a</t>
  </si>
  <si>
    <t>Sarakkeet</t>
  </si>
  <si>
    <t>Virhe</t>
  </si>
  <si>
    <t>Kahden otoksen t-testi olettaen varianssit yhtäsuuriksi</t>
  </si>
  <si>
    <t>Mis&amp;tä</t>
  </si>
  <si>
    <t>Keskivirhe</t>
  </si>
  <si>
    <t>Mediaani</t>
  </si>
  <si>
    <t>mi&amp;hin</t>
  </si>
  <si>
    <t>Moodi</t>
  </si>
  <si>
    <t>Keskihajonta</t>
  </si>
  <si>
    <t>&amp;Askelväli:</t>
  </si>
  <si>
    <t>Otosvarianssi</t>
  </si>
  <si>
    <t>Toist&amp;etaan kaikki numerot</t>
  </si>
  <si>
    <t>Vinous</t>
  </si>
  <si>
    <t>Alue</t>
  </si>
  <si>
    <t>kertaa</t>
  </si>
  <si>
    <t>Minimi</t>
  </si>
  <si>
    <t>Toistetaa&amp;n sarja</t>
  </si>
  <si>
    <t>Maksimi</t>
  </si>
  <si>
    <t>Suurin</t>
  </si>
  <si>
    <t>Pienin</t>
  </si>
  <si>
    <t>Luotettavuustaso</t>
  </si>
  <si>
    <t>Liukuva keskiarvo</t>
  </si>
  <si>
    <t>Fourier-analyysi</t>
  </si>
  <si>
    <t>Todellinen</t>
  </si>
  <si>
    <t>Ennuste</t>
  </si>
  <si>
    <t>Arvopiste</t>
  </si>
  <si>
    <t>Arvo</t>
  </si>
  <si>
    <t>Histogrammi</t>
  </si>
  <si>
    <t>K&amp;eskiarvo =</t>
  </si>
  <si>
    <t>Luokka</t>
  </si>
  <si>
    <t>Frekvenssi</t>
  </si>
  <si>
    <t>&amp;Keskihajonta =</t>
  </si>
  <si>
    <t>Kumulatiivinen %</t>
  </si>
  <si>
    <t>Kahden otoksen t-testi olettaen varianssit erisuuriksi</t>
  </si>
  <si>
    <t>Lisää</t>
  </si>
  <si>
    <t>Lukujen &amp;määrä:</t>
  </si>
  <si>
    <t>Kää&amp;ntäen verrannollinen</t>
  </si>
  <si>
    <t>Havainnot</t>
  </si>
  <si>
    <t>P(F&lt;=f) yksisuuntainen</t>
  </si>
  <si>
    <t>Ar&amp;vioitu keskiarvojen ero:</t>
  </si>
  <si>
    <t>F-kriittinen yksisuuntainen</t>
  </si>
  <si>
    <t>Arvioitu keskiarvojen ero</t>
  </si>
  <si>
    <t>Kaa&amp;viotulostus</t>
  </si>
  <si>
    <t>Yhdistetty varianssi</t>
  </si>
  <si>
    <t>Keskivir&amp;heet</t>
  </si>
  <si>
    <t>Pearsonin korrelaatio</t>
  </si>
  <si>
    <t>P(T&lt;=t) yksisuuntainen</t>
  </si>
  <si>
    <t>p &amp;Arvo =</t>
  </si>
  <si>
    <t>P(T&lt;=t) kaksisuuntainen</t>
  </si>
  <si>
    <t>t Tunnusluvut</t>
  </si>
  <si>
    <t>t-kriittinen yksisuuntainen</t>
  </si>
  <si>
    <t>t-kriittinen kaksisuuntainen</t>
  </si>
  <si>
    <t>Muuttuja 1</t>
  </si>
  <si>
    <t>Luokka-alu&amp;e:</t>
  </si>
  <si>
    <t>Muuttuja 2</t>
  </si>
  <si>
    <t>Kahden otoksen z-testi keskiarvoille</t>
  </si>
  <si>
    <t>Tunnettu varianssi</t>
  </si>
  <si>
    <t>P(Z&lt;=z) yksisuuntainen</t>
  </si>
  <si>
    <t>z-kriittinen yksisuuntainen</t>
  </si>
  <si>
    <t>P(Z&lt;=z) kaksisuuntainen</t>
  </si>
  <si>
    <t>&amp;Yritysten lukumäärä =</t>
  </si>
  <si>
    <t>z-kriittinen kaksisuuntainen</t>
  </si>
  <si>
    <t>Järjestys</t>
  </si>
  <si>
    <t>&amp;Järjestys (lajiteltu histogrammi)</t>
  </si>
  <si>
    <t>Prosentti</t>
  </si>
  <si>
    <t>Ku&amp;mulatiivinen prosentti</t>
  </si>
  <si>
    <t>Piste</t>
  </si>
  <si>
    <t>Rivi</t>
  </si>
  <si>
    <t>Tasainen</t>
  </si>
  <si>
    <t>Normaali</t>
  </si>
  <si>
    <t>1. &amp;muuttujan varianssi (tunnettu):</t>
  </si>
  <si>
    <t>Binomi</t>
  </si>
  <si>
    <t>2. muuttuja&amp;n varianssi (tunnettu):</t>
  </si>
  <si>
    <t>Mallitettu</t>
  </si>
  <si>
    <t>Diskreetti</t>
  </si>
  <si>
    <t>JÄÄNNÖSTULOSTUS</t>
  </si>
  <si>
    <t>Lam&amp;bda =</t>
  </si>
  <si>
    <t>Havainto</t>
  </si>
  <si>
    <t>Ennustettu</t>
  </si>
  <si>
    <t>Ennustettu Y</t>
  </si>
  <si>
    <t>Normalisoidut jäännökset</t>
  </si>
  <si>
    <t>TODENNÄKÖISYYS TULOSTUS</t>
  </si>
  <si>
    <t>Prosenttipiste</t>
  </si>
  <si>
    <t>YHTEENVETO TULOSTUS</t>
  </si>
  <si>
    <t>Regressiotunnusluvut</t>
  </si>
  <si>
    <t>Kerroin R</t>
  </si>
  <si>
    <t>Korrelaatiokerroin</t>
  </si>
  <si>
    <t>Tarkistettu korrelaatiokerroin</t>
  </si>
  <si>
    <t>Jäännös</t>
  </si>
  <si>
    <t>F:n tarkkuus</t>
  </si>
  <si>
    <t>Ar&amp;von ja todennäköisyyden syöttöalue:</t>
  </si>
  <si>
    <t>Leikkauspiste</t>
  </si>
  <si>
    <t>Alin</t>
  </si>
  <si>
    <t>Alin 95%</t>
  </si>
  <si>
    <t>Ylin</t>
  </si>
  <si>
    <t>Ylin 95%</t>
  </si>
  <si>
    <t>Muuttuja X</t>
  </si>
  <si>
    <t>Kertoimet</t>
  </si>
  <si>
    <t xml:space="preserve"> Jäännöskaavio</t>
  </si>
  <si>
    <t>Ennustekaavio</t>
  </si>
  <si>
    <t>Normaalitodennäköisyyden kaavio</t>
  </si>
  <si>
    <t>Otoksen prosenttipiste</t>
  </si>
  <si>
    <t>Laskenta</t>
  </si>
  <si>
    <t xml:space="preserve"> - Muistin kohdennusvirhe. Yritä uudelleen..</t>
  </si>
  <si>
    <t xml:space="preserve"> -  Alfan on oltava luku 0 - 1.</t>
  </si>
  <si>
    <t xml:space="preserve"> - Bernoulli-jakauman todennäköisyys tarvitaan ja sen on oltava luku 0 - 1.</t>
  </si>
  <si>
    <t xml:space="preserve"> - Binomitodennäköisyys tarvitaan ja sen on oltava luku 0 - 1.</t>
  </si>
  <si>
    <t xml:space="preserve"> - Yritysten lukumäärä tarvitaan ja sen on oltava nollaa suurempi kokonaisluku.</t>
  </si>
  <si>
    <t xml:space="preserve"> - Luokka-alue ei voi olla tyhjä.</t>
  </si>
  <si>
    <t xml:space="preserve"> - Luokka-aluetta ei ole pakko määrittää. Jos se määritetään, sen on oltava viittaus.</t>
  </si>
  <si>
    <t xml:space="preserve"> - Luokka-alueella saa olla vai numeerista tietoa.</t>
  </si>
  <si>
    <t xml:space="preserve"> - Luokka-alue ja syöttöalue menevät päällekkäin.</t>
  </si>
  <si>
    <t xml:space="preserve"> - Luokka-alue ja tulostusalue menevät päällekäin.</t>
  </si>
  <si>
    <t xml:space="preserve"> - Tyhjistä luokista ei voi piirtää kaaviota.</t>
  </si>
  <si>
    <t xml:space="preserve"> - Kaaviotulostuksen on oltava totuusarvo.</t>
  </si>
  <si>
    <t xml:space="preserve"> - Vakion on oltava totuusarvo.</t>
  </si>
  <si>
    <t xml:space="preserve"> - Kumulatiivisen prosentin tulisi olla totuusarvo.</t>
  </si>
  <si>
    <t xml:space="preserve"> - Kääntäen verrannollisen on oltava totuusarvo.</t>
  </si>
  <si>
    <t xml:space="preserve"> - Ennustekaavion on oltava totuusarvo.</t>
  </si>
  <si>
    <t xml:space="preserve"> - Otsikon on oltava totuusarvo.</t>
  </si>
  <si>
    <t xml:space="preserve"> - Järjestyksen on oltava totuusarvo.</t>
  </si>
  <si>
    <t xml:space="preserve"> - Normaalitodennäköisyyden kaavion arvon on oltava totuusarvo.</t>
  </si>
  <si>
    <t xml:space="preserve"> - Jäännöskaavion on oltava totuusarvo.</t>
  </si>
  <si>
    <t xml:space="preserve"> - Jäännösten on oltava totuusarvo.</t>
  </si>
  <si>
    <t xml:space="preserve"> - Keskivirheiden tulostuksen on oltava totuusarvo.</t>
  </si>
  <si>
    <t xml:space="preserve"> - Normalisoitujen jäännösten on oltava totuusarvo.</t>
  </si>
  <si>
    <t xml:space="preserve"> - Tunnuslukujen yhteenvedon on oltava totuusarvo.</t>
  </si>
  <si>
    <t xml:space="preserve"> - Syöttö- tai tulostusaluetta ei voi muuntaa kelvolliseksi viittaukseksi!</t>
  </si>
  <si>
    <t xml:space="preserve"> - Alueiden välille ei voi luoda suhteellista viittausta.</t>
  </si>
  <si>
    <t xml:space="preserve"> - Osa tiedoista peittyy upotettujen kaavioiden alle.</t>
  </si>
  <si>
    <t xml:space="preserve"> - Kaaviota ei voi piirtää, koska viittaus ylittää laskentataulukon rajat.</t>
  </si>
  <si>
    <t xml:space="preserve"> - Oletko varma, että haluat peruuttaa tämän toiminnon?</t>
  </si>
  <si>
    <t xml:space="preserve"> - Luottamusvälin on oltava luku 0 - 100.</t>
  </si>
  <si>
    <t xml:space="preserve"> - Syöttöaluetta ei voi muuntaa arvoiksi ja todennäköisyyksiksi. Yritä uudelleen.</t>
  </si>
  <si>
    <t xml:space="preserve"> - Vaimennuskertoimen on oltava luku.</t>
  </si>
  <si>
    <t xml:space="preserve"> - Vaimennuskertoimen on oltava positiivinen luku.</t>
  </si>
  <si>
    <t xml:space="preserve"> - Diskreetin jakauman todennäköisyyssarakkeen lukujen summan on oltava 1.</t>
  </si>
  <si>
    <t xml:space="preserve"> - Määritä kahden sarakkeen levyinen alue diskreetin jakauman arvon ja todennäköisyyden syöttöaluetta varten.</t>
  </si>
  <si>
    <t xml:space="preserve"> - Määritä syöttöalue, jossa on vähintään kaksi arvoa ja todennäköisyyttä.</t>
  </si>
  <si>
    <t xml:space="preserve"> - Diskreetin jakauman arvo- ja todennäköisyysalueissa saa olla vain numeerista tietoa ja molemmissa alueissa on oltava sama määrä tietoja</t>
  </si>
  <si>
    <t xml:space="preserve"> - Diskreetin jakauman arvo- ja todennäköisyysalue eivät voi sijoittua toistensa päälle.</t>
  </si>
  <si>
    <t xml:space="preserve"> - Syöttöalueen täytyy sisältää vähintään 5 arvopistettä.</t>
  </si>
  <si>
    <t xml:space="preserve"> - Liian monta argumenttia. Tarkasta funktion SATUNNAISJAKAUMA syntaksi.</t>
  </si>
  <si>
    <t xml:space="preserve"> - X-syöttöalue ei voi sisältää enempää kuin 16 muuttujaa (saraketta).</t>
  </si>
  <si>
    <t xml:space="preserve"> - Syöttöarvojen lukumäärän on oltava kahden potenssi. Esimerkiksi: 2, 4, 8, 16,  32, 64, 128,...</t>
  </si>
  <si>
    <t xml:space="preserve"> - Syöttöarvojen lukumäärä saa olla korkeintaan 4096.</t>
  </si>
  <si>
    <t xml:space="preserve"> - Osoita tietoryhmien järjestys käyttämällä tunnusta "C" sarakkeita varten ja tunnusta "R" rivejä varten.</t>
  </si>
  <si>
    <t xml:space="preserve"> - Syöttöalueen tulisi sisältää vähintään kaksi tietolohkoa järjestettynä riveittäin tai sarakkeittain.</t>
  </si>
  <si>
    <t xml:space="preserve"> - Syöttöalueen on oltava jatkuva viittaus.</t>
  </si>
  <si>
    <t xml:space="preserve"> - Syöttöalue puuttuu. Syötä alue.</t>
  </si>
  <si>
    <t xml:space="preserve"> - Syöttö- ja tulostusalueet menevät päällekkäin. Syötä alueet uudelleen.</t>
  </si>
  <si>
    <t xml:space="preserve"> - Syöttöalueen täytyy sisältää ainakin yksi arvopiste.</t>
  </si>
  <si>
    <t xml:space="preserve"> - Luvun on oltava numeerinen arvo.</t>
  </si>
  <si>
    <t xml:space="preserve"> - Luvun on oltava positiivinen kokonaisluku.</t>
  </si>
  <si>
    <t xml:space="preserve"> - Luku ei voi olla suurempi kuin arvopisteet.</t>
  </si>
  <si>
    <t xml:space="preserve"> - Syöttöalue sisältää virheellisen kompleksiluvun. Kompleksiluvun muoto on x+yi tai x+yj</t>
  </si>
  <si>
    <t xml:space="preserve"> - Kaikilla kompleksiluvuilla on oltava sama loppuliite - joko "i" tai "j".</t>
  </si>
  <si>
    <t xml:space="preserve"> - K:nneksi suurimman on oltava nollaa suurempi kokonaisluku ja se ei saa olla suurempi kuin arvopisteiden lukumäärä.</t>
  </si>
  <si>
    <t xml:space="preserve"> - K:nneksi pienimmän on oltava nollaa suurempi kokonaisluku ja se ei saa olla suurempi kuin arvopisteiden lukumäärä.</t>
  </si>
  <si>
    <t xml:space="preserve"> - Funktio LINREGR palauttaa virhearvon. Tarkasta syöttöarvot.</t>
  </si>
  <si>
    <t xml:space="preserve"> - Keskiarvojen eron on oltava positiivinen luku.</t>
  </si>
  <si>
    <t xml:space="preserve"> - Funktio tarvitsee lisää argumentteja.</t>
  </si>
  <si>
    <t xml:space="preserve"> - Syöttö- ja tulostusalueiden on oltava samassa taulukossa.</t>
  </si>
  <si>
    <t xml:space="preserve"> - Syöttö- ja tulostusalueiden on oltava jatkuvia solualueita.</t>
  </si>
  <si>
    <t xml:space="preserve"> - Syöttöalueen on oltava yksittäinen rivi tai sarake.</t>
  </si>
  <si>
    <t xml:space="preserve"> - Syöttöalueilla on oltava yhtä monta arvopistettä.</t>
  </si>
  <si>
    <t xml:space="preserve"> - Syöttöalueen on sisällettävä vähintään neljä arvopistettä.</t>
  </si>
  <si>
    <t>#PUUTTUU!</t>
  </si>
  <si>
    <t xml:space="preserve"> - Uutta työkirjaa ei voi luoda.</t>
  </si>
  <si>
    <t xml:space="preserve"> - Ei voi luoda uutta taulukkoa tulostusta varten.</t>
  </si>
  <si>
    <t xml:space="preserve">  Analyysityökalujen päävalintaikkunaa ei voi avata. Saat apua ottamalla yhteyttä tuotetukeen.</t>
  </si>
  <si>
    <t xml:space="preserve">  Valitun toiminnon valintaikkunaa ei voi avata. Saat apua ottamalla yhteyttä tuotetukeen.</t>
  </si>
  <si>
    <t xml:space="preserve"> - Syöttöalue sisältää tietoja, jotka eivät ole lukuarvoja.</t>
  </si>
  <si>
    <t xml:space="preserve"> - Normaalijakauman keskiarvo tarvitaan ja sen on oltava luku.</t>
  </si>
  <si>
    <t xml:space="preserve"> - Normaalijakauman keskihajonta tarvitaan ja sen on oltava nollasta poikkeava luku.</t>
  </si>
  <si>
    <t xml:space="preserve"> - Otosten lukumäärän on oltava nollaa suurempi kokonaisluku.</t>
  </si>
  <si>
    <t xml:space="preserve"> - Kirjoita satunnaisten otosten lukumäärä.</t>
  </si>
  <si>
    <t xml:space="preserve"> - Ongelmia siirrettäessä syöttö- tai tulostusviittausta.</t>
  </si>
  <si>
    <t xml:space="preserve"> - Lähdetaulukon avaaminen ei onnistu</t>
  </si>
  <si>
    <t xml:space="preserve"> - Virheellinen tulostusasetus.</t>
  </si>
  <si>
    <t xml:space="preserve"> - Tulostusalueen täytyy olla kelvollinen viittaus.</t>
  </si>
  <si>
    <t xml:space="preserve"> - Tulostusalue puuttuu. Kirjoita tulostusalue.</t>
  </si>
  <si>
    <t xml:space="preserve"> - Arvioitu tulostaulukko sijoittuu osittain laskentataulukon rajojen ulkopuolelle. Valitse uusi viittaus.</t>
  </si>
  <si>
    <t xml:space="preserve"> - Tulostusalue on olemassa olevien tietojen päällä. Paina OK, jos haluat kirjoittaa tiedot alueelle:</t>
  </si>
  <si>
    <t xml:space="preserve"> - Mallitetunjakauman alku ei saavuta loppua annetulla asekeleella.</t>
  </si>
  <si>
    <t xml:space="preserve"> - Mallitetetunjakauman alku tarvitaan ja sen on oltava luku.</t>
  </si>
  <si>
    <t xml:space="preserve"> - Mallitetun jakauman askel tarvitaan ja sen on oltava nollasta poikkeava luku.</t>
  </si>
  <si>
    <t xml:space="preserve"> - Mallitetun jakauman loppu tarvitaan ja sen on oltava luku.</t>
  </si>
  <si>
    <t xml:space="preserve"> - Mallitetun jakauman toistoarvo vaaditaan ja sen on oltava nollaa suurempi kokonaisluku.</t>
  </si>
  <si>
    <t xml:space="preserve"> - Mallitetun jakauman toistojaksot tarvitaan ja niiden on oltava nollaa suurempia kokonaislukuja.</t>
  </si>
  <si>
    <t xml:space="preserve"> - Kausittaisen taajuuden on oltava nollaa suurempi kokonaisluku.</t>
  </si>
  <si>
    <t xml:space="preserve"> - Kirjoita otannan kausittainen taajuus.</t>
  </si>
  <si>
    <t xml:space="preserve"> - Kausittainen taajuus ei saa olla suurempi kuin syöttöalueen arvojen lukumäärä.</t>
  </si>
  <si>
    <t xml:space="preserve"> - Poissonin lambda tarvitaan ja sen on oltava nollaa suurempi luku.</t>
  </si>
  <si>
    <t xml:space="preserve"> - Jakauman laji tarvitaan. Arvon tulee olla kokonaisluku 1 - 7..</t>
  </si>
  <si>
    <t xml:space="preserve"> - Satunnaislukujen lukumäärän täytyy olla nollaa suurempi kokonaisluku.</t>
  </si>
  <si>
    <t xml:space="preserve"> - Diskreetti jakauma: satunnaisesti valitun todennäköisyyden arvoa ei löydy.</t>
  </si>
  <si>
    <t xml:space="preserve"> - Muuttujien lukumäärän täytyy olla nollaa suurempi kokonaisluku.</t>
  </si>
  <si>
    <t xml:space="preserve"> - Valitse vähintään yksi tilastollinen valinta.</t>
  </si>
  <si>
    <t xml:space="preserve"> - Rivejä sarakkeessa tarvitaan. Kirjoita rivien lukumäärä.</t>
  </si>
  <si>
    <t xml:space="preserve"> - Rivejä sarakkeessa on oltava nollaa suurempi kokonaisluku.</t>
  </si>
  <si>
    <t xml:space="preserve"> - Jokaisessa otoksessa on oltava määrä rivejä.</t>
  </si>
  <si>
    <t xml:space="preserve"> - X- ja Y-alueella on oltava sama määrä rivejä (otosarvoja) riippumatta otsikoiden määrästä.</t>
  </si>
  <si>
    <t xml:space="preserve"> - Virheellinen otosmenetelmä. Kirjoita "K" kausittaista otosmenetelmää varten tai "S" satunnaista otosmenetelmää varten.</t>
  </si>
  <si>
    <t xml:space="preserve"> - Tarvitaan otosmenetelmä. Kirjoita otosmenetelmä.</t>
  </si>
  <si>
    <t xml:space="preserve"> - Siemenluvun on oltava kokonaisluku 1 - 32767.</t>
  </si>
  <si>
    <t xml:space="preserve"> - Tulostusalue on suojatussa laskentataulukossa. Suojattuun laskentataulukkoon ei voi kirjoittaa.</t>
  </si>
  <si>
    <t xml:space="preserve"> - Tasaisen jakauman rajat on annettava ja niiden on oltava numeerisia.</t>
  </si>
  <si>
    <t xml:space="preserve"> - Molempien muuttuja- alueiden on oltava rivejä tai sarakkeita.</t>
  </si>
  <si>
    <t xml:space="preserve"> - Muuttuja-alueissa on oltava sama määrä arvopisteitä.</t>
  </si>
  <si>
    <t xml:space="preserve"> - Muuttuja-alueissa on oltava vähintään kaksi arvopistettä.</t>
  </si>
  <si>
    <t xml:space="preserve"> - Muuttujan 1 alueen on oltava jatkuva viittaus.</t>
  </si>
  <si>
    <t xml:space="preserve"> - Muuttujan 1 alue puuttuu. Kirjoita muuttujan 1 alue.</t>
  </si>
  <si>
    <t xml:space="preserve"> - Muuttuja-alueet 1 ja 2 eivät saa sijoittua edes osittain päällekkäin.</t>
  </si>
  <si>
    <t xml:space="preserve"> - Muuttujan 1 alue ja tulostusalue eivät saa sijoittua edes osittain päällekäin.</t>
  </si>
  <si>
    <t xml:space="preserve"> - Muuttujan 2 alueen on oltava jatkuva viittaus.</t>
  </si>
  <si>
    <t xml:space="preserve"> - Muuttujan 2 alue ja tulostusalue eivät saa sijoittua edes osittain päällekäin</t>
  </si>
  <si>
    <t xml:space="preserve"> - Satunnaisen jakauman lajin tulee olla luku 1 - 7.</t>
  </si>
  <si>
    <t xml:space="preserve"> - X-alue ja tulostusalue sijoittuvat päällekkäin. Valitse uusi tulostusalue.</t>
  </si>
  <si>
    <t xml:space="preserve"> -  X:n syöttöalueen on oltava jatkuva viittaus.</t>
  </si>
  <si>
    <t xml:space="preserve"> - X.n syöttöalue puuttuu. Kirjoita X:n syöttöalue.</t>
  </si>
  <si>
    <t xml:space="preserve"> - Rivien ja sarakkeiden määrä X-alueella eivät saa olla yhtäsuuret.</t>
  </si>
  <si>
    <t xml:space="preserve"> - X- ja Y-alue eivät saa sijoittua päällekkäin.</t>
  </si>
  <si>
    <t xml:space="preserve"> - Y-alue ja tulostusalue sijoittuvat päällekkäin. Valitse uusi tulostusalue.</t>
  </si>
  <si>
    <t xml:space="preserve"> - Y:n syöttöalueen on oltava jatkuva viittaus.</t>
  </si>
  <si>
    <t xml:space="preserve"> - Y:n syöttöalue puuttuu. Kirjoita Y:n syöttöalue.</t>
  </si>
  <si>
    <t xml:space="preserve"> - Varianssin 1 on oltava nollaa suurempi luku.</t>
  </si>
  <si>
    <t xml:space="preserve"> - Varianssin 2 on oltava nollaa suurempi luku.</t>
  </si>
  <si>
    <t xml:space="preserve"> - Työkirjan ActiveX-ohjausobjekteja ei voida käyttää.  Ota yhteyttä tuotetukeen.</t>
  </si>
  <si>
    <t xml:space="preserve"> - Jaettuun työkirjaan ei voi lisätä kaaviota.  Jatketaanko tulostustaulukon luomista?</t>
  </si>
  <si>
    <t>Adatelemzés</t>
  </si>
  <si>
    <t>Egytényezős varianciaanalízis</t>
  </si>
  <si>
    <t>Regresszió</t>
  </si>
  <si>
    <t>Korrelációanalízis</t>
  </si>
  <si>
    <t>Leíró statisztika</t>
  </si>
  <si>
    <t>Exponenciális simítás</t>
  </si>
  <si>
    <t>Kétmintás F-próba a szórásnégyzetre</t>
  </si>
  <si>
    <t>Mintavétel</t>
  </si>
  <si>
    <t>Véletlenszám-generálás</t>
  </si>
  <si>
    <t>Mégse</t>
  </si>
  <si>
    <t>&amp;Elemző módszerek</t>
  </si>
  <si>
    <t>Bemenet</t>
  </si>
  <si>
    <t>Kimeneti beállítások</t>
  </si>
  <si>
    <t>&amp;Változók száma:</t>
  </si>
  <si>
    <t>&amp;Bemeneti tartomány:</t>
  </si>
  <si>
    <t>Bemeneti &amp;Y tartomány:</t>
  </si>
  <si>
    <t>&amp;1. változótartomány:</t>
  </si>
  <si>
    <t>&amp;Ebben a tartományban felülírja:</t>
  </si>
  <si>
    <t>Véletlens&amp;zámok száma:</t>
  </si>
  <si>
    <t>O</t>
  </si>
  <si>
    <t>Csoportosítási alap:</t>
  </si>
  <si>
    <t>Bemeneti &amp;X tartomány:</t>
  </si>
  <si>
    <t>Új &amp;tartományba írja:</t>
  </si>
  <si>
    <t>&amp;Csillapítási tényező:</t>
  </si>
  <si>
    <t>&amp;2. változótartomány:</t>
  </si>
  <si>
    <t>F&amp;eliratok</t>
  </si>
  <si>
    <t>S</t>
  </si>
  <si>
    <t>Új m&amp;unkalapra (név):</t>
  </si>
  <si>
    <t>Mintavételi módszer</t>
  </si>
  <si>
    <t>&amp;Eloszlás:</t>
  </si>
  <si>
    <t>F&amp;eliratok az első oszlopban</t>
  </si>
  <si>
    <t>&amp;Oszlopok</t>
  </si>
  <si>
    <t>Új munka&amp;füzetbe</t>
  </si>
  <si>
    <t>F&amp;eliratok az első sorban</t>
  </si>
  <si>
    <t>So&amp;rok</t>
  </si>
  <si>
    <t>&amp;Zéró legyen a konstans</t>
  </si>
  <si>
    <t>Az adatok írása nem-üres cellákba történik: adatvesztés történhet!</t>
  </si>
  <si>
    <t>&amp;Periodikus</t>
  </si>
  <si>
    <t>Paraméterek</t>
  </si>
  <si>
    <t>&amp;Megbízhatósági szint</t>
  </si>
  <si>
    <t>S1O1</t>
  </si>
  <si>
    <t>&amp;Véletlen</t>
  </si>
  <si>
    <t>V</t>
  </si>
  <si>
    <t>&amp;Kimeneti tartomány:</t>
  </si>
  <si>
    <t>időszak:</t>
  </si>
  <si>
    <t>Dátum és idő</t>
  </si>
  <si>
    <t>Információ</t>
  </si>
  <si>
    <t>Súgó</t>
  </si>
  <si>
    <t>minták száma:</t>
  </si>
  <si>
    <t>Mat. és trigonom.</t>
  </si>
  <si>
    <t>Statisztikai</t>
  </si>
  <si>
    <t>Pénzügyi</t>
  </si>
  <si>
    <t>&amp;Diagramkimenet</t>
  </si>
  <si>
    <t>Mérnöki</t>
  </si>
  <si>
    <t>Standard &amp;hibák</t>
  </si>
  <si>
    <t>Adatelemzési</t>
  </si>
  <si>
    <t>Öss&amp;zesítő statisztika</t>
  </si>
  <si>
    <t>Varianciaanalízis</t>
  </si>
  <si>
    <t>&amp;Várható érték konfidenciaszintje:</t>
  </si>
  <si>
    <t>Maradékok</t>
  </si>
  <si>
    <t>Érték és valószínűség &amp;bemeneti tartománya:</t>
  </si>
  <si>
    <t>Kéttényezős varianciaanalízis ismétlésekkel</t>
  </si>
  <si>
    <t>Ma&amp;radékok</t>
  </si>
  <si>
    <t>Kovarianciaanalízis</t>
  </si>
  <si>
    <t>Kéttényezős varianciaanalízis ismétlések nélkül</t>
  </si>
  <si>
    <t>Sta&amp;ndard maradékok</t>
  </si>
  <si>
    <t>k-adik leg&amp;nagyobb:</t>
  </si>
  <si>
    <t>Véletlen&amp;mag:</t>
  </si>
  <si>
    <t>ÖSSZESÍTÉS</t>
  </si>
  <si>
    <t>M&amp;aradék pontsorok</t>
  </si>
  <si>
    <t>Kétmintás párosított t-próba a várható értékre</t>
  </si>
  <si>
    <t>Csoportok</t>
  </si>
  <si>
    <t>&amp;Pontsorok vonalhoz</t>
  </si>
  <si>
    <t>k-a&amp;dik legkisebb:</t>
  </si>
  <si>
    <t>Darabszám</t>
  </si>
  <si>
    <t>Normál valószínűség</t>
  </si>
  <si>
    <t>Összeg</t>
  </si>
  <si>
    <t>Normál &amp;valószínűségű pontsorok</t>
  </si>
  <si>
    <t>Átlag</t>
  </si>
  <si>
    <t>Variancia</t>
  </si>
  <si>
    <t>VARIANCIAANALÍZIS</t>
  </si>
  <si>
    <t>Tényezők</t>
  </si>
  <si>
    <t>&amp;Mintánként hány sor:</t>
  </si>
  <si>
    <t>Feltétele&amp;zett átlagos eltérés:</t>
  </si>
  <si>
    <t>p-érték</t>
  </si>
  <si>
    <t>F krit.</t>
  </si>
  <si>
    <t>Összesen</t>
  </si>
  <si>
    <t>Csoportok között</t>
  </si>
  <si>
    <t>Csoporton belül</t>
  </si>
  <si>
    <t>Minta</t>
  </si>
  <si>
    <t>Oszlop</t>
  </si>
  <si>
    <t>Kölcsönhatás</t>
  </si>
  <si>
    <t>Rangsor és százalékos rangsor</t>
  </si>
  <si>
    <t>v&amp;alamint</t>
  </si>
  <si>
    <t>Belül</t>
  </si>
  <si>
    <t>Sorok</t>
  </si>
  <si>
    <t>közö&amp;tt</t>
  </si>
  <si>
    <t>Oszlopok</t>
  </si>
  <si>
    <t>Hiba</t>
  </si>
  <si>
    <t>Várható érték</t>
  </si>
  <si>
    <t>Kétmintás t-próba egyenlő szórásnégyzeteknél</t>
  </si>
  <si>
    <t>&amp;Tól:</t>
  </si>
  <si>
    <t>Standard hiba</t>
  </si>
  <si>
    <t>&amp;Ig:</t>
  </si>
  <si>
    <t>Módusz</t>
  </si>
  <si>
    <t>Szórás</t>
  </si>
  <si>
    <t>&amp;Lépésköz:</t>
  </si>
  <si>
    <t>Minta varianciája</t>
  </si>
  <si>
    <t>Csúcsosság</t>
  </si>
  <si>
    <t>Mi&amp;nden számot</t>
  </si>
  <si>
    <t>Ferdeség</t>
  </si>
  <si>
    <t>Tartomány</t>
  </si>
  <si>
    <t>alkalommal ismétel.</t>
  </si>
  <si>
    <t>Minden s&amp;orozatot</t>
  </si>
  <si>
    <t>Legnagyobb</t>
  </si>
  <si>
    <t>Legkisebb</t>
  </si>
  <si>
    <t>Konfidenciaszint</t>
  </si>
  <si>
    <t>Mozgóátlag</t>
  </si>
  <si>
    <t>Fourier-analízis</t>
  </si>
  <si>
    <t>Tényleges</t>
  </si>
  <si>
    <t>Előrejelzés</t>
  </si>
  <si>
    <t>Adatpont</t>
  </si>
  <si>
    <t>Érték</t>
  </si>
  <si>
    <t>Hisztogram</t>
  </si>
  <si>
    <t>Vár&amp;ható érték =</t>
  </si>
  <si>
    <t>Rekesz</t>
  </si>
  <si>
    <t>Gyakoriság</t>
  </si>
  <si>
    <t xml:space="preserve">Szó&amp;rás = </t>
  </si>
  <si>
    <t>Halmozás %</t>
  </si>
  <si>
    <t>Kétmintás t-próba nem-egyenlő szórásnégyzeteknél</t>
  </si>
  <si>
    <t>Tovább</t>
  </si>
  <si>
    <t>I&amp;ntervallum:</t>
  </si>
  <si>
    <t>I&amp;nverz</t>
  </si>
  <si>
    <t>Megfigyelések</t>
  </si>
  <si>
    <t>P(F&lt;=f) egyszélű</t>
  </si>
  <si>
    <t>F kritikus egyszélű</t>
  </si>
  <si>
    <t>Feltételezett átlagos eltérés</t>
  </si>
  <si>
    <t>Súlyozott variancia</t>
  </si>
  <si>
    <t>St&amp;andard hibák</t>
  </si>
  <si>
    <t>Pearson-féle korreláció</t>
  </si>
  <si>
    <t>P(T&lt;=t) egyszélű</t>
  </si>
  <si>
    <t>p é&amp;rtéke =</t>
  </si>
  <si>
    <t>P(T&lt;=t) kétszélű</t>
  </si>
  <si>
    <t>t érték</t>
  </si>
  <si>
    <t>t kritikus egyszélű</t>
  </si>
  <si>
    <t>t kritikus kétszélű</t>
  </si>
  <si>
    <t>Változó 1</t>
  </si>
  <si>
    <t>&amp;Rekesztartomány:</t>
  </si>
  <si>
    <t>Változó 2</t>
  </si>
  <si>
    <t>Kétmintás z-próba a várható értékre</t>
  </si>
  <si>
    <t>Ismert variancia</t>
  </si>
  <si>
    <t>P(Z&lt;=z) egyszélű</t>
  </si>
  <si>
    <t>z kritikus egyszélű</t>
  </si>
  <si>
    <t>P(Z&lt;=z) kétszélű</t>
  </si>
  <si>
    <t xml:space="preserve">Kísérle&amp;tek száma = </t>
  </si>
  <si>
    <t>z kritikus kétszélű</t>
  </si>
  <si>
    <t>&amp;Pareto (rendezett hisztogram)</t>
  </si>
  <si>
    <t>Százalék</t>
  </si>
  <si>
    <t>&amp;Halmozott százalék</t>
  </si>
  <si>
    <t>Pont</t>
  </si>
  <si>
    <t>Sor</t>
  </si>
  <si>
    <t>Egyenletes</t>
  </si>
  <si>
    <t>Feltételezett átlag&amp;os eltérés:</t>
  </si>
  <si>
    <t>Normális</t>
  </si>
  <si>
    <t>1. (ismert) &amp;változó variancia:</t>
  </si>
  <si>
    <t>Binomiális</t>
  </si>
  <si>
    <t>2. (ismert) válto&amp;zó variancia:</t>
  </si>
  <si>
    <t>Mintaismétlés</t>
  </si>
  <si>
    <t>Diszkrét</t>
  </si>
  <si>
    <t>MARADÉK TÁBLA</t>
  </si>
  <si>
    <t>Megfigyelés</t>
  </si>
  <si>
    <t>Becsült</t>
  </si>
  <si>
    <t>Becsült Y</t>
  </si>
  <si>
    <t>Standard maradékok</t>
  </si>
  <si>
    <t>VALÓSZÍNŰSÉGI TÁBLA</t>
  </si>
  <si>
    <t>Százalékos osztályozás</t>
  </si>
  <si>
    <t>ÖSSZESÍTŐ TÁBLA</t>
  </si>
  <si>
    <t>Regressziós statisztika</t>
  </si>
  <si>
    <t>r értéke</t>
  </si>
  <si>
    <t>r-négyzet</t>
  </si>
  <si>
    <t>Korrigált r-négyzet</t>
  </si>
  <si>
    <t>Maradék</t>
  </si>
  <si>
    <t>F szignifikanciája</t>
  </si>
  <si>
    <t>Tengelymetszet</t>
  </si>
  <si>
    <t>Alsó</t>
  </si>
  <si>
    <t>Alsó 95%</t>
  </si>
  <si>
    <t>Felső</t>
  </si>
  <si>
    <t>Felső 95%</t>
  </si>
  <si>
    <t>X változó</t>
  </si>
  <si>
    <t>Koefficiensek</t>
  </si>
  <si>
    <t>Maradék pontsor</t>
  </si>
  <si>
    <t>Vonalhoz illesztett pontsor</t>
  </si>
  <si>
    <t>Normál valószínűségű pontsor</t>
  </si>
  <si>
    <t>Minta százalékos osztályozása</t>
  </si>
  <si>
    <t>Számolás</t>
  </si>
  <si>
    <t xml:space="preserve"> - Nincs elegendő memória a számoláshoz.</t>
  </si>
  <si>
    <t xml:space="preserve"> - Alfa értékének 0 és 1 között kell lennie.</t>
  </si>
  <si>
    <t xml:space="preserve"> - A Bernoulli valószínűséget meg kell adni; 0 és 1 közötti számnak kell lennie.</t>
  </si>
  <si>
    <t xml:space="preserve"> - A binomiális valószínűséget meg kell adni; 0 és 1 közötti számnak kell lennie.</t>
  </si>
  <si>
    <t xml:space="preserve"> - A binomiális próbák számát (nullánál nagyobb egész szám) meg kell adni.</t>
  </si>
  <si>
    <t xml:space="preserve"> - A rekesztartomány nem lehet üres.</t>
  </si>
  <si>
    <t xml:space="preserve"> - A rekesztartományt nem kötelező megadni. Ha mégis megadja, hivatkozásként vigye be.</t>
  </si>
  <si>
    <t xml:space="preserve"> - A rekesztartomány csak numerikus adatokat tartalmazhat.</t>
  </si>
  <si>
    <t xml:space="preserve"> - A rekesztartomány és a bemeneti tartomány átfedi egymást.</t>
  </si>
  <si>
    <t xml:space="preserve"> - A rekesztartomány és a kimeneti tartomány átfedi egymást.</t>
  </si>
  <si>
    <t xml:space="preserve"> - Üres rekeszekhez nem rajzolható diagram.</t>
  </si>
  <si>
    <t xml:space="preserve"> - A Diagramkimenet értéknek logikai értéknek kell lennie.</t>
  </si>
  <si>
    <t xml:space="preserve"> - A Konstans értéknek logikai értéknek kell lennie.</t>
  </si>
  <si>
    <t xml:space="preserve"> - A Halmozott százalék értéknek logikai értéknek kell lennie.</t>
  </si>
  <si>
    <t xml:space="preserve"> - Az Inverz értéknek logikai értéknek kell lennie.</t>
  </si>
  <si>
    <t xml:space="preserve"> - A Pontsorok vonalhoz értéknek logikai értéknek kell lennie.</t>
  </si>
  <si>
    <t xml:space="preserve"> - A Címkék értéknek logikai értéknek kell lennie.</t>
  </si>
  <si>
    <t xml:space="preserve"> - A Pareto értéknek logikai értéknek kell lennie.</t>
  </si>
  <si>
    <t xml:space="preserve"> - A Normál valószínűségű pontsorok értéknek logikai értéknek kell lennie.</t>
  </si>
  <si>
    <t xml:space="preserve"> - A Maradék pontsorok értéknek logikai értéknek kell lennie.</t>
  </si>
  <si>
    <t xml:space="preserve"> - A Maradékok értéknek logikai értéknek kell lennie.</t>
  </si>
  <si>
    <t xml:space="preserve"> - A standard hiba kimenetének logikai értéknek kell lennie.</t>
  </si>
  <si>
    <t xml:space="preserve"> - A standard maradékok értékének logikai értéknek kell lennie.</t>
  </si>
  <si>
    <t xml:space="preserve"> - Az Összesítő statisztika értéknek logikai értéknek kell lennie.</t>
  </si>
  <si>
    <t xml:space="preserve"> - A bemeneti/kimeneti tartomány nem alakítható át érvényes hivatkozássá!</t>
  </si>
  <si>
    <t xml:space="preserve"> - Tartományok között nem hozható lére relatív hivatkozás.</t>
  </si>
  <si>
    <t xml:space="preserve"> - A beágyazott diagram(ok) elfedheti(k) az adatok egy részét.</t>
  </si>
  <si>
    <t xml:space="preserve"> - Nem rajzolható diagram, mert túlnyúlna a munkalap szélén.</t>
  </si>
  <si>
    <t xml:space="preserve"> - Számítás félbeszakítása: A számítások félbeszakításához válassza az OK, a folytatáshoz a Mégse gombot.</t>
  </si>
  <si>
    <t xml:space="preserve"> - A Megbízhatósági szintnek 0 és 100 közötti értéknek kell lennie.</t>
  </si>
  <si>
    <t xml:space="preserve"> - A bemeneti tartomány nem alakítható át Értékké és Valószínűséggé.</t>
  </si>
  <si>
    <t xml:space="preserve"> - A csillapítási tényezőnek numerikus értéknek kell lennie.</t>
  </si>
  <si>
    <t xml:space="preserve"> - A csillapítási tényezőnek pozitív számnak kell lennie.</t>
  </si>
  <si>
    <t xml:space="preserve"> - A diszkrét valószínűségek oszlopában lévő értékek összegének egynek kell lennie.</t>
  </si>
  <si>
    <t xml:space="preserve"> - Kérem, adjon meg egy kétoszlopos tartományt a Diszkrét érték és valószínűség bemeneti tartományának.</t>
  </si>
  <si>
    <t xml:space="preserve"> - Kérem, adjon meg egy bemeneti tartományt egynél több értékkel és egynél több valószínűséggel.</t>
  </si>
  <si>
    <t xml:space="preserve"> - A Diszkrét érték és valószínűség tartományban csak számadatok szerepelhetnek, és az adatok száma csak azonos lehet.</t>
  </si>
  <si>
    <t xml:space="preserve"> - A Diszkrét érték és valószínűség tartomány nem fedheti át a kimeneti tartományt.</t>
  </si>
  <si>
    <t xml:space="preserve"> - Ha a Standard hiba be van jelölve, a bemeneti tartománynak legalább 5 adatpontot kell tartalmaznia.</t>
  </si>
  <si>
    <t xml:space="preserve"> - Túl sok argumentumot adott meg. Ellenőrizze a VÉL() függvény szintaxisát.</t>
  </si>
  <si>
    <t xml:space="preserve"> - A bemeneti x tartomány nem tartalmazhat 16 változónál (oszlopnál) többet.</t>
  </si>
  <si>
    <t xml:space="preserve"> - A bemeneti értékeknek a 2  hatványainak (például: 2, 4, 8, 16,  32, 64, 128...) kell lenniük.</t>
  </si>
  <si>
    <t xml:space="preserve"> - A bemeneti értékek száma nem lehet nagyobb 4096-nál.</t>
  </si>
  <si>
    <t xml:space="preserve"> - "S"-sel jelezze, ha az adatcsoportokat sorokban, "O"-val, ha oszlopokban helyezte el.</t>
  </si>
  <si>
    <t xml:space="preserve"> - A bemeneti tartománynak legalább két, sorokban vagy oszlopokban elhelyezett adatcsoportot kell tartalmaznia.</t>
  </si>
  <si>
    <t xml:space="preserve"> - A bemeneti tartománynak összefüggő hivatkozásnak kell lennie.</t>
  </si>
  <si>
    <t xml:space="preserve"> - Adja meg a hiányzó bemeneti tartományt.</t>
  </si>
  <si>
    <t xml:space="preserve"> - A bemeneti és a kimeneti tartomány átfedi egymást. Adjon meg újat!</t>
  </si>
  <si>
    <t xml:space="preserve"> - A bemeneti tartománynak legalább egy adatpontot tartalmaznia kell.</t>
  </si>
  <si>
    <t xml:space="preserve"> - Az intervallumok számának numerikus értéknek kell lennie.</t>
  </si>
  <si>
    <t xml:space="preserve"> - Az intervallumok számának pozitív egész számnak kell lennie.</t>
  </si>
  <si>
    <t xml:space="preserve"> - Az intervallumok száma nem lehet nagyobb az adatpontok számánál.</t>
  </si>
  <si>
    <t xml:space="preserve"> - A bemeneti tartomány érvénytelen komplex számot tartalmaz. A komplex szám formája: x+yi vagy x+yj.</t>
  </si>
  <si>
    <t xml:space="preserve"> - A képzetes részt az összes komplex számban ugyanúgy (vagy "i"-vel, vagy "j"-vel) kell jelölni.</t>
  </si>
  <si>
    <t xml:space="preserve"> - A k-adik legnagyobbnak pozitív, de az adatpontok számát meg nem haladó egész számnak kell lennie.</t>
  </si>
  <si>
    <t xml:space="preserve"> - A k-adik legkisebbnek pozitív, de az adatpontok számát meg nem nagyobb egész számnak kell lennie.</t>
  </si>
  <si>
    <t xml:space="preserve"> - A LIN.ILL() függvény hibát jelez. Ellenőrizze a bemeneti tartományokat!</t>
  </si>
  <si>
    <t xml:space="preserve"> - Az átlagok (várható értékek) eltérésének pozitívnak kell lennie.</t>
  </si>
  <si>
    <t xml:space="preserve"> - Több argumentum kell a függvényhez.</t>
  </si>
  <si>
    <t xml:space="preserve"> - A bemeneti és a kimeneti tartománynak ugyanazon a lapon kell lennie.</t>
  </si>
  <si>
    <t xml:space="preserve"> - A bemeneti/kimeneti tartománynak összefüggő hivatkozásnak kell lennie.</t>
  </si>
  <si>
    <t xml:space="preserve"> - A bemeneti tartomány csak egyetlen sor vagy egyetlen oszlop lehet.</t>
  </si>
  <si>
    <t xml:space="preserve"> - A bemeneti tartományoknak azonos számú adatpontot kell tartalmazniuk.</t>
  </si>
  <si>
    <t xml:space="preserve"> - A bemeneti tartománynak legalább négy adatpontot kell tartalmaznia.</t>
  </si>
  <si>
    <t>#HIÁNYZIK</t>
  </si>
  <si>
    <t xml:space="preserve"> - Nem hozható létre új munkafüzet.</t>
  </si>
  <si>
    <t xml:space="preserve"> - Nem hozható létre munkafüzetlap. Ellenőrizze a munkafüzetvédelem beállítását.</t>
  </si>
  <si>
    <t>Az Analysis ToolPak fő párbeszédpanele nem érhető el. Kérjen segítséget szakembertől.</t>
  </si>
  <si>
    <t>A kiválasztott művelet párbeszédpanele nem érhető el. Kérjen segítséget szakembertől.</t>
  </si>
  <si>
    <t xml:space="preserve"> - A bemeneti tartomány nem-numerikus adatokat tartalmaz.</t>
  </si>
  <si>
    <t xml:space="preserve"> - A normális eloszlás várható értékét, egy számot, meg kell adni.</t>
  </si>
  <si>
    <t xml:space="preserve"> - A normális eloszlás szórását, egy nullától különböző számot, meg kell adni.</t>
  </si>
  <si>
    <t xml:space="preserve"> - A minták számának pozitív egész számnak kell lennie.</t>
  </si>
  <si>
    <t xml:space="preserve"> - Adja meg a véletlen minták számát.</t>
  </si>
  <si>
    <t xml:space="preserve"> - Probléma a bemeneti/kimeneti tartomány eltolásánál.</t>
  </si>
  <si>
    <t xml:space="preserve"> - A forrás-munkalap nem nyitható meg.</t>
  </si>
  <si>
    <t xml:space="preserve"> - Érvénytelen kimeneti beállítás.</t>
  </si>
  <si>
    <t xml:space="preserve"> - A kimeneti tartománynak érvényes hivatkozásnak kell lennie.</t>
  </si>
  <si>
    <t xml:space="preserve"> - Adja meg a hiányzó kimeneti tartományt.</t>
  </si>
  <si>
    <t xml:space="preserve"> - A kimeneti tábla várhatóan túlnyúlna a munkalapon. Adjon meg másik hivatkozást!</t>
  </si>
  <si>
    <t xml:space="preserve"> - A kimeneti tartomány átírna létező adatokat. Nyomja meg az OK gombot, ha átírhatók az adatok a következő tartományban:</t>
  </si>
  <si>
    <t xml:space="preserve"> - Az adott lépésközzel nem tölthető ki a kívánt tartomány.</t>
  </si>
  <si>
    <t xml:space="preserve"> - A mintaismétlés Tól értékét, egy számot, meg kell adni.</t>
  </si>
  <si>
    <t xml:space="preserve"> - A mintaismétlés Lépésköz értékét, egy nullától különböző számot, meg kell adni.</t>
  </si>
  <si>
    <t xml:space="preserve"> - A mintaismétlés Ig értékét, egy számot, meg kell adni.</t>
  </si>
  <si>
    <t xml:space="preserve"> - A mintaismétlési tényezőt, egy pozitív egész számot, meg kell adni.</t>
  </si>
  <si>
    <t xml:space="preserve"> - A minta sorozatismétlési tényezőjét, egy pozitív egész számot, meg kell adni.</t>
  </si>
  <si>
    <t xml:space="preserve"> - A periódusok száma pozitív egész szám kell legyen.</t>
  </si>
  <si>
    <t xml:space="preserve"> - Kérem, adja meg a mintavétel periódusát!</t>
  </si>
  <si>
    <t xml:space="preserve"> - A periódusok száma nem haladhatja meg a bementi tartományban lévő értékek számát.</t>
  </si>
  <si>
    <t xml:space="preserve"> - A Poisson-eloszlás lambda-értékét, egy pozitív számot, meg kell adni.</t>
  </si>
  <si>
    <t xml:space="preserve"> - Meg kell adni az eloszlás típusát, egy 1 és 7 közötti egész számot.</t>
  </si>
  <si>
    <t xml:space="preserve"> - A véletlen számok számának pozitív egésznek kell lennie.</t>
  </si>
  <si>
    <t xml:space="preserve"> - Diszkrét eloszlás: a véletlenszerűen választott valószínűségértékekhez nem található megfelelő adat.</t>
  </si>
  <si>
    <t xml:space="preserve"> - A változók számának pozitív egésznek kell lennie.</t>
  </si>
  <si>
    <t xml:space="preserve"> - Kérem, válasszon ki legalább egyet a statisztikai lehetőségek közül!</t>
  </si>
  <si>
    <t xml:space="preserve"> - A minták sorainak számát meg kell adni. Kérem, írja be!</t>
  </si>
  <si>
    <t xml:space="preserve"> - A minták sorainak száma csak pozitív egész szám lehet.</t>
  </si>
  <si>
    <t xml:space="preserve"> - Minden egyes mintának ugyanannyi sorból kell állnia.</t>
  </si>
  <si>
    <t xml:space="preserve"> - A feliratoktól (címkéktől) eltekintve mind az X, mind az Y tartománynak ugyanannyi sort (mintaértéket) kell tartalmaznia.</t>
  </si>
  <si>
    <t xml:space="preserve"> - Meg kell adni a mintavétel módszerét: "P" jelzi a periódikus, "V" a véletlen mintavételt.</t>
  </si>
  <si>
    <t xml:space="preserve"> - A mintavétel módszerét meg kell adni.</t>
  </si>
  <si>
    <t xml:space="preserve"> - A véletlen magnak egy 1 és 32767 közötti egész számnak kell lennie.</t>
  </si>
  <si>
    <t xml:space="preserve"> - Védett lap nem módosítható.</t>
  </si>
  <si>
    <t xml:space="preserve"> - Az egyenletes eloszláshoz meg kell adni numerikus határokat.</t>
  </si>
  <si>
    <t xml:space="preserve"> - MINDKÉT változótartománynak sorokból vagy oszlopokból kell állnia.</t>
  </si>
  <si>
    <t xml:space="preserve"> - A változótartományoknak azonos számú adatpontból kell állniuk.</t>
  </si>
  <si>
    <t xml:space="preserve"> - Egy-egy változótartománynak legalább két adatpontot kell tartalmaznia.</t>
  </si>
  <si>
    <t xml:space="preserve"> - Az 1. változótartománynak összefüggő hivatkozásnak kell lennie.</t>
  </si>
  <si>
    <t xml:space="preserve"> - Az 1. változótartomány hiányzik.</t>
  </si>
  <si>
    <t xml:space="preserve"> - Az 1. és a 2. változótartomány nem fedheti át egymást.</t>
  </si>
  <si>
    <t xml:space="preserve"> - Az 1. változótartomány és a kimeneti tartomány nem fedheti át egymást.</t>
  </si>
  <si>
    <t xml:space="preserve"> - A 2. változótartománynak összefüggő hivatkozásnak kell lennie.</t>
  </si>
  <si>
    <t xml:space="preserve"> - A 2. változótartomány hiányzik.</t>
  </si>
  <si>
    <t xml:space="preserve"> - A 2. változótartomány és a kimeneti tartomány nem fedheti át egymást.</t>
  </si>
  <si>
    <t xml:space="preserve"> - Az eloszlás típusának 1 és 7 közötti számnak kell lennie.</t>
  </si>
  <si>
    <t xml:space="preserve"> - Az X tartomány és a kimeneti tartomány átfedné egymást. Válasszon másik kimeneti tartományt.</t>
  </si>
  <si>
    <t xml:space="preserve"> - A bemeneti X tartománynak összefüggő hivatkozásnak kell lennie.</t>
  </si>
  <si>
    <t xml:space="preserve"> - Hiányzik a bemeneti X tartomány.</t>
  </si>
  <si>
    <t xml:space="preserve"> - Az X tartományban nem lehet egyenlő a sorok és az oszlopok száma.</t>
  </si>
  <si>
    <t xml:space="preserve"> - Az X tartomány és az Y tartomány nem fedheti át egymást.</t>
  </si>
  <si>
    <t xml:space="preserve"> - Az Y tartomány és a kimeneti tartomány átfedné egymást. Válasszon másik kimeneti tartományt.</t>
  </si>
  <si>
    <t xml:space="preserve"> - A bemeneti Y tartománynak összefüggő hivatkozásnak kell lennie.</t>
  </si>
  <si>
    <t xml:space="preserve"> - Adja meg a hiányzó bemeneti Y tartományt.</t>
  </si>
  <si>
    <t xml:space="preserve"> - Az 1. variancia értékének pozitív számnak kell lennie.</t>
  </si>
  <si>
    <t xml:space="preserve"> - A 2. variancia értékének pozitív számnak kell lennie.</t>
  </si>
  <si>
    <t xml:space="preserve"> - A munkafüzet ActiveX vezérlői nem érhetők el. Segítségért forduljon a vevőszolgálathoz.</t>
  </si>
  <si>
    <t xml:space="preserve"> - Közös használatú munkafüzetbe diagram nem illeszthető be. Folytatja a kimeneti tábla létrehozását?</t>
  </si>
  <si>
    <t>Analisi dati</t>
  </si>
  <si>
    <t>Analisi varianza: ad un fattore</t>
  </si>
  <si>
    <t>Regressione</t>
  </si>
  <si>
    <t>Correlazione</t>
  </si>
  <si>
    <t>Statistica descrittiva</t>
  </si>
  <si>
    <t>Smorzamento esponenziale</t>
  </si>
  <si>
    <t>Test F a due campioni per varianze</t>
  </si>
  <si>
    <t>Campionamento</t>
  </si>
  <si>
    <t>Generazione di un numero casuale</t>
  </si>
  <si>
    <t>Annulla</t>
  </si>
  <si>
    <t>&amp;Strumenti di analisi</t>
  </si>
  <si>
    <t>Numero di &amp;variabili:</t>
  </si>
  <si>
    <t>Intervallo di &amp;input:</t>
  </si>
  <si>
    <t>Intervallo di input &amp;Y:</t>
  </si>
  <si>
    <t>Intervallo variabile &amp;1:</t>
  </si>
  <si>
    <t>&amp;Numero di numeri casuali:</t>
  </si>
  <si>
    <t>Dati raggruppati per:</t>
  </si>
  <si>
    <t>Intervallo di input &amp;X:</t>
  </si>
  <si>
    <t>Fattore di smor&amp;zamento:</t>
  </si>
  <si>
    <t>Intervallo variabile &amp;2:</t>
  </si>
  <si>
    <t>&amp;Etichette</t>
  </si>
  <si>
    <t>Metodo di campionamento</t>
  </si>
  <si>
    <t>Distribu&amp;zione:</t>
  </si>
  <si>
    <t>&amp;Etichette nella prima colonna</t>
  </si>
  <si>
    <t>&amp;Colonne</t>
  </si>
  <si>
    <t>&amp;Etichette nella prima riga</t>
  </si>
  <si>
    <t>&amp;Righe</t>
  </si>
  <si>
    <t>&amp;Passa per l'origine</t>
  </si>
  <si>
    <t>Opzioni di output</t>
  </si>
  <si>
    <t>&amp;Periodico</t>
  </si>
  <si>
    <t>Parametri</t>
  </si>
  <si>
    <t>&amp;Livello di confidenza</t>
  </si>
  <si>
    <t>&amp;Casuale</t>
  </si>
  <si>
    <t>Intervallo di &amp;output:</t>
  </si>
  <si>
    <t>Periodo:</t>
  </si>
  <si>
    <t>Data e ora</t>
  </si>
  <si>
    <t>Nuovo &amp;foglio di lavoro:</t>
  </si>
  <si>
    <t>Informative</t>
  </si>
  <si>
    <t>Nuova car&amp;tella di lavoro</t>
  </si>
  <si>
    <t>Numero di campioni:</t>
  </si>
  <si>
    <t>Matematiche e trig.</t>
  </si>
  <si>
    <t>Statistiche</t>
  </si>
  <si>
    <t>Finanziarie</t>
  </si>
  <si>
    <t>&amp;Grafico in output</t>
  </si>
  <si>
    <t>Ingegneristiche</t>
  </si>
  <si>
    <t>Errori stan&amp;dard</t>
  </si>
  <si>
    <t>Riepilogo &amp;statistiche</t>
  </si>
  <si>
    <t>Analisi varianza</t>
  </si>
  <si>
    <t>&amp;Livello di confidenza per media:</t>
  </si>
  <si>
    <t>Residui</t>
  </si>
  <si>
    <t>&amp;Intervallo di input dei valori e probabilità:</t>
  </si>
  <si>
    <t>Analisi varianza: a due fattori con replica</t>
  </si>
  <si>
    <t>&amp;Residui</t>
  </si>
  <si>
    <t>Covarianza</t>
  </si>
  <si>
    <t>Analisi varianza: a due fattori senza replica</t>
  </si>
  <si>
    <t>Resi&amp;dui standardizzati</t>
  </si>
  <si>
    <t>K-esimo più gr&amp;ande:</t>
  </si>
  <si>
    <t>&amp;Generatore:</t>
  </si>
  <si>
    <t>RIEPILOGO</t>
  </si>
  <si>
    <t>Tra&amp;cciati dei residui</t>
  </si>
  <si>
    <t>Test t: due campioni accoppiati per medie</t>
  </si>
  <si>
    <t>Gruppi</t>
  </si>
  <si>
    <t>Tracciati delle appro&amp;ssimazioni</t>
  </si>
  <si>
    <t>K-esi&amp;mo più piccolo:</t>
  </si>
  <si>
    <t>Conteggio</t>
  </si>
  <si>
    <t>Probabilità normale</t>
  </si>
  <si>
    <t>Somma</t>
  </si>
  <si>
    <t>Tracciati delle pro&amp;babilità normali</t>
  </si>
  <si>
    <t>Media</t>
  </si>
  <si>
    <t>Varianza</t>
  </si>
  <si>
    <t>ANALISI VARIANZA</t>
  </si>
  <si>
    <t>Origine della variazione</t>
  </si>
  <si>
    <t>&amp;Righe per campione:</t>
  </si>
  <si>
    <t>&amp;Differenza ipotizzata per le medie:</t>
  </si>
  <si>
    <t>gdl</t>
  </si>
  <si>
    <t>Valore di significatività</t>
  </si>
  <si>
    <t>Totale</t>
  </si>
  <si>
    <t>Tra gruppi</t>
  </si>
  <si>
    <t>In gruppi</t>
  </si>
  <si>
    <t>Campione</t>
  </si>
  <si>
    <t>Colonna</t>
  </si>
  <si>
    <t>Interazione</t>
  </si>
  <si>
    <t>Rango e percentile</t>
  </si>
  <si>
    <t>T&amp;ra</t>
  </si>
  <si>
    <t>In</t>
  </si>
  <si>
    <t>Righe</t>
  </si>
  <si>
    <t>Errore</t>
  </si>
  <si>
    <t>Test t: due campioni assumendo uguale varianza</t>
  </si>
  <si>
    <t>&amp;Da</t>
  </si>
  <si>
    <t>Errore standard</t>
  </si>
  <si>
    <t>&amp;a</t>
  </si>
  <si>
    <t>Deviazione standard</t>
  </si>
  <si>
    <t>con &amp;incremento</t>
  </si>
  <si>
    <t>Varianza campionaria</t>
  </si>
  <si>
    <t>Curtosi</t>
  </si>
  <si>
    <t>&amp;ripetendo ciscun numero</t>
  </si>
  <si>
    <t>Asimmetria</t>
  </si>
  <si>
    <t>Intervallo</t>
  </si>
  <si>
    <t>volte</t>
  </si>
  <si>
    <t>Minimo</t>
  </si>
  <si>
    <t>ripetendo la &amp;sequenza</t>
  </si>
  <si>
    <t>Massimo</t>
  </si>
  <si>
    <t>Più grande</t>
  </si>
  <si>
    <t>Più piccolo</t>
  </si>
  <si>
    <t>Livello di confidenza</t>
  </si>
  <si>
    <t>Media mobile</t>
  </si>
  <si>
    <t>Analisi di Fourier</t>
  </si>
  <si>
    <t>Effettive</t>
  </si>
  <si>
    <t>Previsione</t>
  </si>
  <si>
    <t>Dato</t>
  </si>
  <si>
    <t>Valore</t>
  </si>
  <si>
    <t>Istogramma</t>
  </si>
  <si>
    <t>&amp;Media =</t>
  </si>
  <si>
    <t>Classe</t>
  </si>
  <si>
    <t>Frequenza</t>
  </si>
  <si>
    <t>&amp;Deviazione standard =</t>
  </si>
  <si>
    <t xml:space="preserve"> % cumulativa</t>
  </si>
  <si>
    <t>Test t: due campioni assumendo varianze diverse</t>
  </si>
  <si>
    <t>Altro</t>
  </si>
  <si>
    <t>I&amp;ntervallo:</t>
  </si>
  <si>
    <t>In&amp;versa</t>
  </si>
  <si>
    <t>Osservazioni</t>
  </si>
  <si>
    <t>P(F&lt;=f) una coda</t>
  </si>
  <si>
    <t>F crtitico una coda</t>
  </si>
  <si>
    <t>Differenza ipotizzata per le medie</t>
  </si>
  <si>
    <t>Varianza complessiva</t>
  </si>
  <si>
    <t>Correlazione di Pearson</t>
  </si>
  <si>
    <t>P(T&lt;=t) una coda</t>
  </si>
  <si>
    <t>&amp;p =</t>
  </si>
  <si>
    <t>P(T&lt;=t) due code</t>
  </si>
  <si>
    <t>t critico una coda</t>
  </si>
  <si>
    <t>t critico due code</t>
  </si>
  <si>
    <t>Variabile 1</t>
  </si>
  <si>
    <t>I&amp;ntervallo della classe:</t>
  </si>
  <si>
    <t>Variabile 2</t>
  </si>
  <si>
    <t>Test z: due campioni per medie</t>
  </si>
  <si>
    <t>Varianza nota</t>
  </si>
  <si>
    <t>P(Z&lt;=z) una coda</t>
  </si>
  <si>
    <t>z critico una coda</t>
  </si>
  <si>
    <t>P(Z&lt;=z) due code</t>
  </si>
  <si>
    <t>N&amp;umero di prove =</t>
  </si>
  <si>
    <t>z critico due code</t>
  </si>
  <si>
    <t>Rango</t>
  </si>
  <si>
    <t>&amp;Pareto (istogramma ordinato)</t>
  </si>
  <si>
    <t>Percento</t>
  </si>
  <si>
    <t>Pe&amp;rcentuale cumulativa</t>
  </si>
  <si>
    <t>Riga</t>
  </si>
  <si>
    <t>&amp;Varianza variabile 1 (nota):</t>
  </si>
  <si>
    <t>Va&amp;rianza variabile 2 (nota):</t>
  </si>
  <si>
    <t>A schema</t>
  </si>
  <si>
    <t>OUTPUT RESIDUI</t>
  </si>
  <si>
    <t>Osservazione</t>
  </si>
  <si>
    <t>Y prevista</t>
  </si>
  <si>
    <t>Residui standard</t>
  </si>
  <si>
    <t>OUTPUT DATI</t>
  </si>
  <si>
    <t>OUTPUT RIEPILOGO</t>
  </si>
  <si>
    <t>Statistica della regressione</t>
  </si>
  <si>
    <t>R multiplo</t>
  </si>
  <si>
    <t>R al quadrato</t>
  </si>
  <si>
    <t>R al quadrato corretto</t>
  </si>
  <si>
    <t>Residuo</t>
  </si>
  <si>
    <t>Significatività F</t>
  </si>
  <si>
    <t>Intercetta</t>
  </si>
  <si>
    <t>Inferiore</t>
  </si>
  <si>
    <t>Inferiore 95%</t>
  </si>
  <si>
    <t>Superiore</t>
  </si>
  <si>
    <t>Superiore 95%</t>
  </si>
  <si>
    <t>Variabile X</t>
  </si>
  <si>
    <t>Coefficienti</t>
  </si>
  <si>
    <t>Tracciato dei residui</t>
  </si>
  <si>
    <t>Tracciato delle approssimazioni</t>
  </si>
  <si>
    <t>Tracciato della probabilità normale</t>
  </si>
  <si>
    <t>Percentile campionaria</t>
  </si>
  <si>
    <t>Calcolo di</t>
  </si>
  <si>
    <t>VERO</t>
  </si>
  <si>
    <t xml:space="preserve"> - Impossibile allocare memoria per il calcolo.</t>
  </si>
  <si>
    <t xml:space="preserve"> - Alfa deve essere un numero compreso tra 0 e 1.</t>
  </si>
  <si>
    <t xml:space="preserve"> - Immettere la probabilità di Bernoulli. Il numero deve essere compreso tra  0 e 1.</t>
  </si>
  <si>
    <t xml:space="preserve"> - Immettere la probabilità binomiale. Il numero deve essere compreso tra 0 e 1.</t>
  </si>
  <si>
    <t xml:space="preserve"> - Immettere le prove binomiali. Il numero deve essere un intero maggiore di zero.</t>
  </si>
  <si>
    <t xml:space="preserve"> - L'intervallo della classe non può essere vuoto.</t>
  </si>
  <si>
    <t xml:space="preserve"> - È possibile omettere l'intervallo della classe. Se immesso, deve essere un riferimento.</t>
  </si>
  <si>
    <t xml:space="preserve"> - L'intervallo della classe non può contenere dati non numerici.</t>
  </si>
  <si>
    <t xml:space="preserve"> - L'intervallo della classe e l'intervallo di input si sovrappongono.</t>
  </si>
  <si>
    <t xml:space="preserve"> - L'intervallo della classe e l'intervallo di output si sovrappongono.</t>
  </si>
  <si>
    <t xml:space="preserve"> - Impossibile tracciare grafici per classi vuote.</t>
  </si>
  <si>
    <t xml:space="preserve"> - Il valore specificato in 'grafico in output' deve essere logico.</t>
  </si>
  <si>
    <t xml:space="preserve"> - Il valore specificato in 'passa per l'origine' deve essere logico.</t>
  </si>
  <si>
    <t xml:space="preserve"> - Il valore specificato in 'percentuale cumulativa' deve essere logico.</t>
  </si>
  <si>
    <t xml:space="preserve"> - Il valore specificato in 'inversa' deve essere logico.</t>
  </si>
  <si>
    <t xml:space="preserve"> - Il valore specificato in 'tracciato delle approssimazioni' deve essere logico.</t>
  </si>
  <si>
    <t xml:space="preserve"> - Il valore specificato in 'etichette' deve essere logico.</t>
  </si>
  <si>
    <t xml:space="preserve"> - Il valore specificato in 'pareto' deve essere logico.</t>
  </si>
  <si>
    <t xml:space="preserve"> - Il valore specificato in 'tracciati delle probabilità normali' deve essere logico.</t>
  </si>
  <si>
    <t xml:space="preserve"> - Il valore specificato in 'tracciati dei residui' deve essere logico.</t>
  </si>
  <si>
    <t xml:space="preserve"> - Il valore specificato in 'residui' deve essere logico.</t>
  </si>
  <si>
    <t xml:space="preserve"> - Il valore specificato in 'errori standard' deve essere logico.</t>
  </si>
  <si>
    <t xml:space="preserve"> - Il valore specificato in 'residui standardizzati' deve essere logico.</t>
  </si>
  <si>
    <t xml:space="preserve"> - Il valore specificato in riepilogo statistiche' deve essere logico.</t>
  </si>
  <si>
    <t xml:space="preserve"> - Impossibile convertire l'intervallo di  input/output in un riferimento valido!</t>
  </si>
  <si>
    <t xml:space="preserve"> - Impossibile creare riferimenti relativi tra intervalli.</t>
  </si>
  <si>
    <t xml:space="preserve"> - Alcuni dati saranno nascosti dal grafico incorporato.</t>
  </si>
  <si>
    <t xml:space="preserve"> - Impossibile tracciare il grafico. Il riferimento si estende oltre i limiti del foglio di lavoro.</t>
  </si>
  <si>
    <t xml:space="preserve"> - Interruzione calcoli: Scegliere OK per interrompere I calcoli, scegliere Annulla per riprenderli.</t>
  </si>
  <si>
    <t xml:space="preserve"> - Il livello di confidenza deve essere un numero compreso tra 0 e 100.</t>
  </si>
  <si>
    <t xml:space="preserve"> - Impossibile convertire l'intervallo di input in valori e probabilità. Ritentare.</t>
  </si>
  <si>
    <t xml:space="preserve"> - Il fattore di smorzamento deve essere un valore numerico.</t>
  </si>
  <si>
    <t xml:space="preserve"> - Il fattore di smorzamento deve essere un numero positivo.</t>
  </si>
  <si>
    <t xml:space="preserve"> - La somma dei numeri nella colonna della probabilità discreta deve essere 1.</t>
  </si>
  <si>
    <t xml:space="preserve"> - Specificare un intervallo a due colonne per l'intervallo di input dei valori e probabilità per la distribuzione discreta.</t>
  </si>
  <si>
    <t xml:space="preserve"> - Specificare un intervallo di input con più di un valore e di una probabilità.</t>
  </si>
  <si>
    <t xml:space="preserve"> - Gli intervalli dei valori e probabilità per la distribuzione discreta devono contenere solo dati numerici e avere lo stesso numero di dati.</t>
  </si>
  <si>
    <t xml:space="preserve"> - L'intervallo dei valori e probabilità per la distribuzione discreta non può sovrapporsi all'intervallo di output.</t>
  </si>
  <si>
    <t xml:space="preserve"> - L'intervallo di input deve contenere almeno 5 dati durante il controllo degli errori standard.</t>
  </si>
  <si>
    <t xml:space="preserve"> - Troppi argomenti dati. Controllare le forme di sitassi della funzione DISTRIB.CASUALE().</t>
  </si>
  <si>
    <t xml:space="preserve"> - L'intervallo di input X non può contenere più di 16 variabili (colonne).</t>
  </si>
  <si>
    <t xml:space="preserve"> - Il numero dei valori di input deve essere una potenza pari di 2. Ad esempio: 2, 4, 8, 16,  32, 64, 128,...</t>
  </si>
  <si>
    <t xml:space="preserve"> - Il numero nei valori di input deve essere minore o uguale di 4096.</t>
  </si>
  <si>
    <t xml:space="preserve"> - Per indicare la disposizione dei gruppi di dati, usare "C" per colonne ed "R" per righe.</t>
  </si>
  <si>
    <t xml:space="preserve"> - L'intervallo di input deve contenere due o più insiemi di dati disposti su righe o colonne.</t>
  </si>
  <si>
    <t xml:space="preserve"> - L'intervallo di input deve essere un riferimento contiguo.</t>
  </si>
  <si>
    <t xml:space="preserve"> - Immettere l'intervallo di input mancante.</t>
  </si>
  <si>
    <t xml:space="preserve"> - Reimmettere gli intervalli di input ed output sovrapposti.</t>
  </si>
  <si>
    <t xml:space="preserve"> - L'intervallo di input deve contenere almeno un dato.</t>
  </si>
  <si>
    <t xml:space="preserve"> - Il valore specificato in 'intervallo' deve essere numerico.</t>
  </si>
  <si>
    <t xml:space="preserve"> - Il valore specificato in 'intervallo' deve essere un intero positivo.</t>
  </si>
  <si>
    <t xml:space="preserve"> - Il valore specificato in 'intervallo' non può essere maggiore dei dati.</t>
  </si>
  <si>
    <t xml:space="preserve"> - L'intervallo di input contiene un numero complesso non valido. Un numero complesso deve avere la forma x+yi or x+yj.</t>
  </si>
  <si>
    <t xml:space="preserve"> - Tutti i numeri complessi devono avere lo stesso suffisso "i" o "j".</t>
  </si>
  <si>
    <t xml:space="preserve"> - Il valore specificato in 'k-esimo più grande' deve essere un intero positivo maggiore di 0 e non può superare il numero dei dati.</t>
  </si>
  <si>
    <t xml:space="preserve"> - Il valore specificato in 'k-esimo più piccolo' deve essere un intero positivo maggiore di 0 e non può superare il numero dei dati.</t>
  </si>
  <si>
    <t xml:space="preserve"> - La funzione REGR.LIN() restituisce un errore. Controllare gli intervalli di input.</t>
  </si>
  <si>
    <t xml:space="preserve"> - La differenza per le medie deve essere un numero positivo.</t>
  </si>
  <si>
    <t xml:space="preserve"> - La funzione richiede più argomenti.</t>
  </si>
  <si>
    <t xml:space="preserve"> - L'intervallo di input ed output devono essere sullo stesso foglio.</t>
  </si>
  <si>
    <t xml:space="preserve"> - L'intervallo di input/output deve essere un intervallo di celle contigue.</t>
  </si>
  <si>
    <t xml:space="preserve"> - L'intervallo di input deve consistere di una sola riga o colonna.</t>
  </si>
  <si>
    <t xml:space="preserve"> - Gli intervalli di input devono avere lo stesso numero di dati.</t>
  </si>
  <si>
    <t xml:space="preserve"> - L'intervallo di input deve contenere almeno 4 dati.</t>
  </si>
  <si>
    <t xml:space="preserve"> - Impossibile creare una nuova cartella di lavoro.</t>
  </si>
  <si>
    <t xml:space="preserve"> - Impossibile creare un nuovo foglio per l'output. Verificare l'impostazione della Protezione della cartella di lavoro.</t>
  </si>
  <si>
    <t>Impossibile accedere alla finestra di dialogo principale relativa agli strumenti di analisi. Contattare il servizio supporto tecnico clienti.</t>
  </si>
  <si>
    <t>Impossibile accedere alla finestra di dialogo per la procedura selezionata. Contattare il servizio supporto tecnico clienti.</t>
  </si>
  <si>
    <t xml:space="preserve"> - L'intervallo di input contiene dati non numerici.</t>
  </si>
  <si>
    <t xml:space="preserve"> - La media per la distribuzione normale deve essere un numero.</t>
  </si>
  <si>
    <t xml:space="preserve"> - La deviazione standard per la distribuzione normale deve essere un numero diverso da 0.</t>
  </si>
  <si>
    <t xml:space="preserve"> - Il numero di campioni deve essere un intero maggiore di zero.</t>
  </si>
  <si>
    <t xml:space="preserve"> - Immettere il numero di campioni casuali.</t>
  </si>
  <si>
    <t xml:space="preserve"> - Errore nello spostamento del riferimento di input/output.</t>
  </si>
  <si>
    <t xml:space="preserve"> - Impossibile aprire il foglio risorsa</t>
  </si>
  <si>
    <t xml:space="preserve"> - Opzione di output non valida.</t>
  </si>
  <si>
    <t xml:space="preserve"> - L'intervallo di output deve essere un riferimento valido.</t>
  </si>
  <si>
    <t xml:space="preserve"> - Immettere l'intervallo di output mancante.</t>
  </si>
  <si>
    <t xml:space="preserve"> - La tabella di output prevista si estende oltre i limiti del foglio di lavoro. Scegliere un diverso riferimento.</t>
  </si>
  <si>
    <t xml:space="preserve"> - L'intervallo di output sovrascriverà i dati esistenti. Scegliere OK per sovrascrivere i dati nell'intervallo:</t>
  </si>
  <si>
    <t xml:space="preserve"> - Il valore di partenza per la distribuzione a schema non può raggiungere il valore di fermata.</t>
  </si>
  <si>
    <t xml:space="preserve"> - Immettere il valore di partenza per la distribuzione a schema. Deve essere un numero.</t>
  </si>
  <si>
    <t xml:space="preserve"> - Immettere l'incremento per la distribuzione a schema. Il numero deve essere diverso da zero.</t>
  </si>
  <si>
    <t xml:space="preserve"> - Immettere il valore di fermata per la distribuzone a schema. Deve essere un numero.</t>
  </si>
  <si>
    <t xml:space="preserve"> - Immettere il valore di ripetizione per la distribuzione a schema. Il numero deve essere un intero maggiore di zero.</t>
  </si>
  <si>
    <t xml:space="preserve"> - Immettere il valore di ripetizione della sequenza per la distribuzione a schema. Il numero deve essere un intero maggiore di zero</t>
  </si>
  <si>
    <t xml:space="preserve"> - L'intervallo periodico deve essere un intero maggiore di zero.</t>
  </si>
  <si>
    <t xml:space="preserve"> - Immettere l'intervallo periodico per il campionamento.</t>
  </si>
  <si>
    <t xml:space="preserve"> - L'intervallo periodico non può superare il numero di valori dell'intervallo di input.</t>
  </si>
  <si>
    <t xml:space="preserve"> - Immettere la lambda di Poisson. Deve essere un numero maggiore di zero.</t>
  </si>
  <si>
    <t xml:space="preserve"> - Immettere il tipo di distribuzione. Il numero deve essere un intero compreso tra 1 e 7.</t>
  </si>
  <si>
    <t xml:space="preserve"> - Il numero di numeri casuali deve essere un intero maggiore di zero.</t>
  </si>
  <si>
    <t xml:space="preserve"> - Distribuzione discreta : impossibile trovare il valore corrispondente per la probabilità selezionata.</t>
  </si>
  <si>
    <t xml:space="preserve"> - Il numero di variabili deve essere un intero maggiore di zero.</t>
  </si>
  <si>
    <t xml:space="preserve"> - Scegliere almeno un'opzione statistica.</t>
  </si>
  <si>
    <t xml:space="preserve"> - Immettere un valore per 'righe per campione'.</t>
  </si>
  <si>
    <t xml:space="preserve"> - Il valore specificato in 'righe per campione' deve essere un intero maggiore di zero.</t>
  </si>
  <si>
    <t xml:space="preserve"> - Ciascun campione deve contenere lo stesso numero di righe.</t>
  </si>
  <si>
    <t xml:space="preserve"> - L'intervallo della X e l'intervallo della Y devono avere lo stesso numero di righe (valori del campione), indipendentemente dalle etichette.</t>
  </si>
  <si>
    <t xml:space="preserve"> - Metodo di campionamento non valido. Immettere "P" per il campionamento periodico e "C" per quello casuale.</t>
  </si>
  <si>
    <t xml:space="preserve"> - Immettere il metodo di campionamento.</t>
  </si>
  <si>
    <t xml:space="preserve"> - Il valore specificato in 'generatore' deve essere un intero compreso tra 1 e 32767.</t>
  </si>
  <si>
    <t xml:space="preserve"> - Impossibile modificare un foglio protetto.</t>
  </si>
  <si>
    <t xml:space="preserve"> - Immettere i limiti per la distribuzione uniforme. Devono essere dei numeri.</t>
  </si>
  <si>
    <t xml:space="preserve"> - ENTRAMBI gli intervalli delle variabili devono essere righe o colonne.</t>
  </si>
  <si>
    <t xml:space="preserve"> - Gli intervalli delle variabili devono avere lo stesso numero di dati.</t>
  </si>
  <si>
    <t xml:space="preserve"> - Gli intervalli delle variabili devono contenere almeno due dati.</t>
  </si>
  <si>
    <t xml:space="preserve"> - L'intervallo variabile 1deve essere un riferimento contiguo.</t>
  </si>
  <si>
    <t xml:space="preserve"> - Intervallo variabile 1 mancante.</t>
  </si>
  <si>
    <t xml:space="preserve"> - Gli intervalli variabile 1e 2 non possono sovrapporsi.</t>
  </si>
  <si>
    <t xml:space="preserve"> - L'intervallo variabile 1 e l'intervallo di output non possono sovrapporsi.</t>
  </si>
  <si>
    <t xml:space="preserve"> - L'intervallo variabile 2 deve essere un riferimento contiguo.</t>
  </si>
  <si>
    <t xml:space="preserve"> - Immettere l'intervallo variabile 2 mancante.</t>
  </si>
  <si>
    <t xml:space="preserve"> - L'intervallo variabile 2 e l'intervallo di output non possono sovrapporsi.</t>
  </si>
  <si>
    <t xml:space="preserve"> - Il tipo di distribuzione casuale deve essere un numero compreso tra 1 e 7.</t>
  </si>
  <si>
    <t xml:space="preserve"> - L'intervallo della X e l'intervallo di output si sovrappongono. Scegliere un diverso intervallo di output.</t>
  </si>
  <si>
    <t xml:space="preserve"> - L'intervallo di input X deve essere un riferimento contiguo.</t>
  </si>
  <si>
    <t xml:space="preserve"> - Immettere l'intervallo di input X mancante.</t>
  </si>
  <si>
    <t xml:space="preserve"> - Il numero di righe e di colonne nell'intervallo della X non possono essere uguali.</t>
  </si>
  <si>
    <t xml:space="preserve"> - L'intervallo della X e l'intervallo della Y non possono sovrapporsi.</t>
  </si>
  <si>
    <t xml:space="preserve"> - L'intervallo della Y e l'intervallo di output si sovrappongono. Scegliere un diverso intervallo di output.</t>
  </si>
  <si>
    <t xml:space="preserve"> - L'intervallo di input Y deve essere un riferimento contiguo.</t>
  </si>
  <si>
    <t xml:space="preserve"> - Immettere l'intervallo di input Y mancante.</t>
  </si>
  <si>
    <t xml:space="preserve"> - Varianza 1 deve essere un numero maggiore di zero.</t>
  </si>
  <si>
    <t xml:space="preserve"> - Varianza 2 deve essere un numero maggiore di zero.</t>
  </si>
  <si>
    <t xml:space="preserve"> - Impossibile accedere ai controlli ActiveX della cartella di lavoro. Contattare il servizio supporto tecnico clienti.</t>
  </si>
  <si>
    <t xml:space="preserve"> - Impossibile aggiungere un grafico a una cartella di lavoro condivisa. Continuare la creazione della tabella di output?</t>
  </si>
  <si>
    <t>データ分析</t>
  </si>
  <si>
    <t>分散分析: 一元配置</t>
  </si>
  <si>
    <t>回帰分析</t>
  </si>
  <si>
    <t>相関</t>
  </si>
  <si>
    <t>基本統計量</t>
  </si>
  <si>
    <t>指数平滑</t>
  </si>
  <si>
    <t>F 検定:  2 標本を使った分散の検定</t>
  </si>
  <si>
    <t>サンプリング</t>
  </si>
  <si>
    <t>乱数発生</t>
  </si>
  <si>
    <t>キャンセル</t>
  </si>
  <si>
    <t>分析ツール(&amp;A)</t>
  </si>
  <si>
    <t>入力元</t>
  </si>
  <si>
    <t>出力オプション</t>
  </si>
  <si>
    <t>変数の数(&amp;V):</t>
  </si>
  <si>
    <t>入力範囲(&amp;W):</t>
  </si>
  <si>
    <t>入力 Y 範囲(&amp;Y):</t>
  </si>
  <si>
    <t>入力範囲(&amp;I):</t>
  </si>
  <si>
    <t>入力範囲(&amp;I)</t>
  </si>
  <si>
    <t>変数 1 の入力範囲(&amp;1):</t>
  </si>
  <si>
    <t>乱数の数(&amp;B):</t>
  </si>
  <si>
    <t>データ方向:</t>
  </si>
  <si>
    <t>入力 X 範囲(&amp;X):</t>
  </si>
  <si>
    <t>減衰率(&amp;D):</t>
  </si>
  <si>
    <t>変数 2 の入力範囲(&amp;2):</t>
  </si>
  <si>
    <t>ラベル(&amp;L)</t>
  </si>
  <si>
    <t>新規ワークシート(&amp;P):</t>
  </si>
  <si>
    <t>標本の採取方法</t>
  </si>
  <si>
    <t>分布(&amp;D):</t>
  </si>
  <si>
    <t>先頭列をラベルとして使用(&amp;L)</t>
  </si>
  <si>
    <t>列(&amp;C)</t>
  </si>
  <si>
    <t>新規ブック(&amp;W)</t>
  </si>
  <si>
    <t>先頭行をラベルとして使用(&amp;L)</t>
  </si>
  <si>
    <t>行(&amp;R)</t>
  </si>
  <si>
    <t>定数に 0 を使用(&amp;Z)</t>
  </si>
  <si>
    <t>α(&amp;A):</t>
  </si>
  <si>
    <t>周期変化(&amp;E)</t>
  </si>
  <si>
    <t>パラメータ</t>
  </si>
  <si>
    <t>有意水準(&amp;O)</t>
  </si>
  <si>
    <t>ランダム(&amp;R)</t>
  </si>
  <si>
    <t>出力先(&amp;O):</t>
  </si>
  <si>
    <t>周期:</t>
  </si>
  <si>
    <t>日付/時刻</t>
  </si>
  <si>
    <t>情報</t>
  </si>
  <si>
    <t>数学/三角</t>
  </si>
  <si>
    <t>統計</t>
  </si>
  <si>
    <t>一覧の出力先(&amp;S):</t>
  </si>
  <si>
    <t>財務</t>
  </si>
  <si>
    <t>グラフ作成(&amp;C)</t>
  </si>
  <si>
    <t>エンジニアリング</t>
  </si>
  <si>
    <t>標準誤差の表示(&amp;S)</t>
  </si>
  <si>
    <t>統計情報(&amp;S)</t>
  </si>
  <si>
    <t>分散分析</t>
  </si>
  <si>
    <t>残差</t>
  </si>
  <si>
    <t>値と確率の入力範囲(&amp;I):</t>
  </si>
  <si>
    <t>分散分析: 繰り返しのある二元配置</t>
  </si>
  <si>
    <t>残差(&amp;R)</t>
  </si>
  <si>
    <t>共分散</t>
  </si>
  <si>
    <t>分散分析: 繰り返しのない二元配置</t>
  </si>
  <si>
    <t>標準化された残差(&amp;T)</t>
  </si>
  <si>
    <t>K 番目に大きな値(&amp;A):</t>
  </si>
  <si>
    <t>ランダム シード(&amp;R):</t>
  </si>
  <si>
    <t>概要</t>
  </si>
  <si>
    <t>残差グラフの作成(&amp;D)</t>
  </si>
  <si>
    <t>t 検定:  一対の標本による平均の検定</t>
  </si>
  <si>
    <t>グループ</t>
  </si>
  <si>
    <t>観測値グラフの作成(&amp;I)</t>
  </si>
  <si>
    <t>K 番目に小さな値(&amp;M):</t>
  </si>
  <si>
    <t>正規確率</t>
  </si>
  <si>
    <t>合計</t>
  </si>
  <si>
    <t>正規確率グラフの作成(&amp;N)</t>
  </si>
  <si>
    <t>平均</t>
  </si>
  <si>
    <t>分散</t>
  </si>
  <si>
    <t>分散分析表</t>
  </si>
  <si>
    <t>変動要因</t>
  </si>
  <si>
    <t>1 標本あたりの行数(&amp;R):</t>
  </si>
  <si>
    <t>変動</t>
  </si>
  <si>
    <t>仮説平均との差異(&amp;Y):</t>
  </si>
  <si>
    <t>自由度</t>
  </si>
  <si>
    <t>観測された分散比</t>
  </si>
  <si>
    <t>P-値</t>
  </si>
  <si>
    <t>F 境界値</t>
  </si>
  <si>
    <t>グループ間</t>
  </si>
  <si>
    <t>グループ内</t>
  </si>
  <si>
    <t>標本</t>
  </si>
  <si>
    <t>列</t>
  </si>
  <si>
    <t>交互作用</t>
  </si>
  <si>
    <t>順位と百分位数</t>
  </si>
  <si>
    <t>から(&amp;F)</t>
  </si>
  <si>
    <t>繰り返し誤差</t>
  </si>
  <si>
    <t>行</t>
  </si>
  <si>
    <t>まで(&amp;T)</t>
  </si>
  <si>
    <t>誤差</t>
  </si>
  <si>
    <t>t 検定:  等分散を仮定した 2 標本による検定</t>
  </si>
  <si>
    <t>標準誤差</t>
  </si>
  <si>
    <t>中央値 （メジアン）</t>
  </si>
  <si>
    <t>最頻値 （モード）</t>
  </si>
  <si>
    <t>標準偏差</t>
  </si>
  <si>
    <t>ステップ(&amp;P)</t>
  </si>
  <si>
    <t>尖度</t>
  </si>
  <si>
    <t>数値の繰り返し回数(&amp;E)</t>
  </si>
  <si>
    <t>歪度</t>
  </si>
  <si>
    <t>範囲</t>
  </si>
  <si>
    <t>回</t>
  </si>
  <si>
    <t>最小</t>
  </si>
  <si>
    <t>数列の繰り返し回数(&amp;Q)</t>
  </si>
  <si>
    <t>最大</t>
  </si>
  <si>
    <t>最大値</t>
  </si>
  <si>
    <t>最小値</t>
  </si>
  <si>
    <t>移動平均</t>
  </si>
  <si>
    <t>フーリエ解析</t>
  </si>
  <si>
    <t>実測</t>
  </si>
  <si>
    <t>予測</t>
  </si>
  <si>
    <t>データポイント</t>
  </si>
  <si>
    <t>値</t>
  </si>
  <si>
    <t>ヒストグラム</t>
  </si>
  <si>
    <t>平均(&amp;E) =</t>
  </si>
  <si>
    <t>データ区間</t>
  </si>
  <si>
    <t>頻度</t>
  </si>
  <si>
    <t>標準偏差(&amp;S) =</t>
  </si>
  <si>
    <t>累積 %</t>
  </si>
  <si>
    <t>t 検定:  分散が等しくないと仮定した 2 標本による検定</t>
  </si>
  <si>
    <t>次の級</t>
  </si>
  <si>
    <t>区間(&amp;N):</t>
  </si>
  <si>
    <t>フーリエ</t>
  </si>
  <si>
    <t>F-検定: 2 標本を使った分散の検定</t>
  </si>
  <si>
    <t>t-検定: 等分散を仮定した２標本による検定</t>
  </si>
  <si>
    <t>t-検定: 一対の標本による平均の検定ツール</t>
  </si>
  <si>
    <t>t-検定: 分散が等しくないと仮定した２標本による検定</t>
  </si>
  <si>
    <t>逆変換(&amp;N)</t>
  </si>
  <si>
    <t>観測数</t>
  </si>
  <si>
    <t>P(F&lt;=f) 片側</t>
  </si>
  <si>
    <t>二標本の平均値の差(&amp;H)</t>
  </si>
  <si>
    <t>F 境界値 片側</t>
  </si>
  <si>
    <t>仮説平均との差異</t>
  </si>
  <si>
    <t>プールされた分散</t>
  </si>
  <si>
    <t>ピアソン相関</t>
  </si>
  <si>
    <t>P(T&lt;=t) 片側</t>
  </si>
  <si>
    <t>p 値(&amp;P) =</t>
  </si>
  <si>
    <t>P(T&lt;=t) 両側</t>
  </si>
  <si>
    <t xml:space="preserve">t </t>
  </si>
  <si>
    <t>t 境界値 片側</t>
  </si>
  <si>
    <t>t 境界値 両側</t>
  </si>
  <si>
    <t>変数 1</t>
  </si>
  <si>
    <t>データ区間(&amp;B):</t>
  </si>
  <si>
    <t>変数 2</t>
  </si>
  <si>
    <t>z-検定: 2 標本による平均の検定</t>
  </si>
  <si>
    <t>既知の分散</t>
  </si>
  <si>
    <t>P(Z&lt;=z) 片側</t>
  </si>
  <si>
    <t>z 境界値 片側</t>
  </si>
  <si>
    <t>P(Z&lt;=z) 両側</t>
  </si>
  <si>
    <t>z 検定:  2標本による平均の検定</t>
  </si>
  <si>
    <t xml:space="preserve">試行回数(&amp;N) = </t>
  </si>
  <si>
    <t>z 境界値 両側</t>
  </si>
  <si>
    <t>順位</t>
  </si>
  <si>
    <t>パレート図(&amp;A)</t>
  </si>
  <si>
    <t>パーセント</t>
  </si>
  <si>
    <t>累積度数分布の表示(&amp;M)</t>
  </si>
  <si>
    <t>番号</t>
  </si>
  <si>
    <t>均一</t>
  </si>
  <si>
    <t>正規</t>
  </si>
  <si>
    <t>ベルヌーイ</t>
  </si>
  <si>
    <t>変数 1 の分散 (既知)(&amp;V):</t>
  </si>
  <si>
    <t>二項</t>
  </si>
  <si>
    <t>ポワソン</t>
  </si>
  <si>
    <t>変数 2 の分散 (既知)(&amp;A):</t>
  </si>
  <si>
    <t>パターン</t>
  </si>
  <si>
    <t>離散</t>
  </si>
  <si>
    <t>回帰</t>
  </si>
  <si>
    <t>残差出力</t>
  </si>
  <si>
    <t>λ(&amp;L) =</t>
  </si>
  <si>
    <t>観測値</t>
  </si>
  <si>
    <t>予測値:</t>
  </si>
  <si>
    <t>予測値: Y</t>
  </si>
  <si>
    <t>標準残差</t>
  </si>
  <si>
    <t>確率</t>
  </si>
  <si>
    <t>百分位数</t>
  </si>
  <si>
    <t>回帰統計</t>
  </si>
  <si>
    <t>重相関 R</t>
  </si>
  <si>
    <t>重決定 R2</t>
  </si>
  <si>
    <t>補正 R2</t>
  </si>
  <si>
    <t>有意 F</t>
  </si>
  <si>
    <t>切片</t>
  </si>
  <si>
    <t>下限</t>
  </si>
  <si>
    <t>下限 95%</t>
  </si>
  <si>
    <t>上限</t>
  </si>
  <si>
    <t>上限 95%</t>
  </si>
  <si>
    <t>X 値</t>
  </si>
  <si>
    <t>係数</t>
  </si>
  <si>
    <t>残差グラフ</t>
  </si>
  <si>
    <t>観測値グラフ</t>
  </si>
  <si>
    <t>正規確率グラフ</t>
  </si>
  <si>
    <t>サンプル百分位数</t>
  </si>
  <si>
    <t>計算中</t>
  </si>
  <si>
    <t>計算のためのメモリが割り当てられません。</t>
  </si>
  <si>
    <t>αの値は 0 から 1 の間の数値です。</t>
  </si>
  <si>
    <t>ベルヌーイ確率は 0 から 1 の範囲で指定してください。</t>
  </si>
  <si>
    <t>二項確率は 0 から 1 の範囲で指定してください。</t>
  </si>
  <si>
    <t>二項分布の試行回数は 1 以上の整数で指定してください。</t>
  </si>
  <si>
    <t>データ区間を指定してください。</t>
  </si>
  <si>
    <t>数値データを入力してください。</t>
  </si>
  <si>
    <t>データ区間と入力範囲が重なっています。</t>
  </si>
  <si>
    <t>データ区間と出力先が重なっています。</t>
  </si>
  <si>
    <t>データ区間がないためグラフが書けません。</t>
  </si>
  <si>
    <t>グラフ作成が不正です。</t>
  </si>
  <si>
    <t>定数が不正です。</t>
  </si>
  <si>
    <t>累積度数分布が不正です。</t>
  </si>
  <si>
    <t>逆変換が不正です。</t>
  </si>
  <si>
    <t>観測値グラフが不正です。</t>
  </si>
  <si>
    <t>ラベルが不正です。</t>
  </si>
  <si>
    <t>パレート図が不正です。</t>
  </si>
  <si>
    <t>正規確率グラフが不正です。</t>
  </si>
  <si>
    <t>残差グラフが不正です。</t>
  </si>
  <si>
    <t>残差が不正です</t>
  </si>
  <si>
    <t>標準誤差の表示が不正です。</t>
  </si>
  <si>
    <t>標準化された残差が不正です。</t>
  </si>
  <si>
    <t>統計情報の値が不正です。</t>
  </si>
  <si>
    <t>入力範囲と出力先の参照ができません。</t>
  </si>
  <si>
    <t>入力範囲の相対参照ができません。</t>
  </si>
  <si>
    <t>いくつかのデータが埋め込まれたグラフの陰に隠れてしまいます。</t>
  </si>
  <si>
    <t>ワークシートの境界を超えるためグラフが書けません。</t>
  </si>
  <si>
    <t>この操作を取り消しますか。</t>
  </si>
  <si>
    <t>信頼係数は 0 から 100 の間の値です。</t>
  </si>
  <si>
    <t>入力範囲を値と確率に変換することができません。</t>
  </si>
  <si>
    <t>減衰率は数値です。</t>
  </si>
  <si>
    <t>減衰率は正の数です。</t>
  </si>
  <si>
    <t>離散確率の列の合計は 1 になります。</t>
  </si>
  <si>
    <t>値と確率は 2 列で指定する必要があります。</t>
  </si>
  <si>
    <t>1 つ以上の値と確率を指定する必要があります。</t>
  </si>
  <si>
    <t>値と確率の範囲は数値データで、同じ数が必要です。</t>
  </si>
  <si>
    <t>値と確率の範囲が出力先と重なっています。</t>
  </si>
  <si>
    <t>入力範囲には、標準誤差がチェックされる際の 5 つ以上のデータ要素が含まれている必要があります。</t>
  </si>
  <si>
    <t>引数が多すぎます。文法をチェックしてください。</t>
  </si>
  <si>
    <t>入力のX範囲は 16 以上の変数は使用できません。</t>
  </si>
  <si>
    <t>入力範囲の数は 2 の偶数乗でなければなりません。例：2,4,8,16,32,64,128…</t>
  </si>
  <si>
    <t>入力範囲の数は 4096 以下の必要があります。</t>
  </si>
  <si>
    <t>データ方向が列の場合は C、行の場合は R を指定する。</t>
  </si>
  <si>
    <t>計算には 2 つ以上の標本が必要です。</t>
  </si>
  <si>
    <t>入力範囲は連続している必要があります。</t>
  </si>
  <si>
    <t>入力範囲が違います。</t>
  </si>
  <si>
    <t>入力と出力範囲が重なっています。指定し直してください。</t>
  </si>
  <si>
    <t>入力範囲には 1 つ以上のデータが必要です。</t>
  </si>
  <si>
    <t>区間は数値で指定してください。</t>
  </si>
  <si>
    <t>区間は正の整数です。</t>
  </si>
  <si>
    <t>区間はデータ件数より多くできません。</t>
  </si>
  <si>
    <t>入力範囲に不正な複素数があります。複素数は X+Yi または X+Yj です。</t>
  </si>
  <si>
    <t>すべての複素数はiまたはjの接尾語が必要です。</t>
  </si>
  <si>
    <t>最大値の K の値は 0 より大きい正の整数で、データ件数を超えない値を指定してください。</t>
  </si>
  <si>
    <t>最小値の K の値は 0 より大きい正の整数で、データ件数を超えない値を指定してください。</t>
  </si>
  <si>
    <t>LINEST() 関数エラー 入力範囲をチェックしてください。</t>
  </si>
  <si>
    <t>仮説平均との差異は正の値で指定してください。</t>
  </si>
  <si>
    <t>関数の引数が不正です。</t>
  </si>
  <si>
    <t>入力と出力範囲は同じワークシートの必要があります。</t>
  </si>
  <si>
    <t>入力あるいは出力範囲は連続したセル範囲を指定してください。</t>
  </si>
  <si>
    <t>入力範囲は 1 つの行か列です。</t>
  </si>
  <si>
    <t>入力範囲に同じ数のデータが必要です。</t>
  </si>
  <si>
    <t>入力範囲に 4 つ以上のデータが必要です。</t>
  </si>
  <si>
    <t>新しいブックが作成できません。</t>
  </si>
  <si>
    <t>出力先の新しいシートが作成できません。</t>
  </si>
  <si>
    <t>分析ツールのメニューが開けません。</t>
  </si>
  <si>
    <t>選択されたツールのダイアログが開けません。</t>
  </si>
  <si>
    <t>入力範囲に数値以外のデータがあります。</t>
  </si>
  <si>
    <t>正規分布の平均を数値で入力してください。</t>
  </si>
  <si>
    <t>標準偏差の値を 0 以外の数値で入力してください。</t>
  </si>
  <si>
    <t>標本の数は 0 以上の整数を指定してください。</t>
  </si>
  <si>
    <t>元のシートが開けません。</t>
  </si>
  <si>
    <t>出力オプションが不正です。</t>
  </si>
  <si>
    <t>出力先が不正です。</t>
  </si>
  <si>
    <t>出力範囲が不正です。</t>
  </si>
  <si>
    <t>計算範囲がワークシートの範囲を超えています。</t>
  </si>
  <si>
    <t>出力範囲にデータがあります。上書きする場合は [OK] を押してください。</t>
  </si>
  <si>
    <t>ステップの値が不正です。</t>
  </si>
  <si>
    <t>開始値を数値で指定してください。</t>
  </si>
  <si>
    <t>ステップには 0 以外の数値を入力してください。</t>
  </si>
  <si>
    <t>終了値を数値で指定してください。</t>
  </si>
  <si>
    <t>数値の繰り返し回数を 0 以上の整数で指定してください。</t>
  </si>
  <si>
    <t>数列の繰り返し回数を 0 以上の整数で指定してください。</t>
  </si>
  <si>
    <t>周期変化は 0 以上の整数です。</t>
  </si>
  <si>
    <t>採集の周期を入力してください。</t>
  </si>
  <si>
    <t>周期変化の数が入力範囲の値の数を超えています。</t>
  </si>
  <si>
    <t>λには 0 より大きな値を指定してください。</t>
  </si>
  <si>
    <t>分布の指定が必要です。1 から 7 の整数を入力してください。</t>
  </si>
  <si>
    <t>乱数の数は 0 以上の整数を指定してください。</t>
  </si>
  <si>
    <t>離散分布: 選ばれた確率の乱数を見つけることができません。</t>
  </si>
  <si>
    <t>変数の数は 0 以上の整数を指定してください。</t>
  </si>
  <si>
    <t>すべてのオプションをオフにすることはできません。</t>
  </si>
  <si>
    <t>入力範囲のデータが必要です。</t>
  </si>
  <si>
    <t>サンプルデータには 0 以上の整数が必要です。</t>
  </si>
  <si>
    <t>それぞれのサンプルデータは同じ個数である必要があります。</t>
  </si>
  <si>
    <t>X 範囲と Y 範囲のデータ数は同じでなければなりません。</t>
  </si>
  <si>
    <t>採集方法が不正です。周期変化なら P を、ランダムなら R を入力してください。</t>
  </si>
  <si>
    <t>採集方法が必要です。</t>
  </si>
  <si>
    <t>整数の 1 から 32767 の範囲です。</t>
  </si>
  <si>
    <t>出力範囲が保護されたシートです。保護されたシートには書き込めません。</t>
  </si>
  <si>
    <t>一様分布のパラメータは数値です。</t>
  </si>
  <si>
    <t>変数範囲の両方は列方向か行方向に揃っている必要があります。</t>
  </si>
  <si>
    <t>変数範囲は同じ数のデータが必要です。</t>
  </si>
  <si>
    <t>変数範囲は少なくとも 2 つ以上の値が必要です。</t>
  </si>
  <si>
    <t>変数 1 の範囲は連続している必要があります。</t>
  </si>
  <si>
    <t>変数 1 の範囲が違っています。</t>
  </si>
  <si>
    <t>変数 1 と変数 2 の範囲が重なっています。</t>
  </si>
  <si>
    <t>変数 1 の範囲と出力先が重なっています。</t>
  </si>
  <si>
    <t>変数 2 の範囲は連続している必要があります。</t>
  </si>
  <si>
    <t>変数 2 の範囲が違っています。</t>
  </si>
  <si>
    <t>変数 2 の範囲と出力先が重なっています。</t>
  </si>
  <si>
    <t>乱数分布のタイプは、1 から 7 の範囲です。</t>
  </si>
  <si>
    <t>X 範囲と出力先が重なっています。選択し直してください。</t>
  </si>
  <si>
    <t>連続した X 範囲を入力してください。</t>
  </si>
  <si>
    <t>X 範囲を入力してください。</t>
  </si>
  <si>
    <t>X 範囲の行と列の番号は、同じにできません。</t>
  </si>
  <si>
    <t>X 範囲と Y 範囲が重なっています。</t>
  </si>
  <si>
    <t>Y 範囲と出力先が重なっています。選択し直してください。</t>
  </si>
  <si>
    <t>連続した Y 範囲を入力してください。</t>
  </si>
  <si>
    <t>Y 範囲を入力してください。</t>
  </si>
  <si>
    <t>変数 1 は、0 以上の数値です。</t>
  </si>
  <si>
    <t>変数 2 は、0 以上の数値です。</t>
  </si>
  <si>
    <t>ActiveX コントロールを含むブックにアクセスできません。マイクロソフト テクニカル サポートに連絡してください。</t>
  </si>
  <si>
    <t>共有ブックにグラフを追加できません。出力テーブルの作成を続けますか?</t>
  </si>
  <si>
    <t>통계 데이터 분석</t>
  </si>
  <si>
    <t>분산 분석: 일원 배치법</t>
  </si>
  <si>
    <t>회귀 분석</t>
  </si>
  <si>
    <t>상관 분석</t>
  </si>
  <si>
    <t>기술 통계법</t>
  </si>
  <si>
    <t>지수 평활법</t>
  </si>
  <si>
    <t>F-검정: 분산에 대한 두 집단</t>
  </si>
  <si>
    <t>표본 추출</t>
  </si>
  <si>
    <t>난수 생성</t>
  </si>
  <si>
    <t>확인</t>
  </si>
  <si>
    <t>취소</t>
  </si>
  <si>
    <t>분석 도구(&amp;A)</t>
  </si>
  <si>
    <t>입력</t>
  </si>
  <si>
    <t>출력 옵션</t>
  </si>
  <si>
    <t>변수의 개수(&amp;V):</t>
  </si>
  <si>
    <t>입력 범위(&amp;I):</t>
  </si>
  <si>
    <t>Y축 입력 범위(&amp;Y):</t>
  </si>
  <si>
    <t>변수 1 입력 범위(&amp;1):</t>
  </si>
  <si>
    <t>해당 영역에 데이터 저장(&amp;O):</t>
  </si>
  <si>
    <t>난수의 개수(&amp;B):</t>
  </si>
  <si>
    <t>데이터 방향:</t>
  </si>
  <si>
    <t>X축 입력 범위(&amp;X):</t>
  </si>
  <si>
    <t>해당 영역에 저장(&amp;R):</t>
  </si>
  <si>
    <t>감쇠 인수(&amp;D):</t>
  </si>
  <si>
    <t>변수 2 입력 범위(&amp;2):</t>
  </si>
  <si>
    <t>이름표(&amp;L)</t>
  </si>
  <si>
    <t>새로운 워크시트(&amp;P):</t>
  </si>
  <si>
    <t>표본 추출 방법</t>
  </si>
  <si>
    <t>분포(&amp;D):</t>
  </si>
  <si>
    <t>첫째 열 이름표 사용(&amp;L)</t>
  </si>
  <si>
    <t>열(&amp;C)</t>
  </si>
  <si>
    <t>새로운 통합 문서(&amp;W)</t>
  </si>
  <si>
    <t>첫째 행 이름표 사용(&amp;L)</t>
  </si>
  <si>
    <t>행(&amp;R)</t>
  </si>
  <si>
    <t>상수에 0을 사용(&amp;Z)</t>
  </si>
  <si>
    <t>유의 수준(&amp;A):</t>
  </si>
  <si>
    <t>주기적 추출(&amp;E)</t>
  </si>
  <si>
    <t>모수</t>
  </si>
  <si>
    <t>신뢰 수준(&amp;F)</t>
  </si>
  <si>
    <t>무작위 추출(&amp;R)</t>
  </si>
  <si>
    <t>출력 범위(&amp;O):</t>
  </si>
  <si>
    <t>주기:</t>
  </si>
  <si>
    <t>날짜/시간</t>
  </si>
  <si>
    <t>정보</t>
  </si>
  <si>
    <t>도움말</t>
  </si>
  <si>
    <t>표본수:</t>
  </si>
  <si>
    <t>수학/삼각</t>
  </si>
  <si>
    <t>통계</t>
  </si>
  <si>
    <t>재무</t>
  </si>
  <si>
    <t>차트 출력(&amp;C)</t>
  </si>
  <si>
    <t>공학</t>
  </si>
  <si>
    <t>표준 오차(&amp;S)</t>
  </si>
  <si>
    <t>요약 통계량(&amp;S)</t>
  </si>
  <si>
    <t>분산 분석</t>
  </si>
  <si>
    <t>평균에 대한 신뢰 수준(&amp;N):</t>
  </si>
  <si>
    <t>잔차</t>
  </si>
  <si>
    <t>종료(&amp;A)</t>
  </si>
  <si>
    <t>분산 분석: 반복 있는 이원 배치법</t>
  </si>
  <si>
    <t>잔차(&amp;R)</t>
  </si>
  <si>
    <t>공분산 분석</t>
  </si>
  <si>
    <t>분산 분석: 반복 없는 이원 배치법</t>
  </si>
  <si>
    <t>표준 잔차(&amp;T)</t>
  </si>
  <si>
    <t>K번째 큰 값(&amp;A):</t>
  </si>
  <si>
    <t>난수 시드(&amp;R):</t>
  </si>
  <si>
    <t>요약표</t>
  </si>
  <si>
    <t>잔차도(&amp;D)</t>
  </si>
  <si>
    <t>t-검정: 쌍체비교</t>
  </si>
  <si>
    <t>인자의 수준</t>
  </si>
  <si>
    <t>선적합도(&amp;I)</t>
  </si>
  <si>
    <t>K번째 작은값(&amp;M):</t>
  </si>
  <si>
    <t>관측수</t>
  </si>
  <si>
    <t>정규 확률</t>
  </si>
  <si>
    <t>합</t>
  </si>
  <si>
    <t>정규 확률도(&amp;N)</t>
  </si>
  <si>
    <t>평균</t>
  </si>
  <si>
    <t>분산</t>
  </si>
  <si>
    <t>변동의 요인</t>
  </si>
  <si>
    <t>표본당 행수(&amp;R):</t>
  </si>
  <si>
    <t>제곱합</t>
  </si>
  <si>
    <t>가설 평균차(&amp;E):</t>
  </si>
  <si>
    <t>자유도</t>
  </si>
  <si>
    <t>제곱 평균</t>
  </si>
  <si>
    <t>F 비</t>
  </si>
  <si>
    <t>P-값</t>
  </si>
  <si>
    <t>F 기각치</t>
  </si>
  <si>
    <t>계</t>
  </si>
  <si>
    <t>처리</t>
  </si>
  <si>
    <t>인자 A(행)</t>
  </si>
  <si>
    <t>교호작용</t>
  </si>
  <si>
    <t>순위와 백분율</t>
  </si>
  <si>
    <t>시작(&amp;E)</t>
  </si>
  <si>
    <t>인자 B(열)</t>
  </si>
  <si>
    <t>t-검정: 등분산 가정 두집단</t>
  </si>
  <si>
    <t>시작(&amp;F)</t>
  </si>
  <si>
    <t>표준 오차</t>
  </si>
  <si>
    <t>중앙값</t>
  </si>
  <si>
    <t>종료(&amp;T)</t>
  </si>
  <si>
    <t>최빈값</t>
  </si>
  <si>
    <t>표준 편차</t>
  </si>
  <si>
    <t>단계(&amp;S)</t>
  </si>
  <si>
    <t>첨도</t>
  </si>
  <si>
    <t>각 수 반복 횟수(&amp;E)</t>
  </si>
  <si>
    <t>왜도</t>
  </si>
  <si>
    <t>범위</t>
  </si>
  <si>
    <t>회</t>
  </si>
  <si>
    <t>최소값</t>
  </si>
  <si>
    <t>반복 진행 횟수(&amp;U)</t>
  </si>
  <si>
    <t>최대값</t>
  </si>
  <si>
    <t>가장 큰 값</t>
  </si>
  <si>
    <t>가장 작은 값</t>
  </si>
  <si>
    <t>신뢰 수준</t>
  </si>
  <si>
    <t>이동 평균법</t>
  </si>
  <si>
    <t>푸리에 분석</t>
  </si>
  <si>
    <t>실제값</t>
  </si>
  <si>
    <t>예측값</t>
  </si>
  <si>
    <t>X축 값</t>
  </si>
  <si>
    <t>Y축 값</t>
  </si>
  <si>
    <t>히스토그램</t>
  </si>
  <si>
    <t>평균(&amp;E) =</t>
  </si>
  <si>
    <t>계급</t>
  </si>
  <si>
    <t>빈도수</t>
  </si>
  <si>
    <t>표준 편차(&amp;S) =</t>
  </si>
  <si>
    <t>누적 %</t>
  </si>
  <si>
    <t>t-검정: 이분산 가정 두집단</t>
  </si>
  <si>
    <t>기타</t>
  </si>
  <si>
    <t>구간(&amp;N):</t>
  </si>
  <si>
    <t>t-검정: 등분산 가정 두 집단</t>
  </si>
  <si>
    <t>t-검정: 쌍체 비교</t>
  </si>
  <si>
    <t>t-검정: 이분산 가정 두 집단</t>
  </si>
  <si>
    <t>역 변환(&amp;N)</t>
  </si>
  <si>
    <t>P(F&lt;=f) 단측 검정</t>
  </si>
  <si>
    <t>F 기각치: 단측 검정</t>
  </si>
  <si>
    <t>가설 평균차</t>
  </si>
  <si>
    <t>공동(Pooled) 분산</t>
  </si>
  <si>
    <t>피어슨 상관 계수</t>
  </si>
  <si>
    <t>P(T&lt;=t) 단측 검정</t>
  </si>
  <si>
    <t>성공률(&amp;A) =</t>
  </si>
  <si>
    <t>P(T&lt;=t) 양측 검정</t>
  </si>
  <si>
    <t>t 통계량</t>
  </si>
  <si>
    <t>t 기각치 단측 검정</t>
  </si>
  <si>
    <t>t 기각치 양측 검정</t>
  </si>
  <si>
    <t>변수 1</t>
  </si>
  <si>
    <t>계급 구간(&amp;B):</t>
  </si>
  <si>
    <t>변수 2</t>
  </si>
  <si>
    <t>z-검정: 평균에 대한 두 집단</t>
  </si>
  <si>
    <t>기지의 분산</t>
  </si>
  <si>
    <t>z 통계량</t>
  </si>
  <si>
    <t>P(Z&lt;=z) 단측 검정</t>
  </si>
  <si>
    <t>z 기각치 단측 검정</t>
  </si>
  <si>
    <t>P(Z&lt;=z) 양측 검정</t>
  </si>
  <si>
    <t>z-검정: 평균에 대한 두집단</t>
  </si>
  <si>
    <t>시행 횟수(&amp;N) =</t>
  </si>
  <si>
    <t>z 기각치 양측 검정</t>
  </si>
  <si>
    <t>순위</t>
  </si>
  <si>
    <t>파레토: 순차적 히스토그램(&amp;A)</t>
  </si>
  <si>
    <t>퍼센트</t>
  </si>
  <si>
    <t>누적 백분율(&amp;M)</t>
  </si>
  <si>
    <t>포인트</t>
  </si>
  <si>
    <t>일양 분포</t>
  </si>
  <si>
    <t>가설 평균차(&amp;P):</t>
  </si>
  <si>
    <t>정규 분포</t>
  </si>
  <si>
    <t>베르누이 분포</t>
  </si>
  <si>
    <t>변수 1의 분산-기지값(&amp;V):</t>
  </si>
  <si>
    <t>이항 분포</t>
  </si>
  <si>
    <t>포아송 분포</t>
  </si>
  <si>
    <t>변수 2의 분산-기지값(&amp;A):</t>
  </si>
  <si>
    <t>패턴 분포</t>
  </si>
  <si>
    <t>이산 분포</t>
  </si>
  <si>
    <t>회귀</t>
  </si>
  <si>
    <t>잔차 출력</t>
  </si>
  <si>
    <t>평균율(&amp;L) =</t>
  </si>
  <si>
    <t>예측치</t>
  </si>
  <si>
    <t>Y 예측치</t>
  </si>
  <si>
    <t>표준 잔차</t>
  </si>
  <si>
    <t>확률 출력</t>
  </si>
  <si>
    <t>백분율</t>
  </si>
  <si>
    <t>요약 출력</t>
  </si>
  <si>
    <t>회귀분석 통계량</t>
  </si>
  <si>
    <t>다중 상관계수</t>
  </si>
  <si>
    <t>결정계수</t>
  </si>
  <si>
    <t>조정된 결정계수</t>
  </si>
  <si>
    <t>유의한 F</t>
  </si>
  <si>
    <t>표본값과 확률 입력 범위(&amp;I):</t>
  </si>
  <si>
    <t>Y 절편</t>
  </si>
  <si>
    <t>하위</t>
  </si>
  <si>
    <t>하위 95%</t>
  </si>
  <si>
    <t>상위</t>
  </si>
  <si>
    <t>상위 95%</t>
  </si>
  <si>
    <t>X</t>
  </si>
  <si>
    <t>계수</t>
  </si>
  <si>
    <t xml:space="preserve"> 잔차도</t>
  </si>
  <si>
    <t>선 적합도</t>
  </si>
  <si>
    <t>정규 확률도</t>
  </si>
  <si>
    <t>표본 백분율</t>
  </si>
  <si>
    <t>표본 추출중 -</t>
  </si>
  <si>
    <t>계산중 -</t>
  </si>
  <si>
    <t xml:space="preserve"> - 계산하기 위한 메모리가 부족합니다.</t>
  </si>
  <si>
    <t xml:space="preserve"> - 유의 수준은 0에서 1사이의 값이어야 합니다.</t>
  </si>
  <si>
    <t xml:space="preserve"> - 베르누이 확률은 0에서 1사이의 값이어야 합니다.</t>
  </si>
  <si>
    <t xml:space="preserve"> - 이항 분포의 확률은 0에서 1사이의 값이어야 합니다.</t>
  </si>
  <si>
    <t xml:space="preserve"> - 이항분포의 시행 횟수는 0보다 큰 정수 값이어야 합니다.</t>
  </si>
  <si>
    <t xml:space="preserve"> - 계급 구간이 있어야 합니다.</t>
  </si>
  <si>
    <t xml:space="preserve"> - 계급 구간은 생략할 수 있습니다.  지정하려면 참조 영역을 입력하십시오.</t>
  </si>
  <si>
    <t xml:space="preserve"> - 계급 구간이 비수치 데이터를 포함하고 있습니다.</t>
  </si>
  <si>
    <t xml:space="preserve"> - 계급 구간과 입력 범위가 중복되었습니다.</t>
  </si>
  <si>
    <t xml:space="preserve"> - 계급 구간과 출력 범위가 중복되었습니다.</t>
  </si>
  <si>
    <t xml:space="preserve"> - 계급 구간이 없으면 차트를 그릴 수 없습니다.</t>
  </si>
  <si>
    <t xml:space="preserve"> - 차트 출력은 논리값이어야 합니다.</t>
  </si>
  <si>
    <t xml:space="preserve"> - 상수는 논리값이어야 합니다.</t>
  </si>
  <si>
    <t xml:space="preserve"> - 누적 백분율은 논리값이어야 합니다.</t>
  </si>
  <si>
    <t xml:space="preserve"> - 역 변환은 논리값이어야 합니다.</t>
  </si>
  <si>
    <t xml:space="preserve"> - 선적합도는 논리값이어야 합니다.</t>
  </si>
  <si>
    <t xml:space="preserve"> - 이름표는 논리값이어야 합니다.</t>
  </si>
  <si>
    <t xml:space="preserve"> - 파레토는 논리값이어야 합니다.</t>
  </si>
  <si>
    <t xml:space="preserve"> - 정규 확률도는 논리값이어야 합니다.</t>
  </si>
  <si>
    <t xml:space="preserve"> - 잔차도는 논리값이어야 합니다.</t>
  </si>
  <si>
    <t xml:space="preserve"> - 잔차는 논리값이어야 합니다.</t>
  </si>
  <si>
    <t xml:space="preserve"> - 표준 오차 출력은 논리값이어야 합니다.</t>
  </si>
  <si>
    <t xml:space="preserve"> - 표준 잔차는 논리값이어야 합니다.</t>
  </si>
  <si>
    <t xml:space="preserve"> - 요약 통계량은 논리값이어야 합니다.</t>
  </si>
  <si>
    <t xml:space="preserve"> - 입력/출력 범위를 유효한 참조로 바꿀 수 없습니다.</t>
  </si>
  <si>
    <t xml:space="preserve"> - 범위 사이의 상대 참조를 만들 수 없습니다.</t>
  </si>
  <si>
    <t xml:space="preserve"> - 데이터의 일부가 차트에 가려질 것입니다.</t>
  </si>
  <si>
    <t xml:space="preserve"> - 차트가 워크시트의 영역을 벗어나기 때문에 그릴 수 없습니다.</t>
  </si>
  <si>
    <t xml:space="preserve"> - 계산을 중단하시겠습니까? 중단하려면 [확인]을 누르고 다시 시작하려면 [취소]를 누르십시오.</t>
  </si>
  <si>
    <t xml:space="preserve"> - 신뢰 수준은 0에서 100사이의 값이어야 합니다.</t>
  </si>
  <si>
    <t xml:space="preserve"> - 입력 범위를 값과 확률로 바꿀 수 없습니다.</t>
  </si>
  <si>
    <t xml:space="preserve"> - 감쇠 인수는 숫자이어야 합니다.</t>
  </si>
  <si>
    <t xml:space="preserve"> - 감쇠 인수는 양수이어야 합니다.</t>
  </si>
  <si>
    <t xml:space="preserve"> - 이산 확률의 합은 1이어야 합니다.</t>
  </si>
  <si>
    <t xml:space="preserve"> - 이산 확률과 값 입력 범위는 2개의 열로 지정해야 합니다.</t>
  </si>
  <si>
    <t xml:space="preserve"> - 두개 이상의 값과 확률을 가진 입력 범위를 지정하십시오.</t>
  </si>
  <si>
    <t xml:space="preserve"> - 이산 확률과 값의 범위는 숫자만을 포함해야 하고 개수가 같아야 합니다.</t>
  </si>
  <si>
    <t xml:space="preserve"> - 이산 확률과 값의 범위가 출력 범위와 겹쳐서는 안됩니다.</t>
  </si>
  <si>
    <t xml:space="preserve"> - 입력 범위에 데이터가 다섯 개 이상 있으면 표준 오류가 발생합니다.</t>
  </si>
  <si>
    <t xml:space="preserve"> - 인수가 너무 많습니다. RANDOM()에 대한 사용법을 참조하십시오.</t>
  </si>
  <si>
    <t xml:space="preserve"> - X의 입력 범위는 16개 이상의 변수(열)을 가질 수 없습니다.</t>
  </si>
  <si>
    <t xml:space="preserve"> - 입력 값은 2의 승수이어야 합니다. 예 : 2, 4, 8, 16,  32, 64, 128, ...</t>
  </si>
  <si>
    <t xml:space="preserve"> - 입력 값은 4096이하이어야 합니다.</t>
  </si>
  <si>
    <t xml:space="preserve"> - 데이터의 방향을 열로 지정하려면 "C", 행으로 지정하려면 "R"을 사용하십시오.</t>
  </si>
  <si>
    <t xml:space="preserve"> - 입력 범위는 2개 이상의 정렬된 데이터 블럭을 포함해야 합니다.</t>
  </si>
  <si>
    <t xml:space="preserve"> - 입력 범위는 연속적인 참조 영역이어야 합니다.</t>
  </si>
  <si>
    <t xml:space="preserve"> - 입력 범위를 바르게 지정하십시오.</t>
  </si>
  <si>
    <t xml:space="preserve"> - 입력 범위와 출력 범위가 겹쳐졌습니다. 다시 입력하십시오.</t>
  </si>
  <si>
    <t xml:space="preserve"> - 입력 범위에 적어도 하나의 데이터가 있어야 합니다.</t>
  </si>
  <si>
    <t xml:space="preserve"> - 구간은 숫자로 지정되어야 합니다.</t>
  </si>
  <si>
    <t xml:space="preserve"> - 구간은 양수로 지정되어야 합니다.</t>
  </si>
  <si>
    <t xml:space="preserve"> - 구간은 데이터 값보다 클 수 없습니다.</t>
  </si>
  <si>
    <t xml:space="preserve"> - 입력 범위 안에 복소수가 잘못되었습니다. 복소수는 x+yi 또는 x+yj 형태로 표기해야 합니다.</t>
  </si>
  <si>
    <t xml:space="preserve"> - 모든 복소수의 표기 방법을 i 또는 j로 통일시키십시오.</t>
  </si>
  <si>
    <t xml:space="preserve"> - K번째 큰 값은 데이터 값을 넘지않는 0보다 큰 양수이어야 합니다.</t>
  </si>
  <si>
    <t xml:space="preserve"> - K번째 작은 값은 데이터 값을 넘지 않는 0보다 큰 양수 이어야 합니다.</t>
  </si>
  <si>
    <t xml:space="preserve"> - LINEST() 함수가 에러 값을 반환했습니다. 입력 범위를 다시 한번 확인하십시오.</t>
  </si>
  <si>
    <t xml:space="preserve"> - 평균차는 양수이어야 합니다.</t>
  </si>
  <si>
    <t xml:space="preserve"> - 인수가 부족합니다.</t>
  </si>
  <si>
    <t xml:space="preserve"> - 입력과 출력 범위가 같은 시트에 있어야 합니다.</t>
  </si>
  <si>
    <t xml:space="preserve"> - 입력/출력 범위는 연속된 셀의 영역이어야 합니다.</t>
  </si>
  <si>
    <t xml:space="preserve"> - 입력 범위는 하나의 행 또는 열이어야 합니다.</t>
  </si>
  <si>
    <t xml:space="preserve"> - 입력 범위 내의 데이터 요소의 개수가 같아야 합니다.</t>
  </si>
  <si>
    <t xml:space="preserve"> - 입력 범위는 적어도 4개의 데이터를 포함해야 합니다.</t>
  </si>
  <si>
    <t xml:space="preserve"> - 새로운 통합 문서를 만들 수 없습니다.</t>
  </si>
  <si>
    <t xml:space="preserve"> - 출력에 대한 새로운 워크시트를 만들 수 없습니다.  통합 문서가 보호 상태인지 확인하십시오.</t>
  </si>
  <si>
    <t xml:space="preserve">  Main ATP 대화상자를 읽을 수 없습니다. 고객지원부에 문의하십시오.</t>
  </si>
  <si>
    <t xml:space="preserve">  선택한 프로시저의 대화상자를 읽을 수 없습니다. 고객지원부에 문의하십시오.</t>
  </si>
  <si>
    <t xml:space="preserve"> - 입력 범위에 숫자가 아닌 값이 있습니다.</t>
  </si>
  <si>
    <t xml:space="preserve"> - 정규 평균은 숫자이어야 합니다.</t>
  </si>
  <si>
    <t xml:space="preserve"> - 정규 표준 편차는 0이 아닌 숫자이어야 합니다.</t>
  </si>
  <si>
    <t xml:space="preserve"> - 표본의 수는 0보다 큰 숫치값이어야 합니다.</t>
  </si>
  <si>
    <t xml:space="preserve"> - 무작위 추출의 표본 개수를 입력하십시오.</t>
  </si>
  <si>
    <t xml:space="preserve"> - 입력 또는 출력 범위의 지정이 잘못되었습니다.</t>
  </si>
  <si>
    <t xml:space="preserve"> - 원본 시트를 열 수 없습니다.</t>
  </si>
  <si>
    <t xml:space="preserve"> - 출력 옵션이 잘못되었습니다.</t>
  </si>
  <si>
    <t xml:space="preserve"> - 출력 범위가 잘못 지정되었습니다.</t>
  </si>
  <si>
    <t xml:space="preserve"> - 출력 범위를 바르게 입력하십시오.</t>
  </si>
  <si>
    <t xml:space="preserve"> - 추정된 테이블 출력이 워크시트의 범위를 벗어납니다. 다른 영역을 지정하십시오.</t>
  </si>
  <si>
    <t xml:space="preserve"> - 출력 범위에 데이터가 있습니다.   이 범위 안에 있는 데이터에 겹쳐 쓰려면 '확인' 단추를 누르십시오. -</t>
  </si>
  <si>
    <t xml:space="preserve"> - 패턴 분포의 시작은 주어진 단계에서는 종료에 도달할 수 없습니다.</t>
  </si>
  <si>
    <t xml:space="preserve"> - 패턴 분포의 시작은 숫자이어야 합니다.</t>
  </si>
  <si>
    <t xml:space="preserve"> - 패턴 분포의 단계는 0이 아닌 값이어야 합니다.</t>
  </si>
  <si>
    <t xml:space="preserve"> - 패턴 분포의 종료는 숫자이어야 합니다.</t>
  </si>
  <si>
    <t xml:space="preserve"> - 패턴 분포의 각 수 반복 횟수는 0보다 큰 정수 값이어야 합니다.</t>
  </si>
  <si>
    <t xml:space="preserve"> - 패턴 분포의 반복 진행 횟수는 0보다 큰 정수 값이어야 합니다.</t>
  </si>
  <si>
    <t xml:space="preserve"> - 주기는 0보다 큰 숫자이어야 합니다.</t>
  </si>
  <si>
    <t xml:space="preserve"> - 표본 추출에 대한 주기를 입력하십시오.</t>
  </si>
  <si>
    <t xml:space="preserve"> - 주기는 입력 범위에 있는 값들을 초과할 수 없습니다.</t>
  </si>
  <si>
    <t xml:space="preserve"> - 포아송 분포의 평균율은 0보다 큰 숫자이어야 합니다.</t>
  </si>
  <si>
    <t xml:space="preserve"> - 분포의 종류가 지정되어야 합니다. 그 종류는 1에서 7까지의 숫자로 지정합니다.</t>
  </si>
  <si>
    <t xml:space="preserve"> - 난수는 0보다 큰 숫자이어야 합니다.</t>
  </si>
  <si>
    <t xml:space="preserve"> - 이산 분포 : 무작위로 선택된 확률과 일치하는 값을 찾을 수 없습니다.</t>
  </si>
  <si>
    <t xml:space="preserve"> - 변수의 개수는 0보다 커야 합니다.</t>
  </si>
  <si>
    <t xml:space="preserve"> - 하나 이상의 통계 옵션을 선택하십시오.</t>
  </si>
  <si>
    <t xml:space="preserve"> - 표본 당 행수를 입력 하십시오.</t>
  </si>
  <si>
    <t xml:space="preserve"> - 표본 당 행수는 0보다 큰 정수이어야 합니다.</t>
  </si>
  <si>
    <t xml:space="preserve"> - 각각의 표본은 같은 수의 행을 포함해야 합니다.</t>
  </si>
  <si>
    <t xml:space="preserve"> - X와 Y의 입력 범위의 행 수는 같아야 합니다.</t>
  </si>
  <si>
    <t xml:space="preserve"> - 표본 추출 방법이 잘못되었습니다. 주기적 추출을 하려면 "P", 무작위 추출을 하려면 "R"을 입력하십시오.</t>
  </si>
  <si>
    <t xml:space="preserve"> - 표본 추출 방법을 지정하십시오.</t>
  </si>
  <si>
    <t xml:space="preserve"> - 시드는 1에서 32767사이의 정수이어야 합니다.</t>
  </si>
  <si>
    <t xml:space="preserve"> - 시트가 보호되어 있습니다.</t>
  </si>
  <si>
    <t xml:space="preserve"> - 일양 분포의 범위는 숫자로 지정해야 합니다.</t>
  </si>
  <si>
    <t xml:space="preserve"> - 두 변수 입력 범위는 모두 행이거나 모두 열이어야 합니다.</t>
  </si>
  <si>
    <t xml:space="preserve"> - 변수 범위 내의 데이터 요소 개수가 같아야 합니다.</t>
  </si>
  <si>
    <t xml:space="preserve"> - 변수의 입력 범위에는 2개 이상의 데이터가 있어야 합니다.</t>
  </si>
  <si>
    <t xml:space="preserve"> - 변수 1의 입력 범위는 연속된 참조 영역이어야 합니다.</t>
  </si>
  <si>
    <t xml:space="preserve"> - 변수 1의 입력 범위가 잘못되었습니다.</t>
  </si>
  <si>
    <t xml:space="preserve"> - 변수 1과 2의 입력 범위가 중복되었습니다.</t>
  </si>
  <si>
    <t xml:space="preserve"> - 변수 1의 입력 범위와 출력 범위는 겹쳐지지 않아야 합니다.</t>
  </si>
  <si>
    <t xml:space="preserve"> - 변수 2의 입력 범위는 연속된 참조 영역이어야 합니다.</t>
  </si>
  <si>
    <t xml:space="preserve"> - 변수 2의 입력 범위가 잘못되었습니다.</t>
  </si>
  <si>
    <t xml:space="preserve"> - 변수 2의 입력 범위와 출력 범위는 겹쳐지지 않아야 합니다.</t>
  </si>
  <si>
    <t xml:space="preserve"> - 난수 분포의 유형을 1에서 7사이의 값으로 지정해야 합니다.</t>
  </si>
  <si>
    <t xml:space="preserve"> - X의 입력 범위와 출력 범위가 겹쳐집니다. 다른 출력 범위를 선택하십시오.</t>
  </si>
  <si>
    <t xml:space="preserve"> - X의 입력 범위는 연속된 참조 영역이어야 합니다.</t>
  </si>
  <si>
    <t xml:space="preserve"> - X의 입력 범위가 절못되었습니다.</t>
  </si>
  <si>
    <t xml:space="preserve"> - X 입력 범위의 행과 열의 수가 같지 않아야 합니다.</t>
  </si>
  <si>
    <t xml:space="preserve"> - X의 입력 범위와 Y의 입력 범위는 겹쳐지지 않아야 합니다.</t>
  </si>
  <si>
    <t xml:space="preserve"> - Y의 입력 범위와 출력 범위가 겹쳐집니다. 다른 출력 범위를 선택하십시오.</t>
  </si>
  <si>
    <t xml:space="preserve"> - Y의 입력 범위는 연속된 참조 영역이어야 합니다.</t>
  </si>
  <si>
    <t xml:space="preserve"> - Y의 입력 범위가 잘못되었습니다.</t>
  </si>
  <si>
    <t xml:space="preserve"> - 변수 1은 0보다 큰 숫자이어야 합니다.</t>
  </si>
  <si>
    <t xml:space="preserve"> - 변수 1는 0보다 큰 숫자이어야 합니다.</t>
  </si>
  <si>
    <t xml:space="preserve"> - ActiveX 컨트롤에 액세스할 수 없습니다. 고객 지원부에 문의하십시오.</t>
  </si>
  <si>
    <t xml:space="preserve"> - 해당 통합 문서에 차트를 추가할 수 없습니다. 표 작성을 계속하시겠습니까?</t>
  </si>
  <si>
    <t>Variansanalyse: en faktor</t>
  </si>
  <si>
    <t>Regresjon</t>
  </si>
  <si>
    <t>Korrelasjon</t>
  </si>
  <si>
    <t>Deskriptiv statistikk</t>
  </si>
  <si>
    <t>Eksponentiell glatting</t>
  </si>
  <si>
    <t>F-Test To utvalg for varianser</t>
  </si>
  <si>
    <t>Utvalg</t>
  </si>
  <si>
    <t>Generering av tilfeldige tall</t>
  </si>
  <si>
    <t>Avbryt</t>
  </si>
  <si>
    <t>&amp;Analyseverktøy</t>
  </si>
  <si>
    <t>Inndata</t>
  </si>
  <si>
    <t>Utdataalternativer</t>
  </si>
  <si>
    <t>Antall &amp;variabler:</t>
  </si>
  <si>
    <t>&amp;Inndataområde:</t>
  </si>
  <si>
    <t>Inndata &amp;Y-område:</t>
  </si>
  <si>
    <t>Variabel &amp;1-område:</t>
  </si>
  <si>
    <t>Antall &amp;tilfeldige tall:</t>
  </si>
  <si>
    <t>Gruppert etter:</t>
  </si>
  <si>
    <t>Inndata &amp;X-område:</t>
  </si>
  <si>
    <t>Glattings&amp;faktor:</t>
  </si>
  <si>
    <t>Variabel &amp;2-område:</t>
  </si>
  <si>
    <t>&amp;Nytt regnearklag:</t>
  </si>
  <si>
    <t>Utvalgsmetode</t>
  </si>
  <si>
    <t>Ny &amp;arbeidsbok</t>
  </si>
  <si>
    <t>&amp;Etiketter i første rad</t>
  </si>
  <si>
    <t>&amp;Rader</t>
  </si>
  <si>
    <t>K&amp;onstanten er null</t>
  </si>
  <si>
    <t>A&amp;lfa:</t>
  </si>
  <si>
    <t>&amp;Konfidensnivå</t>
  </si>
  <si>
    <t>&amp;Tilfeldig</t>
  </si>
  <si>
    <t>&amp;Utdataområde:</t>
  </si>
  <si>
    <t>Dato og klokkeslett</t>
  </si>
  <si>
    <t>Informasjon</t>
  </si>
  <si>
    <t>Antall utvalg:</t>
  </si>
  <si>
    <t>Matem. og Trig.</t>
  </si>
  <si>
    <t>Finansiell</t>
  </si>
  <si>
    <t>&amp;Diagram utdata</t>
  </si>
  <si>
    <t>Teknisk</t>
  </si>
  <si>
    <t>&amp;Standardfeil</t>
  </si>
  <si>
    <t>Sammen&amp;dragsstatistikk</t>
  </si>
  <si>
    <t>Variansanalyse</t>
  </si>
  <si>
    <t>Kon&amp;fidensnivå for gjennomsnitt:</t>
  </si>
  <si>
    <t>Variansanalyse: en-faktor</t>
  </si>
  <si>
    <t>Avvik</t>
  </si>
  <si>
    <t>&amp;Inndataområde for verdi og sannsynlighet:</t>
  </si>
  <si>
    <t>Variansanalyse: To-faktor med tilbakelegging</t>
  </si>
  <si>
    <t>A&amp;vvik</t>
  </si>
  <si>
    <t>Variansanalyse: To-faktor uten tilbakelegging</t>
  </si>
  <si>
    <t>&amp;Standardiserte avvik</t>
  </si>
  <si>
    <t>K. &amp;største:</t>
  </si>
  <si>
    <t>Tilfeldig &amp;starttall:</t>
  </si>
  <si>
    <t>SAMMENDRAG</t>
  </si>
  <si>
    <t>&amp;Tegn avvik</t>
  </si>
  <si>
    <t>T-Test: Gjennomsnitt for to parvise utvalg</t>
  </si>
  <si>
    <t>Tilpass tegne&amp;linjer</t>
  </si>
  <si>
    <t>K. &amp;minste:</t>
  </si>
  <si>
    <t>Antall</t>
  </si>
  <si>
    <t>Normalfordeling</t>
  </si>
  <si>
    <t>Tegn normal&amp;fordeling</t>
  </si>
  <si>
    <t>Gjennomsnitt</t>
  </si>
  <si>
    <t>Variasjonskilde</t>
  </si>
  <si>
    <t>&amp;Rader per utvalg:</t>
  </si>
  <si>
    <t>Antatt gjenno&amp;msnittsavvik:</t>
  </si>
  <si>
    <t>GK</t>
  </si>
  <si>
    <t>P-verdi</t>
  </si>
  <si>
    <t>F-krit</t>
  </si>
  <si>
    <t>Totalt</t>
  </si>
  <si>
    <t>Mellom grupper</t>
  </si>
  <si>
    <t>Ny arbeidsbo&amp;k</t>
  </si>
  <si>
    <t>Innenfor grupper</t>
  </si>
  <si>
    <t>Interaksjon</t>
  </si>
  <si>
    <t>Rangering og persentil</t>
  </si>
  <si>
    <t>M&amp;ellom</t>
  </si>
  <si>
    <t>Innenfor</t>
  </si>
  <si>
    <t>Rader</t>
  </si>
  <si>
    <t>&amp;og</t>
  </si>
  <si>
    <t>Feil</t>
  </si>
  <si>
    <t>Beskrivende statistikk</t>
  </si>
  <si>
    <t>T-Test: To utvalg med antatt like varianser</t>
  </si>
  <si>
    <t>Standardfeil</t>
  </si>
  <si>
    <t>Standardavvik</t>
  </si>
  <si>
    <t>&amp;i steg på</t>
  </si>
  <si>
    <t>Utvalgsvarians</t>
  </si>
  <si>
    <t>Kurstosis</t>
  </si>
  <si>
    <t>Gj&amp;enta hvert tall</t>
  </si>
  <si>
    <t>Skjevhet</t>
  </si>
  <si>
    <t>ganger</t>
  </si>
  <si>
    <t>&amp;Gjenta sekvensen</t>
  </si>
  <si>
    <t>Størst</t>
  </si>
  <si>
    <t>Minste</t>
  </si>
  <si>
    <t>Konfidenskoeffisient</t>
  </si>
  <si>
    <t>Bevegelig gjennomsnitt</t>
  </si>
  <si>
    <t>Verdi</t>
  </si>
  <si>
    <t>&amp;Median =</t>
  </si>
  <si>
    <t>Intervall</t>
  </si>
  <si>
    <t>Frekvens</t>
  </si>
  <si>
    <t>Standardavvi&amp;k =</t>
  </si>
  <si>
    <t>T-Test: To utvalg med antatt ulike varianser</t>
  </si>
  <si>
    <t>Mer</t>
  </si>
  <si>
    <t>Inter&amp;vall:</t>
  </si>
  <si>
    <t>F-Test: To utvalg for varianser</t>
  </si>
  <si>
    <t>t-Test: To utvalg med antatt like varianser</t>
  </si>
  <si>
    <t>t-Test: To utvalg med antatt ulike varianser</t>
  </si>
  <si>
    <t>Observasjoner</t>
  </si>
  <si>
    <t>P(F&lt;=f) en side</t>
  </si>
  <si>
    <t>F-kritisk, en side</t>
  </si>
  <si>
    <t>Antatt avvik mellom gjennomsnittene</t>
  </si>
  <si>
    <t>Utdata som &amp;diagram</t>
  </si>
  <si>
    <t>Gruppevarians</t>
  </si>
  <si>
    <t>Pearson-korrelasjon</t>
  </si>
  <si>
    <t>P(T&lt;=t) ensidig</t>
  </si>
  <si>
    <t>p-v&amp;erdi =</t>
  </si>
  <si>
    <t>P(T&lt;=t) tosidig</t>
  </si>
  <si>
    <t>t-Stat</t>
  </si>
  <si>
    <t>T-kritisk, ensidig</t>
  </si>
  <si>
    <t>T-kritisk, tosidig</t>
  </si>
  <si>
    <t>Inter&amp;valler:</t>
  </si>
  <si>
    <t>Z-Test: Gjennomsnitt for to utvalg</t>
  </si>
  <si>
    <t>Kjent varians</t>
  </si>
  <si>
    <t>P(Z&lt;=z) ensidig</t>
  </si>
  <si>
    <t>Z-kritisk, ensidig</t>
  </si>
  <si>
    <t>P(Z&lt;=z) tosidig</t>
  </si>
  <si>
    <t>Antall forsø&amp;k =</t>
  </si>
  <si>
    <t>Z-kritisk, tosidig</t>
  </si>
  <si>
    <t>Rangering og prosentil</t>
  </si>
  <si>
    <t>Rangering</t>
  </si>
  <si>
    <t>&amp;Pareto (sortert histogram)</t>
  </si>
  <si>
    <t>Prosent</t>
  </si>
  <si>
    <t>Ku&amp;mulativ prosentdel</t>
  </si>
  <si>
    <t>Rad</t>
  </si>
  <si>
    <t>&amp;Varians for variabel 1 (kjent):</t>
  </si>
  <si>
    <t>Binomisk</t>
  </si>
  <si>
    <t>Varian&amp;s for variabel 2 (kjent):</t>
  </si>
  <si>
    <t>Etter mønster</t>
  </si>
  <si>
    <t>AVVIK (UTDATA)</t>
  </si>
  <si>
    <t>Observasjon</t>
  </si>
  <si>
    <t>Fremskrevet</t>
  </si>
  <si>
    <t>Fremskrevet Y</t>
  </si>
  <si>
    <t>Standardrester</t>
  </si>
  <si>
    <t>SANNSYNLIGHETER</t>
  </si>
  <si>
    <t>Prosentil</t>
  </si>
  <si>
    <t>SAMMENDRAG (UTDATA)</t>
  </si>
  <si>
    <t>Regresjonsstatistikk</t>
  </si>
  <si>
    <t>Multippel R</t>
  </si>
  <si>
    <t>R-kvadrat</t>
  </si>
  <si>
    <t>Justert R-kvadrat</t>
  </si>
  <si>
    <t>Signifkans-F</t>
  </si>
  <si>
    <t>&amp;Inndataområde med verdi og sannsynlighet:</t>
  </si>
  <si>
    <t>Skjæringspunkt</t>
  </si>
  <si>
    <t>Nederste 95%</t>
  </si>
  <si>
    <t>Øverste</t>
  </si>
  <si>
    <t>Øverste 95%</t>
  </si>
  <si>
    <t>Koeffisienter</t>
  </si>
  <si>
    <t>Tegnet rest</t>
  </si>
  <si>
    <t>Tegnet regresjonslinje</t>
  </si>
  <si>
    <t>Tegnet normalfordelt sannsynlighet</t>
  </si>
  <si>
    <t>Utvalgsprosentil</t>
  </si>
  <si>
    <t>Beregning</t>
  </si>
  <si>
    <t>USANN</t>
  </si>
  <si>
    <t>SANN</t>
  </si>
  <si>
    <t xml:space="preserve"> - Kunne ikke tildele minne til beregning. Prøv igjen.</t>
  </si>
  <si>
    <t xml:space="preserve"> - Alfa må være et tall mellom 0 og 1.</t>
  </si>
  <si>
    <t xml:space="preserve"> - Bernoulli-sannsynligheten kreves. Den må være et tall mellom 0 og 1.</t>
  </si>
  <si>
    <t xml:space="preserve"> - Den binome sannsynligheten kreves. Den må være et tall mellom 0 og 1.</t>
  </si>
  <si>
    <t xml:space="preserve"> - Binome forsøk kreves som heltall større enn null.</t>
  </si>
  <si>
    <t xml:space="preserve"> - Intervallet kan ikke være tomt.</t>
  </si>
  <si>
    <t xml:space="preserve"> - Intervallet kan utelates. Hvis det settes inn, må det inneholde en referanse.</t>
  </si>
  <si>
    <t xml:space="preserve"> - Intervallet kan ikke ha ikke-numeriske data.</t>
  </si>
  <si>
    <t xml:space="preserve"> - Intervall og inndataområdet overlapper.</t>
  </si>
  <si>
    <t xml:space="preserve"> - Intervall og utdataområde overlapper.</t>
  </si>
  <si>
    <t xml:space="preserve"> - Kan ikke tegne diagrammer for tomme intervaller.</t>
  </si>
  <si>
    <t xml:space="preserve"> - Diagramutdata må være en logisk verdi.</t>
  </si>
  <si>
    <t xml:space="preserve"> - Konstanten må være en logisk verdi.</t>
  </si>
  <si>
    <t xml:space="preserve"> - Den kumulative prosenten må være en logisk verdi.</t>
  </si>
  <si>
    <t xml:space="preserve"> - Den inverse må være en logisk verdi.</t>
  </si>
  <si>
    <t xml:space="preserve"> - Tilpass tegnelinjer må være en logisk verdi.</t>
  </si>
  <si>
    <t xml:space="preserve"> - Etikett må være en logisk verdi.</t>
  </si>
  <si>
    <t xml:space="preserve"> - Pareto må være en logisk verdi.</t>
  </si>
  <si>
    <t xml:space="preserve"> - Tegn normal sannsynlighet  må være en logisk verdi.</t>
  </si>
  <si>
    <t xml:space="preserve"> - Tegn rester må være en logisk verdi.</t>
  </si>
  <si>
    <t xml:space="preserve"> - Rester må være en logisk verdi.</t>
  </si>
  <si>
    <t xml:space="preserve"> - Utdata for standardfeil må være en logisk verdi.</t>
  </si>
  <si>
    <t xml:space="preserve"> - Standard avvik må være en logisk verdi.</t>
  </si>
  <si>
    <t xml:space="preserve"> - Sammendragsstatistikk må være en logisk verdi.</t>
  </si>
  <si>
    <t xml:space="preserve"> - Kan ikke konvertere inn/utdata-område til en gyldig referanse!</t>
  </si>
  <si>
    <t xml:space="preserve"> - Kan ikke lage relative referanser mellom områder.</t>
  </si>
  <si>
    <t xml:space="preserve"> - Noen data vil være skjult på innebygde diagram.</t>
  </si>
  <si>
    <t xml:space="preserve"> - Kan ikke tegne diagrammet da referansen vil gå utenfor regnearket.</t>
  </si>
  <si>
    <t xml:space="preserve"> - Avbryte beregninger: Velg 'OK' for å avbryte eller 'Avbryt' for å fortsette beregningene.</t>
  </si>
  <si>
    <t xml:space="preserve"> - Konfidenskoeffisienten må være et tall mellom 0 og 100.</t>
  </si>
  <si>
    <t xml:space="preserve"> - Kan ikke konvertere inndataområdet til Verdier og sannsynligheter. Prøv igjen.</t>
  </si>
  <si>
    <t xml:space="preserve"> - Dempingsfaktoren må være numerisk.</t>
  </si>
  <si>
    <t xml:space="preserve"> - Dempingsfaktoren må være et positivt tall.</t>
  </si>
  <si>
    <t xml:space="preserve"> - Tallene i kolonnen diskrete sannsynligheter må tilsammen være lik 1.</t>
  </si>
  <si>
    <t xml:space="preserve"> - Spesifiser et to-kolonners område som inndataområde for diskrete verdier og -sannsynligheter.</t>
  </si>
  <si>
    <t xml:space="preserve"> - Spesifiser et inndataområde med mer enn én verdi og mer enn én sannsynlighet.</t>
  </si>
  <si>
    <t xml:space="preserve"> - Diskrete Verdi- og sannsynlighetsområder må bare ha numeriske data. Antall data må også være det samme.</t>
  </si>
  <si>
    <t xml:space="preserve"> - Diskrete Verdi- og sannsynlighetsområder kan ikke overlappe utdataområdet.</t>
  </si>
  <si>
    <t xml:space="preserve"> - Inndataområdet må inneholde minst 5 datapunkter når standardfeil kontrolleres.</t>
  </si>
  <si>
    <t xml:space="preserve"> - Det ble angitt for mange argumenter. Kontoller syntaksene for TILFELDIG().</t>
  </si>
  <si>
    <t xml:space="preserve"> - Inndata X -området kan ikke inneholde mer enn 16 varaibler (kolonner).</t>
  </si>
  <si>
    <t xml:space="preserve"> - Antallet inndataverdier må være en potens av 2, f.eks. 2, 4, 8, 16,  32, 64, 128,…</t>
  </si>
  <si>
    <t xml:space="preserve"> - Antallet inndataverdier må være mindre enn eller lik 4096.</t>
  </si>
  <si>
    <t xml:space="preserve"> - Angi hvordan grupper med data er ordnet med "C" for kolonner og "R" for rader.</t>
  </si>
  <si>
    <t xml:space="preserve"> - Inndataområdet må inneholde to eller flere datablokker plassert i rader eller kolonner.</t>
  </si>
  <si>
    <t xml:space="preserve"> - Inndataområdet må være en kontinuerlig referanse.</t>
  </si>
  <si>
    <t xml:space="preserve"> - Skriv inn inndataområde.</t>
  </si>
  <si>
    <t xml:space="preserve"> - Inn- og utdataområdene overlapper hverandre. Skriv inn på nytt.</t>
  </si>
  <si>
    <t xml:space="preserve"> - Inndataområdet må inneholde minst ett datapunkt.</t>
  </si>
  <si>
    <t xml:space="preserve"> - Intervall må være numerisk.</t>
  </si>
  <si>
    <t xml:space="preserve"> - Intervall må være et positivt heltall.</t>
  </si>
  <si>
    <t xml:space="preserve"> - Intervallet kan ikke være større enn datapunktene.</t>
  </si>
  <si>
    <t xml:space="preserve"> - Inndataområdet inneholder ugyldige komplekse tall. Komplekse trall må ha formen x+yi eller x+yj</t>
  </si>
  <si>
    <t xml:space="preserve"> - Alle komplekse tall må ha samme suffiks, enten "i" eller "j".</t>
  </si>
  <si>
    <t xml:space="preserve"> - Det  K. største tallet må være et heltall større enn 0 og kan ikke overskride antallet datapunkter.</t>
  </si>
  <si>
    <t xml:space="preserve"> - Det  K. minste tallet må være et heltall større enn 0 og kan ikke overskride antallet datapunkter.</t>
  </si>
  <si>
    <t xml:space="preserve"> - RETTLINJE()-funksjonen returnerer en feil. Kontroller inndataområdene igjen.</t>
  </si>
  <si>
    <t xml:space="preserve"> - Differensen mellom medianene må være et positivt tall.</t>
  </si>
  <si>
    <t xml:space="preserve"> - Funksjonen trenger flere argument.</t>
  </si>
  <si>
    <t xml:space="preserve"> - Inn- og utdataområdene må være på det samme arket.</t>
  </si>
  <si>
    <t xml:space="preserve"> - Inn/utdataområdet må være kontinuerlig.</t>
  </si>
  <si>
    <t xml:space="preserve"> - Inndataområdet må være en enkelt rad eller kolonne.</t>
  </si>
  <si>
    <t xml:space="preserve"> - Inndataområdene må ha samme antall datapunkt.</t>
  </si>
  <si>
    <t xml:space="preserve"> - Inndataområdet må inneholde minst 4 datapunkt.</t>
  </si>
  <si>
    <t xml:space="preserve"> - Kan ikke lage ny arbeidsbok.</t>
  </si>
  <si>
    <t xml:space="preserve"> - Kan ikke lage et nytt lag for utdata.</t>
  </si>
  <si>
    <t xml:space="preserve">  Får ikke tilgang til hoveddialogboksen for analyseverktøyene. Kontakt kundestøtte for å få hjelp.</t>
  </si>
  <si>
    <t xml:space="preserve">  Får ikke tilgang til dialogboksen for den valgte prosedyren. Kontakt kundestøtte for å få hjelp.</t>
  </si>
  <si>
    <t xml:space="preserve"> - Inndataområdet inneholder ikke-numeriske data.</t>
  </si>
  <si>
    <t xml:space="preserve"> - Medianen til normalfordelingen er nødvendig, og den må være numerisk.</t>
  </si>
  <si>
    <t xml:space="preserve"> - Standardavviket til normalfordelingen er nødvendig, og den må være et tall forskjellig fra null.</t>
  </si>
  <si>
    <t xml:space="preserve"> - Antall utvalg må være et heltall større enn null.</t>
  </si>
  <si>
    <t xml:space="preserve"> - Skriv inn antall tilfeldige utvalg.</t>
  </si>
  <si>
    <t xml:space="preserve"> - Det er problemer med å forskyve inn-/utdatareferansen.</t>
  </si>
  <si>
    <t xml:space="preserve"> - Kan ikke åpne ressursarket</t>
  </si>
  <si>
    <t xml:space="preserve"> - Ugyldig utdataalternativ.</t>
  </si>
  <si>
    <t xml:space="preserve"> - Utdataområdet må være en gyldig referanse.</t>
  </si>
  <si>
    <t xml:space="preserve"> - Skriv inn utdataområde.</t>
  </si>
  <si>
    <t xml:space="preserve"> - Anslått utdatatabell vil strekke seg utenfor rammen til regnearket. Velg en annen referanse.</t>
  </si>
  <si>
    <t xml:space="preserve"> - Utdataområdet vil skrive over eksisterende data. Velg OK for å skrive over data i området:</t>
  </si>
  <si>
    <t xml:space="preserve"> - Startmønsteret kan ikke nå trinnet gitt av stopp.</t>
  </si>
  <si>
    <t xml:space="preserve"> - Startmønsteret er nødvendig og må være numerisk.</t>
  </si>
  <si>
    <t xml:space="preserve"> - Trinnmønsteret er nødvendig og må være et tall forskjellig fra null.</t>
  </si>
  <si>
    <t xml:space="preserve"> - Stoppmønsteret er nødvendig og må være numerisk.</t>
  </si>
  <si>
    <t xml:space="preserve"> - Mønsteret med gjentatte verdier er nødvendig og må være et heltall større enn null.</t>
  </si>
  <si>
    <t xml:space="preserve"> - Mønsteret med gjentatte verdisekvenser er nødvendig og må være et heltall større enn null.</t>
  </si>
  <si>
    <t xml:space="preserve"> - Periodiske intervaller må være et heltall større enn null.</t>
  </si>
  <si>
    <t xml:space="preserve"> - Skriv inn det periodiske intervallet for utvalget.</t>
  </si>
  <si>
    <t xml:space="preserve"> - Det periodiske intervallet kan ikke overskride antallet verdier i inndataområdet.</t>
  </si>
  <si>
    <t xml:space="preserve"> - Poissons lambda er nødvendig, og må være et tall større enn null.</t>
  </si>
  <si>
    <t xml:space="preserve"> - Fordelingstypen er nødvendig. Skriv inn et heltall mellom 1 og 7.</t>
  </si>
  <si>
    <t xml:space="preserve"> - Antall tilfeldige tall må være et heltall større enn null.</t>
  </si>
  <si>
    <t xml:space="preserve"> - Diskret fordeling. Finner ikke tilsvarende verdi for tilfeldig valgt sannsynlighet.</t>
  </si>
  <si>
    <t xml:space="preserve"> - Antallet variable må være ett heltall større enn null.</t>
  </si>
  <si>
    <t xml:space="preserve"> - Velg minst ett statistisk alternativ.</t>
  </si>
  <si>
    <t xml:space="preserve"> - Rader per utvalg er nødvendig. Sett inn et tall.</t>
  </si>
  <si>
    <t xml:space="preserve"> - Rader per utvalg må være et heltall større enn null.</t>
  </si>
  <si>
    <t xml:space="preserve"> - Hvert utvalg må inneholde det samme antall rader.</t>
  </si>
  <si>
    <t xml:space="preserve"> - X og Y-områdene må ha likt antall rader (utvalgsverdier), uansett etiketter.</t>
  </si>
  <si>
    <t xml:space="preserve"> - Ugyldig utvalgsmetode. Skriv inn "P" for periodisk utvalg, eller "R" for tilfeldig utvalg.</t>
  </si>
  <si>
    <t xml:space="preserve"> - Utvalgsmetode er nødvendig.</t>
  </si>
  <si>
    <t xml:space="preserve"> - Utgangspunktet må være et heltall mellom 1 og 32767.</t>
  </si>
  <si>
    <t xml:space="preserve"> - Kan ikke endre et beskyttet ark.</t>
  </si>
  <si>
    <t xml:space="preserve"> - Uniforme grenser er nødvendige, og må være numeriske.</t>
  </si>
  <si>
    <t xml:space="preserve"> - BEGGE varabelområdene må være rader eller kolonner.</t>
  </si>
  <si>
    <t xml:space="preserve"> - Variabelområdene må ha likt antall datapunkt.</t>
  </si>
  <si>
    <t xml:space="preserve"> - Variabelområdene må ha minst to datapunkt.</t>
  </si>
  <si>
    <t xml:space="preserve"> - Variabel 1-området må være en sammenhengende referanse.</t>
  </si>
  <si>
    <t xml:space="preserve"> - Variabel 1-området mangler. Sett inn området.</t>
  </si>
  <si>
    <t xml:space="preserve"> - Variabelområdene 1 og 2 kan ikke overlappe hverandre.</t>
  </si>
  <si>
    <t xml:space="preserve"> - Variabel 1-området og utdataområdet kan ikke overlappe hverandre</t>
  </si>
  <si>
    <t xml:space="preserve"> - Variabel 2-området må være en sammenhengende referanse.</t>
  </si>
  <si>
    <t xml:space="preserve"> - Variabel 2-området mangler. Sett inn området.</t>
  </si>
  <si>
    <t xml:space="preserve"> - Variabel 2-området og utdataområdet kan ikke overlappe hverandre</t>
  </si>
  <si>
    <t xml:space="preserve"> - Den tilfeldige distribusjonstypen må være et tall mellom 1 og 7.</t>
  </si>
  <si>
    <t xml:space="preserve"> - X-området og utdataområdet vil overlappe. Velg et annet utdataområde.</t>
  </si>
  <si>
    <t xml:space="preserve"> - Inndata X-området  må være en sammenhengende referanse.</t>
  </si>
  <si>
    <t xml:space="preserve"> - Inndata X-området mangler. Sett inn området.</t>
  </si>
  <si>
    <t xml:space="preserve"> - Antall rader og kolonner i X-området kan ikke være likt.</t>
  </si>
  <si>
    <t xml:space="preserve"> - X og Y-områdene kan ikke overlappe hverandre.</t>
  </si>
  <si>
    <t xml:space="preserve"> - Y-området og utdataområdet vil overlappe. Velg et annet utdataområde.</t>
  </si>
  <si>
    <t xml:space="preserve"> - Inndata Y-området  må være en sammenhengende referanse.</t>
  </si>
  <si>
    <t xml:space="preserve"> - Inndata Y-område mangler. Sett inn et område.</t>
  </si>
  <si>
    <t xml:space="preserve"> - Varians 1 må være et tall større enn null.</t>
  </si>
  <si>
    <t xml:space="preserve"> - Varians 2 må være et tall større enn null.</t>
  </si>
  <si>
    <t xml:space="preserve"> - Får ikke tilgang til ActiveX-kontrollene i arbeidsboken. Kontakt kundestøtte for å få hjelp.</t>
  </si>
  <si>
    <t xml:space="preserve"> - Kan ikke legge inn diagram i en delt arbeidsbok. Vil du fortsette opprettingen av utdatatabellen?</t>
  </si>
  <si>
    <t>Gegevensanalyse</t>
  </si>
  <si>
    <t>Unifactoriële variantie-analyse</t>
  </si>
  <si>
    <t>Regressie</t>
  </si>
  <si>
    <t>Correlatie</t>
  </si>
  <si>
    <t>Beschrijvende statistiek</t>
  </si>
  <si>
    <t>Exponentiële demping</t>
  </si>
  <si>
    <t>F-toets voor twee steekproeven</t>
  </si>
  <si>
    <t>Steekproef</t>
  </si>
  <si>
    <t>Aselecte getallen</t>
  </si>
  <si>
    <t>Annuleren</t>
  </si>
  <si>
    <t>&amp;Functies:</t>
  </si>
  <si>
    <t>Invoer</t>
  </si>
  <si>
    <t>Aantal varia&amp;belen:</t>
  </si>
  <si>
    <t>&amp;Invoerbereik:</t>
  </si>
  <si>
    <t>Invoerbereik &amp;Y:</t>
  </si>
  <si>
    <t>Variabelenbereik &amp;1:</t>
  </si>
  <si>
    <t>&amp;Aantal aselecte getallen:</t>
  </si>
  <si>
    <t>Groeperen per:</t>
  </si>
  <si>
    <t>Invoerbereik &amp;X:</t>
  </si>
  <si>
    <t>Dempings&amp;factor:</t>
  </si>
  <si>
    <t>Variabelenbereik &amp;2:</t>
  </si>
  <si>
    <t>Methode</t>
  </si>
  <si>
    <t>Ver&amp;delingstype:</t>
  </si>
  <si>
    <t>&amp;Labels in de eerste kolom</t>
  </si>
  <si>
    <t>&amp;Kolom</t>
  </si>
  <si>
    <t>&amp;Labels in de eerste rij</t>
  </si>
  <si>
    <t>&amp;Rij</t>
  </si>
  <si>
    <t>&amp;Door oorsprong</t>
  </si>
  <si>
    <t>Uitvoeropties</t>
  </si>
  <si>
    <t>P&amp;eriodiek</t>
  </si>
  <si>
    <t>&amp;Betrouwbaarheidsniveau</t>
  </si>
  <si>
    <t>&amp;Aselect</t>
  </si>
  <si>
    <t>&amp;Uitvoeropties</t>
  </si>
  <si>
    <t>&amp;Uitvoerbereik:</t>
  </si>
  <si>
    <t>Datum&amp; en tijd</t>
  </si>
  <si>
    <t>&amp;Nieuw werkblad:</t>
  </si>
  <si>
    <t>Info</t>
  </si>
  <si>
    <t>Uit&amp;voerbereik</t>
  </si>
  <si>
    <t>Nieuwe &amp;werkmap</t>
  </si>
  <si>
    <t>Steekproefgrootte:</t>
  </si>
  <si>
    <t>Wisku&amp;nde en trigonometrie</t>
  </si>
  <si>
    <t>Nieuw &amp;tabblad werkblad:</t>
  </si>
  <si>
    <t>Statistisch</t>
  </si>
  <si>
    <t>Financieel</t>
  </si>
  <si>
    <t>&amp;Grafiek maken</t>
  </si>
  <si>
    <t>Techniek</t>
  </si>
  <si>
    <t>&amp;Standaardfouten</t>
  </si>
  <si>
    <t>&amp;Samenvattingsinfo</t>
  </si>
  <si>
    <t>Variantie-analyse</t>
  </si>
  <si>
    <t>Betrouwbaarheid va&amp;n gemiddelde:</t>
  </si>
  <si>
    <t>Storingen</t>
  </si>
  <si>
    <t>&amp;Invoerbereik voor waarde en kans:</t>
  </si>
  <si>
    <t>Multifactoriële variantie-analyse met herhaling</t>
  </si>
  <si>
    <t>&amp;Storingen</t>
  </si>
  <si>
    <t>Covariantie</t>
  </si>
  <si>
    <t>Multifactoriële analyse zonder herhaling</t>
  </si>
  <si>
    <t>S&amp;tandaardstoringen</t>
  </si>
  <si>
    <t>&amp;Op k-1 na grootste waarde:</t>
  </si>
  <si>
    <t>A&amp;selecte waarde maken:</t>
  </si>
  <si>
    <t>SAMENVATTING</t>
  </si>
  <si>
    <t>&amp;Grafiek voor storingen</t>
  </si>
  <si>
    <t>T-toets: twee gepaarde steekproeven voor gemiddelden</t>
  </si>
  <si>
    <t>Groepen</t>
  </si>
  <si>
    <t>Gra&amp;fiek voor lijnen</t>
  </si>
  <si>
    <t>O&amp;p k-1 na kleinste waarde:</t>
  </si>
  <si>
    <t>Aantal</t>
  </si>
  <si>
    <t>Normale kansverdeling</t>
  </si>
  <si>
    <t>Som</t>
  </si>
  <si>
    <t>Grafiek met &amp;kanswaarden</t>
  </si>
  <si>
    <t>Gemiddelde</t>
  </si>
  <si>
    <t>Variantie</t>
  </si>
  <si>
    <t>Bron van variatie</t>
  </si>
  <si>
    <t>Aantal rijen per s&amp;teekproef:</t>
  </si>
  <si>
    <t>Kwadratensom</t>
  </si>
  <si>
    <t>&amp;Schatting verschil tussen gemiddelden:</t>
  </si>
  <si>
    <t>Vrijheidsgraden</t>
  </si>
  <si>
    <t>Gemiddelde kwadraten</t>
  </si>
  <si>
    <t>P-waarde</t>
  </si>
  <si>
    <t>Kritische gebied van F-toets</t>
  </si>
  <si>
    <t>Totaal</t>
  </si>
  <si>
    <t>Tussen groepen</t>
  </si>
  <si>
    <t>Binnen groepen</t>
  </si>
  <si>
    <t>Kolom</t>
  </si>
  <si>
    <t>Interactie</t>
  </si>
  <si>
    <t>Rang en percentiel</t>
  </si>
  <si>
    <t>&amp;Tussen</t>
  </si>
  <si>
    <t>Binnen</t>
  </si>
  <si>
    <t>Rijen</t>
  </si>
  <si>
    <t>&amp;en</t>
  </si>
  <si>
    <t>Kolommen</t>
  </si>
  <si>
    <t>Fout</t>
  </si>
  <si>
    <t>Multifactoriële variantie-analyse zonder herhaling</t>
  </si>
  <si>
    <t>T-toets: twee gepaarde steekproeven met gelijke varianties</t>
  </si>
  <si>
    <t>&amp;Van</t>
  </si>
  <si>
    <t>Standaardfout</t>
  </si>
  <si>
    <t>Mediaan</t>
  </si>
  <si>
    <t>naa&amp;r</t>
  </si>
  <si>
    <t>Standaarddeviatie</t>
  </si>
  <si>
    <t>&amp;Met stappen van</t>
  </si>
  <si>
    <t>Steekproefvariantie</t>
  </si>
  <si>
    <t>&amp;Elk getal</t>
  </si>
  <si>
    <t>Scheefheid</t>
  </si>
  <si>
    <t>Bereik</t>
  </si>
  <si>
    <t>keer herhalen</t>
  </si>
  <si>
    <t>De ree&amp;ks</t>
  </si>
  <si>
    <t>Grootste</t>
  </si>
  <si>
    <t>Kleinste</t>
  </si>
  <si>
    <t>Betrouwbaarheidsniveau</t>
  </si>
  <si>
    <t>Zwevend gemiddelde</t>
  </si>
  <si>
    <t>Werkelijk</t>
  </si>
  <si>
    <t>Voorspelling</t>
  </si>
  <si>
    <t>Gegevenspunt</t>
  </si>
  <si>
    <t>Waarde</t>
  </si>
  <si>
    <t>Ge&amp;middelde =</t>
  </si>
  <si>
    <t>Verzamelbereik</t>
  </si>
  <si>
    <t>Frequentie</t>
  </si>
  <si>
    <t>Standaardd&amp;eviatie =</t>
  </si>
  <si>
    <t>Cumulatief %</t>
  </si>
  <si>
    <t>T-toets: twee steekproeven met ongelijke varianties</t>
  </si>
  <si>
    <t>Meer</t>
  </si>
  <si>
    <t>F-toets: twee steekproeven voor varianties</t>
  </si>
  <si>
    <t>T-toets: twee steekproeven met gelijke varianties</t>
  </si>
  <si>
    <t>In&amp;verse</t>
  </si>
  <si>
    <t>Waarnemingen</t>
  </si>
  <si>
    <t>P(F&lt;=f) eenzijdig</t>
  </si>
  <si>
    <t>&amp;Schatting van verschil tussen gemiddelden:</t>
  </si>
  <si>
    <t>Kritisch gebied van F-toets: eenzijdig</t>
  </si>
  <si>
    <t>Schatting van verschil tussen gemiddelden</t>
  </si>
  <si>
    <t>Gepaarde variatie</t>
  </si>
  <si>
    <t>Pearson-correlatie</t>
  </si>
  <si>
    <t>P(T&lt;=t) eenzijdig</t>
  </si>
  <si>
    <t>&amp;P-waarde =</t>
  </si>
  <si>
    <t>P(T&lt;=t) tweezijdig</t>
  </si>
  <si>
    <t>T- statistische gegevens</t>
  </si>
  <si>
    <t>Kritiek gebied van T-toets: eenzijdig</t>
  </si>
  <si>
    <t>Kritiek gebied van T-toets: tweezijdig</t>
  </si>
  <si>
    <t>Variabele 1</t>
  </si>
  <si>
    <t>&amp;Verzamelbereik:</t>
  </si>
  <si>
    <t>Variabele 2</t>
  </si>
  <si>
    <t>Z-toets: twee steekproeven voor gemiddelden</t>
  </si>
  <si>
    <t>Bekende variantie</t>
  </si>
  <si>
    <t>P(Z&lt;=z) eenzijdig</t>
  </si>
  <si>
    <t>Kritiek gebied voor Z-toets: eenzijdig</t>
  </si>
  <si>
    <t>P(Z&lt;=z) tweezijdig</t>
  </si>
  <si>
    <t>Aantal experi&amp;menten =</t>
  </si>
  <si>
    <t>Kritiek gebied voor Z-toets: tweezijdig</t>
  </si>
  <si>
    <t>Rang en Percentiel</t>
  </si>
  <si>
    <t>Op &amp;frequentie sorteren</t>
  </si>
  <si>
    <t>&amp;Cumulatief percentage</t>
  </si>
  <si>
    <t>Rij</t>
  </si>
  <si>
    <t>Aselecte trekking van getallen</t>
  </si>
  <si>
    <t>Uniforme verdeling</t>
  </si>
  <si>
    <t>Normale verdeling</t>
  </si>
  <si>
    <t>Bernoulli-verdeling</t>
  </si>
  <si>
    <t>&amp;Variantie van variabele 1 (bekend):</t>
  </si>
  <si>
    <t>Binomiale verdeling</t>
  </si>
  <si>
    <t>Poisson-verdeling</t>
  </si>
  <si>
    <t>Varian&amp;tie van variabele 2 (bekend):</t>
  </si>
  <si>
    <t>Patroonmatige verdeling</t>
  </si>
  <si>
    <t>Discrete verdeling</t>
  </si>
  <si>
    <t>STORINGEN</t>
  </si>
  <si>
    <t>Waarneming</t>
  </si>
  <si>
    <t>Voorspeld</t>
  </si>
  <si>
    <t>Voorspelde Y</t>
  </si>
  <si>
    <t>Standaardstoringen</t>
  </si>
  <si>
    <t>KANS</t>
  </si>
  <si>
    <t>Percentiel</t>
  </si>
  <si>
    <t>SAMENVATTING UITVOER</t>
  </si>
  <si>
    <t>Gegevens voor de regressie</t>
  </si>
  <si>
    <t>Meervoudige correlatiecoëfficiënt R</t>
  </si>
  <si>
    <t>R-kwadraat</t>
  </si>
  <si>
    <t>Aangepaste kleinste kwadraat</t>
  </si>
  <si>
    <t>Storing</t>
  </si>
  <si>
    <t>Significantie F</t>
  </si>
  <si>
    <t>Snijpunt</t>
  </si>
  <si>
    <t>Laagste</t>
  </si>
  <si>
    <t>Laagste 95%</t>
  </si>
  <si>
    <t>Hoogste</t>
  </si>
  <si>
    <t>Hoogste 95%</t>
  </si>
  <si>
    <t xml:space="preserve"> Variabele X</t>
  </si>
  <si>
    <t>Coëfficiënten</t>
  </si>
  <si>
    <t>Grafiek met storingen</t>
  </si>
  <si>
    <t>Grafiek voor regressielijn</t>
  </si>
  <si>
    <t>Grafiek voor normale kansverdeling</t>
  </si>
  <si>
    <t>Steekproefpercentiel</t>
  </si>
  <si>
    <t>Bezig met het berekenen van</t>
  </si>
  <si>
    <t>ONWAAR</t>
  </si>
  <si>
    <t>WAAR</t>
  </si>
  <si>
    <t>: kan geen geheugen toewijzen voor de berekening. Probeer opnieuw de functie uit te voeren.</t>
  </si>
  <si>
    <t>: alfa moet een getal zijn tussen 0 en 1.</t>
  </si>
  <si>
    <t>: een Bernoulli-kans is vereist en moet een getal zijn tussen 0 en 1.</t>
  </si>
  <si>
    <t>: een binomiale kans is vereist en moet een getal zijn tussen 0 en 1.</t>
  </si>
  <si>
    <t>: het aantal binomiale experimenten is niet opgegeven. Dit moet een geheel getal zijn dat groter is dan nul.</t>
  </si>
  <si>
    <t>: het verzamelbereik mag niet leeg zijn.</t>
  </si>
  <si>
    <t>: het verzamelbereik kan worden weggelaten. Als het verzamelbereik wordt ingevoerd moet dit een verwijzing zijn.</t>
  </si>
  <si>
    <t>: het verzamelbereik mag geen niet-numerieke gegevens bevatten.</t>
  </si>
  <si>
    <t>: het verzamelbereik en het invoerbereik overlappen elkaar.</t>
  </si>
  <si>
    <t>: het verzamelbereik en het uitvoerbereik overlappen elkaar.</t>
  </si>
  <si>
    <t>: er kan geen grafiek worden getekend voor lege verzamelbereiken.</t>
  </si>
  <si>
    <t>: voor grafiek moet een logische waarde opgegeven worden.</t>
  </si>
  <si>
    <t>: de waarde voor door_oorsprong moet een logische waarde zijn.</t>
  </si>
  <si>
    <t>: de waarde voor cum_grafiek moet een logische waarde zijn.</t>
  </si>
  <si>
    <t>: de waarde voor inverse moet een logische waarde zijn.</t>
  </si>
  <si>
    <t>: de waarde voor grafiek_regressielijn moet een logische waarde zijn.</t>
  </si>
  <si>
    <t>: de waarde voor label moet een logische waarde zijn.</t>
  </si>
  <si>
    <t>: de waarde voor op_freq_sorteren moet een logische waarde zijn.</t>
  </si>
  <si>
    <t>: voor kans_grafiek moet een logische waarde worden ingevoerd.</t>
  </si>
  <si>
    <t>: voor storingen_grafiek moet een logische waarde worden ingevoerd.</t>
  </si>
  <si>
    <t>: voor storingen moet een logische waarde worden ingevoerd.</t>
  </si>
  <si>
    <t>: voor standaardfouten dient u een logische waarde in te voeren.</t>
  </si>
  <si>
    <t>: voor stand_storingen moet een logische waarde worden ingevoerd.</t>
  </si>
  <si>
    <t>: de waarde voor samenvattingsinfo moet een logische waarde zijn..</t>
  </si>
  <si>
    <t>: kan het invoerbereik of uitvoerbereik niet omzetten in een geldige verwijzing.</t>
  </si>
  <si>
    <t>: kan geen relatieve verwijzing maken tussen verschillende bereiken.</t>
  </si>
  <si>
    <t>: een aantal gegevens zal worden verborgen in (een) ingesloten grafiek(en).</t>
  </si>
  <si>
    <t>: kan geen grafiek tekenen, want de verwijzing naar het bereik van de grafiek verwijst naar een bereik dat gedeeltelijk buiten het werkblad valt.</t>
  </si>
  <si>
    <t>: berekeningen onderbreken. Kies OK om de berekeningen te onderbreken en kies Annuleren om de berekeningen te hervatten.</t>
  </si>
  <si>
    <t>: de waarde voor de betrouwbaarheid van het gemiddelde moet een getal zijn tussen 0 en 100.</t>
  </si>
  <si>
    <t>: kan het invoerbereik niet converteren naar Waarden en Kansen. Probeer de functie opnieuw uit te voeren.</t>
  </si>
  <si>
    <t>: de waarde voor de dempingsfactor moet een getal zijn.</t>
  </si>
  <si>
    <t>: de waarde voor dempingsfactor moet een positief getal zijn.</t>
  </si>
  <si>
    <t>: de som van de kansen in de kolom van de discrete verdeling moet 1 zijn.</t>
  </si>
  <si>
    <t>: het waarde- en kansinvoerbereik voor de discrete verdeling moet 2 kolommen bevatten.</t>
  </si>
  <si>
    <t>: specificeer een invoerbereik met meer dan één waarde en meer dan één kans.</t>
  </si>
  <si>
    <t>: de waarde- en kansbereiken voor de discrete verdeling kunnen alleen getallen bevatten en moeten allebei hetzelfde aantal gegevens bevatten.</t>
  </si>
  <si>
    <t>: het  waarde- en kansbereik voor de discrete verdeling en het uitvoerbereik mogen elkaar niet overlappen.</t>
  </si>
  <si>
    <t>: als standaardfouten worden gecontroleerd, moet het invoerbereik minstens vijf gegevenspunten bevatten.</t>
  </si>
  <si>
    <t>: er zijn te veel argumenten ingevoerd.  Controleer de syntax van de functie ASELECT().</t>
  </si>
  <si>
    <t>: invoerbereik X kan niet meer dan 16 variabelen (kolommen) bevatten.</t>
  </si>
  <si>
    <t>: het aantal invoerwaarden moet een even macht zijn van 2. Bijvoorbeeld : 2, 4, 8, 16,  32, 64, 128,...</t>
  </si>
  <si>
    <t>: het aantal invoerwaarden mag niet groter zijn dan 4096.</t>
  </si>
  <si>
    <t>: vul K in als de gegevensreeksen zijn gerangschikt in kolommen, of vul R in als de gegevensreeksen zijn gerangschikt in rijen.</t>
  </si>
  <si>
    <t>: het invoerbereik moet twee of meer gegevensrijen of gegevenskolommen bevatten.</t>
  </si>
  <si>
    <t>: het invoerbereik moet een verwijzing naar een aaneengesloten bereik zijn.</t>
  </si>
  <si>
    <t>: het invoerbereik is niet opgegeven. Voer het alsnog in.</t>
  </si>
  <si>
    <t>: het invoerbereik en het uitvoerbereik overlappen elkaar. Voer de bereiken opnieuw in.</t>
  </si>
  <si>
    <t>: het invoerbereik moet ten minste één gegevenspunt bevatten.</t>
  </si>
  <si>
    <t>: de waarde voor het interval moet een getal zijn.</t>
  </si>
  <si>
    <t>: de waarde voor het interval moet een positief geheel getal zijn.</t>
  </si>
  <si>
    <t>: de waarde voor het interval kan niet groter zijn dan het aantal gegevenspunten.</t>
  </si>
  <si>
    <t>: het invoerbereik bevat een ongeldig complex getal. Een complex getal moet voldoen aan de vorm x+yi of x+yj.</t>
  </si>
  <si>
    <t>: alle complexe getallen moeten hetzelfde achtervoegsel hebben. Dit mag zowel i als j zijn.</t>
  </si>
  <si>
    <t>: de waarde voor grootste moet een positief geheel getal zijn dat groter is dan 0 en kleiner of gelijk aan het aantal gegevenspunten.</t>
  </si>
  <si>
    <t>: de waarde voor kleinste moet een postief geheel getal zijn dat groter is dan 0 en kleiner is of gelijk aan het aantal gegevenspunten.</t>
  </si>
  <si>
    <t>: de functie LIJNSCH() geeft een foutwaarde als resultaat.  Controleer de invoerbereiken.</t>
  </si>
  <si>
    <t>: het geschatte verschil tussen de gemiddelden moet een positief getal zijn.</t>
  </si>
  <si>
    <t>: de functie heeft meer argumenten nodig.</t>
  </si>
  <si>
    <t>: het invoerbereik en het uitvoerbereik moeten zich op hetzelfde blad bevinden.</t>
  </si>
  <si>
    <t>: het invoerbereik en uitvoerbereik moeten bereiken zijn van aaneengesloten cellen.</t>
  </si>
  <si>
    <t>: het invoerbereik moet bestaan uit slechts één rij of kolom.</t>
  </si>
  <si>
    <t>: de invoerbereiken moeten hetzelfde aantal gegevenspunten hebben.</t>
  </si>
  <si>
    <t>: het invoerbereik moet ten minste 4 gegevenspunten bevatten.</t>
  </si>
  <si>
    <t>: kan geen nieuwe werkmap maken.</t>
  </si>
  <si>
    <t>: kan geen nieuw blad maken voor uitvoer.</t>
  </si>
  <si>
    <t xml:space="preserve">  Kan geen toegang krijgen tot het dialoogvenster Gegevensanalyse. Neem contact op met Microsoft Product Support Services voor hulp.</t>
  </si>
  <si>
    <t xml:space="preserve">  Kan geen toegang krijgen tot het dialoogvenster voor de geselecteerde procedure. Neem contact op met Microsoft Product Support Services voor hulp.</t>
  </si>
  <si>
    <t>: het invoerbereik bevat niet-numerieke gegevens.</t>
  </si>
  <si>
    <t>: het gemiddelde voor de normale verdeling moet worden ingevoerd. Dit moet een getal zijn.</t>
  </si>
  <si>
    <t>: de standaarddeviatie voor de normale verdeling moet worden ingevoerd. Dit moet een getal zijn en mag geen 0 zijn..</t>
  </si>
  <si>
    <t>: de waarde voor de steekproefgrootte moet een geheel getal zijn dat groter is dan nul.</t>
  </si>
  <si>
    <t>: voer een getal in voor het aantal aselecte steekproeven.</t>
  </si>
  <si>
    <t>: er is een probleem bij de verschuiving van de verwijzing naar het invoerbereik of bij de verschuiving van de verwijzing naar het uitvoerbereik.</t>
  </si>
  <si>
    <t>: kan het bronblad niet openen.</t>
  </si>
  <si>
    <t>: dit is een ongeldige uitvoeroptie.</t>
  </si>
  <si>
    <t>: de waarde voor het uitvoerbereik moet een geldige verwijzing zijn.</t>
  </si>
  <si>
    <t>: het uitvoerbereik is niet opgegeven. Voer dit alsnog in.</t>
  </si>
  <si>
    <t>: een gedeelte  van de geschatte uitvoertabel zal buiten het werkblad komen te staan. Kies een andere verwijzing.</t>
  </si>
  <si>
    <t>: het uitvoerbereik zal bestaande gegevens overschrijven. Kies OK als u de gegevens toch wilt overschrijven in het bereik:</t>
  </si>
  <si>
    <t>: vanaf het beginpunt van de patroonmatige verdeling kan met de opgegeven stapwaarde het eindpunt niet bereikt worden.</t>
  </si>
  <si>
    <t>: er moet een beginpunt worden opgegeven voor de patroonmatige verdeling. De waarde moet een getal zijn.</t>
  </si>
  <si>
    <t>: er moet een stapwaarde worden opgegeven. De waarde moet een getal zijn, maar mag geen nul zijn.</t>
  </si>
  <si>
    <t>: er moet een eindwaarde voor de patroonmatige verdeling worden opgegeven. De waarde moet een getal zijn.</t>
  </si>
  <si>
    <t>: er moet een stapwaarde worden opgegeven voor de patroonmatige verdeling. De waarde moet een geheel getal zijn dat groter is dan nul.</t>
  </si>
  <si>
    <t>: er moet een stapwaarde worden opgegeven voor de patroonmatige verdeling. Deze waarde moet een geheel getal zijn dat groter is dan nul.</t>
  </si>
  <si>
    <t>: voor periodiek moet een geheel getal worden ingevoerd dat groter is dan nul.</t>
  </si>
  <si>
    <t>: voer een waarde in voor periodiek.</t>
  </si>
  <si>
    <t>: de waarde voor periodiek mag niet groter zijn dan het aantal waarden in het invoerbereik.</t>
  </si>
  <si>
    <t>: lambda moet worden opgegeven voor de Poisson-verdeling. Lambda moet een getal zijn dat groter is dan nul.</t>
  </si>
  <si>
    <t>: het type verdeling moet opgegeven worden; voer een geheel getal in tussen 0 en 8.</t>
  </si>
  <si>
    <t>: de waarde voor het aantal aselecte getallen moet een geheel getal zijn dat groter is dan 0.</t>
  </si>
  <si>
    <t>: discrete verdeling : er kan geen passende waarde worden gevonden bij de aselect gekozen kans.</t>
  </si>
  <si>
    <t>: de waarde voor het aantal variabelen moet een geheel getal zijn dat groter is dan nul.</t>
  </si>
  <si>
    <t>: kies minstens één statistische optie.</t>
  </si>
  <si>
    <t>: er moet een waarde worden ingevoerd voor het aantal rijen per steekproef.</t>
  </si>
  <si>
    <t>: de waarde voor het aantal rijen per steekproef moet een geheel getal zijn dat groter is dan 0.</t>
  </si>
  <si>
    <t>: iedere steekproef dient hetzelfde aantal rijen te bevatten.</t>
  </si>
  <si>
    <t>: het bereik X en het bereik Y moeten hetzelfde aantal rijen(steekproefwaarden) hebben, ongeacht het aantal labels.</t>
  </si>
  <si>
    <t>: er is een ongeldige waarde voor de steekproefmethode ingevoerd. Voer P in voor periodieke steekproef of A voor aselecte steekproef.</t>
  </si>
  <si>
    <t>: er moet een steekproefprocedure worden opgegeven. Voer de procedure in die u wenst te volgen.</t>
  </si>
  <si>
    <t>: de waarde voor Aselecte waarde maken moet een geheel getal zijn tussen de 1 en 32767.</t>
  </si>
  <si>
    <t>: het uitvoerbereik bevindt zich op een beveiligd blad. U kunt geen gegevens schrijven naar een beveiligd blad.</t>
  </si>
  <si>
    <t>: voor de uniforme verdeling moeten getalwaarden opgegeven worden voor de onder- en bovengrens.</t>
  </si>
  <si>
    <t>: de variabelenbereiken moeten allebei rijen óf kolommen zijn.</t>
  </si>
  <si>
    <t>: de variabelenbereiken dienen hetzelfde aantal gegevenspunten te bevatten.</t>
  </si>
  <si>
    <t>: de variabelenbereiken dienen minstens twee gegevenspunten te bevatten.</t>
  </si>
  <si>
    <t>: de waarde voor het variabelenbereik 1 moet een verwijzing zijn naar een aaneengesloten bereik.</t>
  </si>
  <si>
    <t>: het variabelenbereik 1 is niet opgegeven. Voer dit bereik alsnog in.</t>
  </si>
  <si>
    <t>: het variabelenbereik 1 en het variabelenbereik 2 mogen elkaar niet overlappen.</t>
  </si>
  <si>
    <t xml:space="preserve">: het variabelenbereik 1 en het </t>
  </si>
  <si>
    <t>: de waarde voor het variabelenbereik 2 moet een verwijzing zijn naar een aaneengesloten bereik.</t>
  </si>
  <si>
    <t>: het variabelenbereik 2 is niet opgegeven. Voer het variabelenbereik 2 alsnog in.</t>
  </si>
  <si>
    <t>: het variabelenbereik 2 en het uitvoerbereik mogen elkaar niet overlappen.</t>
  </si>
  <si>
    <t>: voor verdeling dient een geheel getal ingevoerd te worden tussen de 0 en de 8.</t>
  </si>
  <si>
    <t>: het bereik X en het uitvoerbereik overlappen elkaar. Kies een ander uitvoerbereik.</t>
  </si>
  <si>
    <t>: de waarde voor het invoerbereik X moet een verwijzing zijn naar een aaneengesloten bereik.</t>
  </si>
  <si>
    <t>: het invoerbereik X is niet opgegeven. Voer dit alsnog in.</t>
  </si>
  <si>
    <t>: het aantal rijen en kolommen voor het bereik X kunnen niet gelijk zijn.</t>
  </si>
  <si>
    <t>: het bereik X en het bereik Y mogen elkaar niet overlappen.</t>
  </si>
  <si>
    <t>: het bereik Y en het uitvoerbereik overlappen elkaar. Kies een ander uitvoerbereik..</t>
  </si>
  <si>
    <t>: de waarde voor het invoerbereik Y moet een verwijzing zijn naar een aaneengesloten bereik.</t>
  </si>
  <si>
    <t>: er zijn geen gegevens ingevoerd voor het invoerbereik Y. Voer deze alsnog in.</t>
  </si>
  <si>
    <t>: variantie 1 moet een getal zijn dat groter is dan nul.</t>
  </si>
  <si>
    <t>: variantie 2 moet een getal zijn dat groter is dan nul.</t>
  </si>
  <si>
    <t>: kan geen toegang krijgen tot de ActiveX-besturingselementen van de werkmap. Neem contact op met Microsoft Product Support Services voor hulp.</t>
  </si>
  <si>
    <t>: kan geen grafiek toevoegen aan een gedeelde werkmap. Doorgan met het maken van de uitvoertabel?</t>
  </si>
  <si>
    <t>Analiza danych</t>
  </si>
  <si>
    <t>Analiza wariancji: jednoczynnikowa</t>
  </si>
  <si>
    <t>Regresja</t>
  </si>
  <si>
    <t>Korelacja</t>
  </si>
  <si>
    <t>Statystyka opisowa</t>
  </si>
  <si>
    <t>Wygładzanie wykładnicze</t>
  </si>
  <si>
    <t>Test F: z dwiema próbami dla wariancji</t>
  </si>
  <si>
    <t>Próbkowanie</t>
  </si>
  <si>
    <t>Generowanie liczb pseudolosowych</t>
  </si>
  <si>
    <t>Anuluj</t>
  </si>
  <si>
    <t>Narzędzia &amp;analizy:</t>
  </si>
  <si>
    <t>Wejście</t>
  </si>
  <si>
    <t>Opcje wyjścia</t>
  </si>
  <si>
    <t>Liczba &amp;zmiennych:</t>
  </si>
  <si>
    <t>&amp;Zakres wejściowy:</t>
  </si>
  <si>
    <t>Zakres wejściowy &amp;Y:</t>
  </si>
  <si>
    <t>Zakres zmiennej &amp;1:</t>
  </si>
  <si>
    <t>&amp;Zastąp dane w zakresie:</t>
  </si>
  <si>
    <t>Liczba &amp;wartości:</t>
  </si>
  <si>
    <t>K</t>
  </si>
  <si>
    <t>Grupowanie wg:</t>
  </si>
  <si>
    <t>Zakres wejściowy &amp;X:</t>
  </si>
  <si>
    <t>Zapisz w nowym zak&amp;resie:</t>
  </si>
  <si>
    <t>Stała wygładza&amp;nia:</t>
  </si>
  <si>
    <t>Zakres zmiennej &amp;2:</t>
  </si>
  <si>
    <t>&amp;Tytuły</t>
  </si>
  <si>
    <t>W</t>
  </si>
  <si>
    <t>Nowa &amp;warstwa arkusza:</t>
  </si>
  <si>
    <t>Metoda próbkowania</t>
  </si>
  <si>
    <t>Roz&amp;kład:</t>
  </si>
  <si>
    <t>&amp;Tytuły w pierwszej kolumnie</t>
  </si>
  <si>
    <t>&amp;Kolumn</t>
  </si>
  <si>
    <t>Nowy &amp;skoroszyt</t>
  </si>
  <si>
    <t>&amp;Tytuły w pierwszym wierszu</t>
  </si>
  <si>
    <t>&amp;Wierszy</t>
  </si>
  <si>
    <t>Stała wynosi &amp;Zero</t>
  </si>
  <si>
    <t>Zapisywanie informacji w niepustych komórkach: dane mogą być utracone!</t>
  </si>
  <si>
    <t>&amp;Okresowa</t>
  </si>
  <si>
    <t>Poziom &amp;ufności:</t>
  </si>
  <si>
    <t>&amp;Losowa</t>
  </si>
  <si>
    <t>L</t>
  </si>
  <si>
    <t>Zakr&amp;es wyjściowy:</t>
  </si>
  <si>
    <t>Okres:</t>
  </si>
  <si>
    <t>Daty i czasu</t>
  </si>
  <si>
    <t>Nowy a&amp;rkusz:</t>
  </si>
  <si>
    <t>Informacyjne</t>
  </si>
  <si>
    <t>Pomoc</t>
  </si>
  <si>
    <t>Liczba prób:</t>
  </si>
  <si>
    <t>Matematyczne</t>
  </si>
  <si>
    <t>Statystyczne</t>
  </si>
  <si>
    <t>Finansowe</t>
  </si>
  <si>
    <t>&amp;Wykres wyjściowy</t>
  </si>
  <si>
    <t>Inżynierskie</t>
  </si>
  <si>
    <t>&amp;Błędy standardowe</t>
  </si>
  <si>
    <t>Statystyki po&amp;dsumowujące</t>
  </si>
  <si>
    <t>Analiza wariancji</t>
  </si>
  <si>
    <t>Poziom &amp;ufności dla średniej:</t>
  </si>
  <si>
    <t>Składniki resztowe</t>
  </si>
  <si>
    <t>Z&amp;akres wejściowy wartości i prawdopodobieństwa:</t>
  </si>
  <si>
    <t>Analiza wariancji: dwuczynnikowa z powtórzeniami</t>
  </si>
  <si>
    <t>S&amp;kładniki resztowe</t>
  </si>
  <si>
    <t>Kowariancja</t>
  </si>
  <si>
    <t>Analiza wariancji: dwuczynnikowa bez powtórzeń</t>
  </si>
  <si>
    <t>St&amp;d. składniki resztowe</t>
  </si>
  <si>
    <t>K-ta &amp;największa:</t>
  </si>
  <si>
    <t>Rozrz&amp;ut:</t>
  </si>
  <si>
    <t>PODSUMOWANIE</t>
  </si>
  <si>
    <t>R&amp;ozkład reszt</t>
  </si>
  <si>
    <t>Test t: par skojarzonych z dwiema próbami dla średniej</t>
  </si>
  <si>
    <t>Grupy</t>
  </si>
  <si>
    <t>Rozkład &amp;linii dopasowanej</t>
  </si>
  <si>
    <t>K-ta naj&amp;mniejsza:</t>
  </si>
  <si>
    <t>Licznik</t>
  </si>
  <si>
    <t>Rozkład normalny</t>
  </si>
  <si>
    <t>Suma</t>
  </si>
  <si>
    <t>Rozkład prawdopodobieństwa &amp;normalnego</t>
  </si>
  <si>
    <t>Średnia</t>
  </si>
  <si>
    <t>Wariancja</t>
  </si>
  <si>
    <t>ANALIZA WARIANCJI</t>
  </si>
  <si>
    <t>Źródło wariancji</t>
  </si>
  <si>
    <t>&amp;Wiersze w próbie:</t>
  </si>
  <si>
    <t>Różnica średnich wg &amp;hipotezy:</t>
  </si>
  <si>
    <t>Opcje wyjscia</t>
  </si>
  <si>
    <t>Wartość-p</t>
  </si>
  <si>
    <t>Test F</t>
  </si>
  <si>
    <t>Razem</t>
  </si>
  <si>
    <t>Pomiędzy grupami</t>
  </si>
  <si>
    <t>W obrębie grup</t>
  </si>
  <si>
    <t>Próbka</t>
  </si>
  <si>
    <t>Kolumna</t>
  </si>
  <si>
    <t>Interakcja</t>
  </si>
  <si>
    <t>Ranga i percentyl</t>
  </si>
  <si>
    <t>&amp;Pomiędzy</t>
  </si>
  <si>
    <t>W obrębie</t>
  </si>
  <si>
    <t>Wiersze</t>
  </si>
  <si>
    <t>or&amp;az</t>
  </si>
  <si>
    <t>Kolumny</t>
  </si>
  <si>
    <t>Błąd</t>
  </si>
  <si>
    <t>Test t: z dwiema próbami zakładający równe wariancje</t>
  </si>
  <si>
    <t>&amp;Od</t>
  </si>
  <si>
    <t>Błąd standardowy</t>
  </si>
  <si>
    <t>&amp;do</t>
  </si>
  <si>
    <t>Tryb</t>
  </si>
  <si>
    <t>Odchylenie standardowe</t>
  </si>
  <si>
    <t>z krokie&amp;m</t>
  </si>
  <si>
    <t>Wariancja próbki</t>
  </si>
  <si>
    <t>Kurtoza</t>
  </si>
  <si>
    <t>powtarzając każdą &amp;liczbę</t>
  </si>
  <si>
    <t>Skośność</t>
  </si>
  <si>
    <t>Zakres</t>
  </si>
  <si>
    <t>razy</t>
  </si>
  <si>
    <t>powtarzając sekwe&amp;ncję</t>
  </si>
  <si>
    <t>Największy</t>
  </si>
  <si>
    <t>Najmniejszy</t>
  </si>
  <si>
    <t>Poziom ufności</t>
  </si>
  <si>
    <t>Średnia ruchoma</t>
  </si>
  <si>
    <t>Analiza Fouriera</t>
  </si>
  <si>
    <t>Wartość bieżąca</t>
  </si>
  <si>
    <t>Prognoza</t>
  </si>
  <si>
    <t>Punkt danych</t>
  </si>
  <si>
    <t>Wartość</t>
  </si>
  <si>
    <t>Śre&amp;dnia =</t>
  </si>
  <si>
    <t>Zbiór danych (koszyk)</t>
  </si>
  <si>
    <t>Częstość</t>
  </si>
  <si>
    <t>Odc&amp;hylenie standardowe =</t>
  </si>
  <si>
    <t>Łączna wartość %</t>
  </si>
  <si>
    <t>Test t: z dwiema próbami zakładający nierówne wariancje</t>
  </si>
  <si>
    <t>Więcej</t>
  </si>
  <si>
    <t>&amp;Odstęp:</t>
  </si>
  <si>
    <t>Test t: z dwiema próbami dla średnich</t>
  </si>
  <si>
    <t>&amp;Odwrotna transformacja</t>
  </si>
  <si>
    <t>Obserwacje</t>
  </si>
  <si>
    <t>P(F&lt;=f) jednostronny</t>
  </si>
  <si>
    <t>Test F jednostronny</t>
  </si>
  <si>
    <t>Różnica średnich wg hipotezy</t>
  </si>
  <si>
    <t>Wariancja sumaryczna</t>
  </si>
  <si>
    <t>Korelacja Pearsona</t>
  </si>
  <si>
    <t>P(T&lt;=t) jednostronny</t>
  </si>
  <si>
    <t>W&amp;artość p =</t>
  </si>
  <si>
    <t>P(T&lt;=t) dwustronny</t>
  </si>
  <si>
    <t>Test T jednostronny</t>
  </si>
  <si>
    <t>&amp;Zakres komórek:</t>
  </si>
  <si>
    <t>Test t dwustronny</t>
  </si>
  <si>
    <t>Zmienna 1</t>
  </si>
  <si>
    <t>Zakres z&amp;bioru:</t>
  </si>
  <si>
    <t>Zmienna 2</t>
  </si>
  <si>
    <t>Test z: z dwiema próbami dla średnich</t>
  </si>
  <si>
    <t>Znana wariancja</t>
  </si>
  <si>
    <t>P(Z&lt;=z) jednostronny</t>
  </si>
  <si>
    <t>Test z jednostronny</t>
  </si>
  <si>
    <t>&amp;Liczba prób =</t>
  </si>
  <si>
    <t>Test z dwustronny</t>
  </si>
  <si>
    <t>Ranga</t>
  </si>
  <si>
    <t>&amp;Pareto (posortowany histogram)</t>
  </si>
  <si>
    <t>Percentyl</t>
  </si>
  <si>
    <t>Łącz&amp;ny udział procentowy</t>
  </si>
  <si>
    <t>Wiersz</t>
  </si>
  <si>
    <t>Jednostajny</t>
  </si>
  <si>
    <t>Normalny</t>
  </si>
  <si>
    <t>Bernoulliego</t>
  </si>
  <si>
    <t>&amp;Wariancja zmiennej 1 (znana):</t>
  </si>
  <si>
    <t>Dwumianowy</t>
  </si>
  <si>
    <t>Poissona</t>
  </si>
  <si>
    <t>Waria&amp;ncja zmiennej 2 (znana):</t>
  </si>
  <si>
    <t>Wg wzorca</t>
  </si>
  <si>
    <t>Dyskretny</t>
  </si>
  <si>
    <t>SKŁADNIKI RESZTOWE - WYJŚCIE</t>
  </si>
  <si>
    <t>Obserwacja</t>
  </si>
  <si>
    <t>Przewidywane</t>
  </si>
  <si>
    <t>Przewidywane Y</t>
  </si>
  <si>
    <t>Std. składniki resztowe</t>
  </si>
  <si>
    <t>PRAWDOPODOBIEŃSTWO - WYJŚCIE</t>
  </si>
  <si>
    <t>PODSUMOWANIE - WYJŚCIE</t>
  </si>
  <si>
    <t>Statystyki regresji</t>
  </si>
  <si>
    <t>Wielokrotność R</t>
  </si>
  <si>
    <t>R kwadrat</t>
  </si>
  <si>
    <t>Dopasowany R kwadrat</t>
  </si>
  <si>
    <t>Resztkowy</t>
  </si>
  <si>
    <t>Istotność F</t>
  </si>
  <si>
    <t>Przecięcie</t>
  </si>
  <si>
    <t>Dolne</t>
  </si>
  <si>
    <t>Dolne 95%</t>
  </si>
  <si>
    <t>Górne</t>
  </si>
  <si>
    <t>Górne 95%</t>
  </si>
  <si>
    <t>Zmienna X</t>
  </si>
  <si>
    <t>Współczynniki</t>
  </si>
  <si>
    <t>Rozkład reszt</t>
  </si>
  <si>
    <t>Rozkład linii dopasowanej</t>
  </si>
  <si>
    <t>Rozkład prawdopodobieństwa normalnego</t>
  </si>
  <si>
    <t>Percentyl próbki</t>
  </si>
  <si>
    <t>Obliczanie</t>
  </si>
  <si>
    <t xml:space="preserve"> - Przydzielenie pamięci dla obliczeń nie jest możliwe.</t>
  </si>
  <si>
    <t xml:space="preserve"> - Alfa musi być liczbą z zakresu 0 .. 1.</t>
  </si>
  <si>
    <t xml:space="preserve"> - Wartość prawdopodobieństwa Bernoulliego jest wymagana i musi być liczbą pomiędzy 0 .. 1.</t>
  </si>
  <si>
    <t xml:space="preserve"> - Wartość prawdopodobieństwa dwumianowego jest wymagana i musi być liczbą pomiędzy 0 .. 1.</t>
  </si>
  <si>
    <t xml:space="preserve"> - Próby dwumianowe są wymagane i muszą stanowić liczbę całkowitą większą niż zero.</t>
  </si>
  <si>
    <t xml:space="preserve"> - Zakres zbioru nie może być pusty.</t>
  </si>
  <si>
    <t xml:space="preserve"> - Zakres zbioru może być opuszczony.  Jeśli nie, zakres zbioru musi być adresem.</t>
  </si>
  <si>
    <t xml:space="preserve"> - Zakres zbioru nie może zawierać danych nienumerycznych.</t>
  </si>
  <si>
    <t xml:space="preserve"> - Zakres zbioru i zakres wejściowy zachodzą na siebie.</t>
  </si>
  <si>
    <t xml:space="preserve"> - Zakres zbioru i zakres wyjściowy zachodzą na siebie.</t>
  </si>
  <si>
    <t xml:space="preserve"> - Utworzenie wykresu na podstawie pustego zbioru nie jest możliwe.</t>
  </si>
  <si>
    <t xml:space="preserve"> - Opcja 'Wykres wyjściowy' musi stanowić wartość logiczną.</t>
  </si>
  <si>
    <t xml:space="preserve"> - Opcja 'Stała' musi stanowić wartość logiczną.</t>
  </si>
  <si>
    <t xml:space="preserve"> - Opcja 'Łączna wartość procentowa' musi stanowić wartość logiczną.</t>
  </si>
  <si>
    <t xml:space="preserve"> - Opcja 'Inwersja' musi stanowić wartość logiczną.</t>
  </si>
  <si>
    <t xml:space="preserve"> - Opcja 'Rozkład linii dopasowanej' musi stanowić wartość logiczną.</t>
  </si>
  <si>
    <t xml:space="preserve"> - Opcja 'Tytuł' musi stanowić wartość logiczną.</t>
  </si>
  <si>
    <t xml:space="preserve"> - Opcja 'Pareto' musi stanowić wartość logiczną.</t>
  </si>
  <si>
    <t xml:space="preserve"> - Opcja 'Rozkład prawdopodobieństwa normalnego' musi stanowić wartość logiczną.</t>
  </si>
  <si>
    <t xml:space="preserve"> - Opcja 'Rozkład reszt' musi stanowić wartość logiczną.</t>
  </si>
  <si>
    <t xml:space="preserve"> - Opcja 'Składniki resztowe' musi stanowić wartość logiczną.</t>
  </si>
  <si>
    <t xml:space="preserve"> - Opcja 'Błędy standardowe' musi stanowić wartość logiczną.</t>
  </si>
  <si>
    <t xml:space="preserve"> - Opcja 'Std. składniki resztowe' musi stanowić wartość logiczną.</t>
  </si>
  <si>
    <t xml:space="preserve"> - Opcja 'Statystyki podsumowujące' musi stanowić wartość logiczną.</t>
  </si>
  <si>
    <t xml:space="preserve"> - Przekształcenie zakresu wejściowego/wyjściowego do poprawnego adresu nie jest możliwe!</t>
  </si>
  <si>
    <t xml:space="preserve"> - Utworzenie adresu względnego pomiędzy zakresami nie jest możliwe.</t>
  </si>
  <si>
    <t xml:space="preserve"> - Część danych zostanie zakryta przez osadzony wykres (wykresy).</t>
  </si>
  <si>
    <t xml:space="preserve"> - Utworzenie wykresu nie jest możliwe, gdyż jego pozycja wypada poza granicami arkusza.</t>
  </si>
  <si>
    <t xml:space="preserve"> - Przerywanie obliczeń: Wybierz OK, aby przerwać obliczenia, wybierz Anuluj, aby zakończyć obliczenia.</t>
  </si>
  <si>
    <t xml:space="preserve"> - Ufność musi być liczbą pomiędzy 0 i 100.</t>
  </si>
  <si>
    <t xml:space="preserve"> - Przekształcenie zakresu wejściowego do wartości i prawdopodobieństw nie jest możliwe.</t>
  </si>
  <si>
    <t xml:space="preserve"> - Stała wygładzania musi być liczbą.</t>
  </si>
  <si>
    <t xml:space="preserve"> - Stała wygładzania musi być liczbą dodatnią.</t>
  </si>
  <si>
    <t xml:space="preserve"> - Liczby w kolumnie rozkładu dyskretnego muszą dawać w sumie 1.</t>
  </si>
  <si>
    <t xml:space="preserve"> - Określ dwukolumnowy zakres jako zakres wejściowy wartości i prawdopodobieństw rozkładu dyskretnego.</t>
  </si>
  <si>
    <t xml:space="preserve"> - Określ zakres wejściowy zawierający więcej niż jedną wartość i więcej niż jedno prawdopodobieństwo.</t>
  </si>
  <si>
    <t xml:space="preserve"> - Zakresy wartości i prawdopodobieństw rozkładu dyskretnego muszą zawierać tylko dane numeryczne i posiadać tę samą liczbę danych.</t>
  </si>
  <si>
    <t xml:space="preserve"> - Zakres wartości i prawdopodobieństw rozkładu dyskretnego nie może zachodzić na zakres wyjściowy.</t>
  </si>
  <si>
    <t xml:space="preserve"> - Zakres wejściowy musi zawierać conajmniej 5 punktów danych, kiedy błędy standardowe są sprawdzane</t>
  </si>
  <si>
    <t xml:space="preserve"> - Podano zbyt wiele argumentów.  Sprawdź składnię funkcji RANDOM().</t>
  </si>
  <si>
    <t xml:space="preserve"> - Zakres wejściowy X nie może zawierać więcej niż 16 zmiennych (kolumn).</t>
  </si>
  <si>
    <t xml:space="preserve"> - Liczba wartości wejściowych musi stanowić potęgę liczby 2.  Na przykład: 2, 4, 8, 16,  32, 64, 128, ...</t>
  </si>
  <si>
    <t xml:space="preserve"> - Liczba wartości wejściowych musi wynosić 4096 lub mniej.</t>
  </si>
  <si>
    <t xml:space="preserve"> - Aby wskazać, jak uporządkowane są grupy danych, użyj liery "K" dla kolumn oraz "W" dla wierszy.</t>
  </si>
  <si>
    <t xml:space="preserve"> - Zakres wejściowy powinien zawierać dwa lub więcej bloków danych ułożonych wierszami lub kolumnami.</t>
  </si>
  <si>
    <t xml:space="preserve"> - Zakres wejściowy musi być ciągłym obszarem.</t>
  </si>
  <si>
    <t xml:space="preserve"> - Nie podano zakresu wejściowego.  Wprowadź zakres wejściowy.</t>
  </si>
  <si>
    <t xml:space="preserve"> - Zakresy wejściowy i wyjściowy zachodzą na siebie!  Wprowadź je jeszcze raz.</t>
  </si>
  <si>
    <t xml:space="preserve"> - Zakres wejściowy musi zawierać przynajmniej jeden punkt danych.</t>
  </si>
  <si>
    <t xml:space="preserve"> - Odstęp musi być wartością numeryczną.</t>
  </si>
  <si>
    <t xml:space="preserve"> - Odstęp musi być wartością całkowitą dodatnią.</t>
  </si>
  <si>
    <t xml:space="preserve"> - Odstęp nie może być większy niż punkty danych.</t>
  </si>
  <si>
    <t xml:space="preserve"> - Zakres wejściowy zawiera niepoprawną liczbę zespoloną.   Liczba zespolona powinna mieć postać x+yi lub x+yj</t>
  </si>
  <si>
    <t xml:space="preserve"> - Wszystkie liczby zespolone muszą posiadać ten sam symbol jednostki urojonej, tzn. "i" albo "j".</t>
  </si>
  <si>
    <t xml:space="preserve"> - Wartość 'K-ta największa' musi być liczbą całkowitą dodatnią, większą od zera, i nie może przekraczać liczby punktów danych.</t>
  </si>
  <si>
    <t xml:space="preserve"> - Wartość 'K-ta najmniejsza' musi być liczbą całkowitą dodatnią, większą od zera, i nie może przekraczać liczby punktów danych.</t>
  </si>
  <si>
    <t xml:space="preserve"> - Funkcja REGLINP() zwraca wartość błędu.  Sprawdź zakresy wejściowe.</t>
  </si>
  <si>
    <t xml:space="preserve"> - Różnica średnich musi być wartością dodatnią.</t>
  </si>
  <si>
    <t xml:space="preserve"> - Funkcja wymaga więcej argumentów.</t>
  </si>
  <si>
    <t xml:space="preserve"> - Zakresy wejściowy i wyjściowy muszą znajdować się na tym samym arkuszu.</t>
  </si>
  <si>
    <t xml:space="preserve"> - Zakres wejściowy/wyjściowy musi stanowić ciągły obszar komórek.</t>
  </si>
  <si>
    <t xml:space="preserve"> - Zakres wejściowy musi być pojedynczym wierszem lub kolumną.</t>
  </si>
  <si>
    <t xml:space="preserve"> - Zakresy wejściowe muszą posiadać tę samą liczbę punktów danych.</t>
  </si>
  <si>
    <t xml:space="preserve"> - Zakres wejściowy musi posiadać przynajmniej 4 punkty danych.</t>
  </si>
  <si>
    <t>#N/D!</t>
  </si>
  <si>
    <t xml:space="preserve"> - Utworzenie nowego skoroszytu nie jest możliwe. </t>
  </si>
  <si>
    <t xml:space="preserve"> - Utworzenie nowego arkusza nie jest możliwe.  Sprawdź ustawienia zabezpieczenia skoroszytu.</t>
  </si>
  <si>
    <t xml:space="preserve">  Odnalezienie głównego pola dialogu dodatku Analysis ToolPak nie jest możliwe. Skontaktuj się z obsługą techniczną.</t>
  </si>
  <si>
    <t xml:space="preserve">  Odnalezienie pola dialogu dla zaznaczonej procedury nie jest możliwe. Skontaktuj się z obsługą techniczną.</t>
  </si>
  <si>
    <t xml:space="preserve"> - Zakres wejściowy zawiera dane nienumeryczne.</t>
  </si>
  <si>
    <t xml:space="preserve"> - Średnia rozkładu normalnego jest wymagana i musi być liczbą.</t>
  </si>
  <si>
    <t xml:space="preserve"> - Odchylenie standardowe rozkładu normalnego jest wymagane i musi być liczbą różną od zera.</t>
  </si>
  <si>
    <t xml:space="preserve"> - Liczba próbek musi być liczbą całkowitą różną od zera.</t>
  </si>
  <si>
    <t xml:space="preserve"> - Wprowadź liczbę próbek losowych.</t>
  </si>
  <si>
    <t xml:space="preserve"> - Zaszły problemy przy ustalaniu adresu wejściowego/wyjściowego.</t>
  </si>
  <si>
    <t xml:space="preserve"> - Otworzenie arkusza zasobów nie jest możliwe. </t>
  </si>
  <si>
    <t xml:space="preserve"> - Niepoprawna opcja wyjścia.</t>
  </si>
  <si>
    <t xml:space="preserve"> - Zakres wyjściowy musi być poprawnym adresem.</t>
  </si>
  <si>
    <t xml:space="preserve"> - Nie podano zakresu wyjściowego.  Wprowadź zakres wyjściowy.</t>
  </si>
  <si>
    <t xml:space="preserve"> - Szacowana tabela wyjściowa wykracza poza granice arkusza. Podaj inny adres.     </t>
  </si>
  <si>
    <t xml:space="preserve"> - Zakres wyjściowy spowoduje zastąpienie istniejących danych.   Wybierz OK, aby zastąpić dane w zakresie:  </t>
  </si>
  <si>
    <t xml:space="preserve"> - Przy podanym kroku nie można osiągnąć wartości końcowej rozpoczynając od wartości początkowej wzorca.</t>
  </si>
  <si>
    <t xml:space="preserve"> - Wartość początkowa wzorca jest wymagana i musi być liczbą.</t>
  </si>
  <si>
    <t xml:space="preserve"> - Krok wzorca jest wymagany i musi być liczbą różną od zera.</t>
  </si>
  <si>
    <t xml:space="preserve"> - Wartość końcowa wzorca jest wymagana i musi być liczbą.</t>
  </si>
  <si>
    <t xml:space="preserve"> - Liczba powtórzeń wartości wzorca jest wymagana i musi być całkowita i większa niż zero.</t>
  </si>
  <si>
    <t xml:space="preserve"> - Liczba powtórzeń sekwencji wzorca jest wymagana i musi być całkowita i większa niż zero.</t>
  </si>
  <si>
    <t xml:space="preserve"> - Wartość okresu musi być liczbą całkowitą większą niż zero.</t>
  </si>
  <si>
    <t xml:space="preserve"> - Wprowadź wartość okresu dla próbkowania.</t>
  </si>
  <si>
    <t xml:space="preserve"> - Wartość okresu nie może przekraczać liczby wartości w zakresie wejściowym.</t>
  </si>
  <si>
    <t xml:space="preserve"> - Wartość lambda dla rozkładu Poissona jest wymagana i musi być liczbą większą niż zero.</t>
  </si>
  <si>
    <t xml:space="preserve"> - Typ rozkładu jest wymagany. Wprowadzona wartość musi być liczbą całkowitą pomiędzy 1 i 7.</t>
  </si>
  <si>
    <t xml:space="preserve"> - Liczba wartości losowych musi być całkowita i większa niż zero.</t>
  </si>
  <si>
    <t xml:space="preserve"> - Rozkład dyskretny: znalezienie odpowiadającej wartości dla losowo wybranego prawdopodobieństwa nie jest możliwe.</t>
  </si>
  <si>
    <t xml:space="preserve"> - Liczba zmiennych musi być całkowita i większa niż zero.</t>
  </si>
  <si>
    <t xml:space="preserve"> - Wybierz przynajmniej jedną opcję statystyczną.</t>
  </si>
  <si>
    <t xml:space="preserve"> - Wartość wierszy w próbie jest wymagana.  Wprowadź tę wartość.</t>
  </si>
  <si>
    <t xml:space="preserve"> - Wartość wierszy w próbie musi być liczbą całkowitą większą niż zero.</t>
  </si>
  <si>
    <t xml:space="preserve"> - Każda próbka musi zawierać tę samą liczbę wierszy.</t>
  </si>
  <si>
    <t xml:space="preserve"> - Zakres X  i zakres Y muszą posiadać tę samą liczbę wierszy (wartości próbki), nie biorąc pod uwagę tytułów.</t>
  </si>
  <si>
    <t xml:space="preserve"> - Niepoprawna metoda próbkowania.  Wprowadź "O" dla próbkowania okresowego lub "L" dla próbkowania losowego.</t>
  </si>
  <si>
    <t xml:space="preserve"> - Podanie metody próbkowania jest wymagane.</t>
  </si>
  <si>
    <t xml:space="preserve"> - Rozrzut musi być liczbą całkowitą pomiędzy 1..32767.</t>
  </si>
  <si>
    <t xml:space="preserve"> - Zmiany zabezpieczonego arkusza nie są możliwe.</t>
  </si>
  <si>
    <t xml:space="preserve"> - Ograniczenia w rozkładzie jednostajnym są wymagane i muszą być liczbami.</t>
  </si>
  <si>
    <t xml:space="preserve"> - OBYDWA zakresy zmiennych muszą być wierszami lub kolumnami.</t>
  </si>
  <si>
    <t xml:space="preserve"> - Zakresy zmiennych muszą posiadać tę samą liczbę punktów danych.</t>
  </si>
  <si>
    <t xml:space="preserve"> - Zakresy zmiennych muszą posiadać przynajmniej dwa punkty danych.</t>
  </si>
  <si>
    <t xml:space="preserve"> - Zakres zmiennej 1 musi stanowić ciągły obszar.</t>
  </si>
  <si>
    <t xml:space="preserve"> - Nie podano zakresu zmiennej 1.</t>
  </si>
  <si>
    <t xml:space="preserve"> - Zakresy zmiennej 1 i 2 nie mogą zachodzić na siebie.</t>
  </si>
  <si>
    <t xml:space="preserve"> - Zakres zmiennej 1 i zakres wyjściowy nie mogą zachodzić na siebie.</t>
  </si>
  <si>
    <t xml:space="preserve"> - Zakres zmiennej 2 musi stanowić ciągły obszar.</t>
  </si>
  <si>
    <t xml:space="preserve"> - Nie podano zakresu zmiennej 2.</t>
  </si>
  <si>
    <t xml:space="preserve"> - Zakres zmiennej 2 i zakres wyjściowy nie mogą zachodzić na siebie.</t>
  </si>
  <si>
    <t xml:space="preserve"> - Typ rozkładu losowego powinien być liczbą pomiędzy 1 i 7.</t>
  </si>
  <si>
    <t xml:space="preserve"> - Zakres X i zakres wyjściowy będą zachodziły na siebie. Podaj inny zakres wyjściowy.</t>
  </si>
  <si>
    <t xml:space="preserve"> - Zakres wejściowy X musi stanowić ciągły obszar.</t>
  </si>
  <si>
    <t xml:space="preserve"> - Nie podano zakresu wejściowego X.</t>
  </si>
  <si>
    <t xml:space="preserve"> - Liczba wierszy i kolumn w zakresie X nie może być taka sama.</t>
  </si>
  <si>
    <t xml:space="preserve"> - Zakres X i zakres Y nie mogą zachodzić na siebie.</t>
  </si>
  <si>
    <t xml:space="preserve"> - Zakres Y i zakres wyjściowy będą zachodziły na siebie. Podaj inny zakres wyjściowy.</t>
  </si>
  <si>
    <t xml:space="preserve"> - Zakres wejściowy Y musi stanowić ciągły obszar.</t>
  </si>
  <si>
    <t xml:space="preserve"> - Nie podano zakresu wejściowego Y.  Wprowadź zakres wejściowy Y.</t>
  </si>
  <si>
    <t xml:space="preserve"> - Wariancja 1 musi być liczbą większą niż zero.</t>
  </si>
  <si>
    <t xml:space="preserve"> - Wariancja 2 musi być liczbą większą niż zero.</t>
  </si>
  <si>
    <t xml:space="preserve"> - Brak dostępu do formantów ActiveX.   Skontaktuj się z obsługą klienta w celu otrzymania pomocy.</t>
  </si>
  <si>
    <t xml:space="preserve"> - Nie można dodać arkusza do udostępnianego skoroszytu.  Kontynuować tworzenie tabeli wyjściowej?</t>
  </si>
  <si>
    <t>&amp;Entre</t>
  </si>
  <si>
    <t>Real</t>
  </si>
  <si>
    <t>&amp;Intervalo:</t>
  </si>
  <si>
    <t>Calculando</t>
  </si>
  <si>
    <t>Анализ данных</t>
  </si>
  <si>
    <t>Однофакторный дисперсионный анализ</t>
  </si>
  <si>
    <t>Регрессия</t>
  </si>
  <si>
    <t>Корреляция</t>
  </si>
  <si>
    <t>Описательная статистика</t>
  </si>
  <si>
    <t>Экспоненциальное сглаживание</t>
  </si>
  <si>
    <t>Двухвыборочный F-тест для дисперсии</t>
  </si>
  <si>
    <t>Выборка</t>
  </si>
  <si>
    <t>Генерация случайных чисел</t>
  </si>
  <si>
    <t>Отмена</t>
  </si>
  <si>
    <t>&amp;Инструменты анализа</t>
  </si>
  <si>
    <t>Входные данные</t>
  </si>
  <si>
    <t>Параметры вывода</t>
  </si>
  <si>
    <t>Число &amp;переменных:</t>
  </si>
  <si>
    <t>В&amp;ходной интервал:</t>
  </si>
  <si>
    <t>&amp;Входной интервал Y:</t>
  </si>
  <si>
    <t>Интервал переменной &amp;1:</t>
  </si>
  <si>
    <t>&amp;Записать данные в интервал:</t>
  </si>
  <si>
    <t>&amp;Число случайных чисел:</t>
  </si>
  <si>
    <t>К</t>
  </si>
  <si>
    <t>Группирование:</t>
  </si>
  <si>
    <t>В&amp;ходной интервал X:</t>
  </si>
  <si>
    <t>Записать в &amp;новый интервал:</t>
  </si>
  <si>
    <t>&amp;Фактор затухания:</t>
  </si>
  <si>
    <t>Интервал переменной &amp;2:</t>
  </si>
  <si>
    <t>&amp;Метки</t>
  </si>
  <si>
    <t>С</t>
  </si>
  <si>
    <t>Новый рабочий &amp;лист:</t>
  </si>
  <si>
    <t>Метод выборки</t>
  </si>
  <si>
    <t>&amp;Распределение:</t>
  </si>
  <si>
    <t>&amp;Метки в первом столбце</t>
  </si>
  <si>
    <t>по стол&amp;бцам</t>
  </si>
  <si>
    <t>Новая рабочая &amp;книга</t>
  </si>
  <si>
    <t>&amp;Метки в первой строке</t>
  </si>
  <si>
    <t>по с&amp;трокам</t>
  </si>
  <si>
    <t>К&amp;онстанта - ноль</t>
  </si>
  <si>
    <t>Запись в непустые ячейки: данные могут быть утеряны!</t>
  </si>
  <si>
    <t>&amp;Альфа:</t>
  </si>
  <si>
    <t>&amp;Периодический</t>
  </si>
  <si>
    <t>Параметры</t>
  </si>
  <si>
    <t>П</t>
  </si>
  <si>
    <t>&amp;Уровень надежности:</t>
  </si>
  <si>
    <t>С1К1</t>
  </si>
  <si>
    <t>Случ&amp;айный</t>
  </si>
  <si>
    <t>В&amp;ыходной интервал:</t>
  </si>
  <si>
    <t>Период:</t>
  </si>
  <si>
    <t>Дата и время</t>
  </si>
  <si>
    <t>Информационные</t>
  </si>
  <si>
    <t>Справка</t>
  </si>
  <si>
    <t>Число выборок:</t>
  </si>
  <si>
    <t>Мат. и тригонометрия</t>
  </si>
  <si>
    <t>Статистические</t>
  </si>
  <si>
    <t>Финансовые</t>
  </si>
  <si>
    <t>Вывод &amp;графика</t>
  </si>
  <si>
    <t>Инженерные</t>
  </si>
  <si>
    <t>Стандартные &amp;погрешности</t>
  </si>
  <si>
    <t>&amp;Итоговая статистика</t>
  </si>
  <si>
    <t>Дисперсионный анализ</t>
  </si>
  <si>
    <t>Остатки</t>
  </si>
  <si>
    <t>В&amp;ходной интервал значений и верятностей:</t>
  </si>
  <si>
    <t>Двухфакторный дисперсионный анализ с повторениями</t>
  </si>
  <si>
    <t>Ост&amp;атки</t>
  </si>
  <si>
    <t>Ковариация</t>
  </si>
  <si>
    <t>Двухфакторный дисперсионный анализ без повторений</t>
  </si>
  <si>
    <t>С&amp;тандартизованные остатки</t>
  </si>
  <si>
    <t>K-ый &amp;наименьший:</t>
  </si>
  <si>
    <t>Случ&amp;айное рассеивание:</t>
  </si>
  <si>
    <t>ИТОГИ</t>
  </si>
  <si>
    <t>&amp;График остатков</t>
  </si>
  <si>
    <t>Парный двухвыборочный t-тест для средних</t>
  </si>
  <si>
    <t>Группы</t>
  </si>
  <si>
    <t>График &amp;подбора</t>
  </si>
  <si>
    <t>K-ый н&amp;аибольший:</t>
  </si>
  <si>
    <t>Счет</t>
  </si>
  <si>
    <t>Нормальная вероятность</t>
  </si>
  <si>
    <t>Сумма</t>
  </si>
  <si>
    <t>График &amp;нормальной вероятности</t>
  </si>
  <si>
    <t>Среднее</t>
  </si>
  <si>
    <t>Дисперсия</t>
  </si>
  <si>
    <t>Источник вариации</t>
  </si>
  <si>
    <t>Ч&amp;исло строк для выборки:</t>
  </si>
  <si>
    <t>&amp;Гипотетическая средняя разность:</t>
  </si>
  <si>
    <t>P-Значение</t>
  </si>
  <si>
    <t>F критическое</t>
  </si>
  <si>
    <t>Итого</t>
  </si>
  <si>
    <t>Между группами</t>
  </si>
  <si>
    <t>Внутри групп</t>
  </si>
  <si>
    <t>Столбец</t>
  </si>
  <si>
    <t>Взаимодействие</t>
  </si>
  <si>
    <t>Ранг и персентиль</t>
  </si>
  <si>
    <t>&amp;Между</t>
  </si>
  <si>
    <t>Внутри</t>
  </si>
  <si>
    <t>Строки</t>
  </si>
  <si>
    <t>&amp;и</t>
  </si>
  <si>
    <t>Столбцы</t>
  </si>
  <si>
    <t>Погрешность</t>
  </si>
  <si>
    <t>Двухвыборочный t-тест с одинаковыми дисперсиями</t>
  </si>
  <si>
    <t>О&amp;т</t>
  </si>
  <si>
    <t>Стандартная ошибка</t>
  </si>
  <si>
    <t>Медиана</t>
  </si>
  <si>
    <t>д&amp;о</t>
  </si>
  <si>
    <t>Мода</t>
  </si>
  <si>
    <t>Стандартное отклонение</t>
  </si>
  <si>
    <t>с &amp;шагом</t>
  </si>
  <si>
    <t>Дисперсия выборки</t>
  </si>
  <si>
    <t>Эксцесс</t>
  </si>
  <si>
    <t>повторяя ка&amp;ждое число</t>
  </si>
  <si>
    <t>Асимметричность</t>
  </si>
  <si>
    <t>Интервал</t>
  </si>
  <si>
    <t>раз</t>
  </si>
  <si>
    <t>Минимум</t>
  </si>
  <si>
    <t>по&amp;вторяя последовательность</t>
  </si>
  <si>
    <t>Максимум</t>
  </si>
  <si>
    <t>Наибольший</t>
  </si>
  <si>
    <t>Наименьший</t>
  </si>
  <si>
    <t>Уровень надежности</t>
  </si>
  <si>
    <t>Скользящее среднее</t>
  </si>
  <si>
    <t>Анализ Фурье</t>
  </si>
  <si>
    <t>Фактический</t>
  </si>
  <si>
    <t>Прогноз</t>
  </si>
  <si>
    <t>Точка данных</t>
  </si>
  <si>
    <t>Значение</t>
  </si>
  <si>
    <t>Гистограмма</t>
  </si>
  <si>
    <t>Ср&amp;еднее =</t>
  </si>
  <si>
    <t>Карман</t>
  </si>
  <si>
    <t>Частота</t>
  </si>
  <si>
    <t>Стандартное &amp;отклонение =</t>
  </si>
  <si>
    <t>Интегральный %</t>
  </si>
  <si>
    <t>Двухвыборочный t-тест с различными дисперсиями</t>
  </si>
  <si>
    <t>Еще</t>
  </si>
  <si>
    <t>&amp;Интервал:</t>
  </si>
  <si>
    <t>Фурье</t>
  </si>
  <si>
    <t>&amp;Инверсия</t>
  </si>
  <si>
    <t>Наблюдения</t>
  </si>
  <si>
    <t>P(F&lt;=f) одностороннее</t>
  </si>
  <si>
    <t>F критическое одностороннее</t>
  </si>
  <si>
    <t>Гипотетическая разность средних</t>
  </si>
  <si>
    <t>Объединенная дисперсия</t>
  </si>
  <si>
    <t>Корреляция Пирсона</t>
  </si>
  <si>
    <t>P(T&lt;=t) одностороннее</t>
  </si>
  <si>
    <t>&amp;Значение p =</t>
  </si>
  <si>
    <t>P(T&lt;=t) двухстороннее</t>
  </si>
  <si>
    <t>t-статистика</t>
  </si>
  <si>
    <t>t критическое одностороннее</t>
  </si>
  <si>
    <t>t критическое двухстороннее</t>
  </si>
  <si>
    <t>Переменная 1</t>
  </si>
  <si>
    <t>И&amp;нтервал карманов:</t>
  </si>
  <si>
    <t>Переменная 2</t>
  </si>
  <si>
    <t>Двухвыборочный z-тест для средних</t>
  </si>
  <si>
    <t>Известная дисперсия</t>
  </si>
  <si>
    <t>P(Z&lt;=z) одностороннее</t>
  </si>
  <si>
    <t>z критическое одностороннее</t>
  </si>
  <si>
    <t>P(Z&lt;=z) двухстороннее</t>
  </si>
  <si>
    <t>Число &amp;испытаний =</t>
  </si>
  <si>
    <t>z критическое двухстороннее</t>
  </si>
  <si>
    <t>Ранг</t>
  </si>
  <si>
    <t>&amp;Парето (отсортированная гистограмма)</t>
  </si>
  <si>
    <t>Процент</t>
  </si>
  <si>
    <t>&amp;Интегральный процент</t>
  </si>
  <si>
    <t>Точка</t>
  </si>
  <si>
    <t>Строка</t>
  </si>
  <si>
    <t>Равномерное</t>
  </si>
  <si>
    <t>Нормальное</t>
  </si>
  <si>
    <t>Бернулли</t>
  </si>
  <si>
    <t>Д&amp;исперсия переменной 1 (известная):</t>
  </si>
  <si>
    <t>Биномиальное</t>
  </si>
  <si>
    <t>Пуассона</t>
  </si>
  <si>
    <t>Дисперсия п&amp;еременной 2 (известная):</t>
  </si>
  <si>
    <t>Модельное</t>
  </si>
  <si>
    <t>Дискретное</t>
  </si>
  <si>
    <t>ВЫВОД ОСТАТКА</t>
  </si>
  <si>
    <t>Л&amp;ямбда =</t>
  </si>
  <si>
    <t>Наблюдение</t>
  </si>
  <si>
    <t>Предсказанное</t>
  </si>
  <si>
    <t>Предсказанное Y</t>
  </si>
  <si>
    <t>Стандартные остатки</t>
  </si>
  <si>
    <t>ВЫВОД ВЕРОЯТНОСТИ</t>
  </si>
  <si>
    <t>Персентиль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</si>
  <si>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</si>
  <si>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</si>
  <si>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</si>
  <si>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</si>
  <si>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</si>
  <si>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Остаток</t>
  </si>
  <si>
    <t>Значимость F</t>
  </si>
  <si>
    <t>Y-пересечение</t>
  </si>
  <si>
    <t>Нижние</t>
  </si>
  <si>
    <t>Нижние 95%</t>
  </si>
  <si>
    <t>Верхние</t>
  </si>
  <si>
    <t>Верхние 95%</t>
  </si>
  <si>
    <t>Переменная X</t>
  </si>
  <si>
    <t>Коэффициенты</t>
  </si>
  <si>
    <t>График остатков</t>
  </si>
  <si>
    <t>График подбора</t>
  </si>
  <si>
    <t>График нормального распределения</t>
  </si>
  <si>
    <t>Персентиль выборки</t>
  </si>
  <si>
    <t>Вычисление</t>
  </si>
  <si>
    <t>ЛОЖЬ</t>
  </si>
  <si>
    <t>ИСТИНА</t>
  </si>
  <si>
    <t xml:space="preserve"> - мало памяти для выполнения вычислений.</t>
  </si>
  <si>
    <t xml:space="preserve"> - параметр Альфа должен быть числом в диапазоне 0..1.</t>
  </si>
  <si>
    <t xml:space="preserve"> - требуется вероятность Бернулли (число в диапазоне 0..1).</t>
  </si>
  <si>
    <t xml:space="preserve"> - требуется биномиальная вероятность (число в диапазоне 0..1).</t>
  </si>
  <si>
    <t xml:space="preserve"> - требуются биномиальные испытания (целое положительное число)</t>
  </si>
  <si>
    <t xml:space="preserve"> - интервал карманов не может быть пустым..</t>
  </si>
  <si>
    <t xml:space="preserve"> - интервал карманов должен быть ссылкой (либо не задан).</t>
  </si>
  <si>
    <t xml:space="preserve"> - интервал карманов не должен содержать нечисловых данных.</t>
  </si>
  <si>
    <t xml:space="preserve"> - интервал карманов и входной интервал пересекаются.</t>
  </si>
  <si>
    <t xml:space="preserve"> - интервал карманов и выходной интервал пересекаются.</t>
  </si>
  <si>
    <t xml:space="preserve"> - невозможно нарисовать график для пустых карманов.</t>
  </si>
  <si>
    <t xml:space="preserve"> - параметр Вывод графика должен иметь логическое значение.</t>
  </si>
  <si>
    <t xml:space="preserve"> - параметр Константа должен иметь логическое значение.</t>
  </si>
  <si>
    <t xml:space="preserve"> - параметр Интегральный процент должен иметь логическое значение.</t>
  </si>
  <si>
    <t xml:space="preserve"> - параметр Инверсия должен иметь логическое значение.</t>
  </si>
  <si>
    <t xml:space="preserve"> - параметр График подбора должен иметь логическое значение.</t>
  </si>
  <si>
    <t xml:space="preserve"> - параметр Метка должен иметь логическое значение.</t>
  </si>
  <si>
    <t xml:space="preserve"> - параметр Парето должен иметь логическое значение.</t>
  </si>
  <si>
    <t xml:space="preserve"> - параметр График нормального распределения должен иметь логическое значение.</t>
  </si>
  <si>
    <t xml:space="preserve"> - параметр График остатков должен иметь логическое значение.</t>
  </si>
  <si>
    <t xml:space="preserve"> - параметр Остатки должен иметь логическое значение.</t>
  </si>
  <si>
    <t xml:space="preserve"> - параметр Вывод стандартных погрешностей должен иметь логическое значение.</t>
  </si>
  <si>
    <t xml:space="preserve"> - параметр Стандартные остатки должен иметь логическое значение.</t>
  </si>
  <si>
    <t xml:space="preserve"> - параметр Итоговая статистика должен иметь логическое значение.</t>
  </si>
  <si>
    <t xml:space="preserve"> - невозможно преобразовать входной или выходной интервал в правильную ссылку.</t>
  </si>
  <si>
    <t xml:space="preserve"> - невозможно создать относительную ссылку между интервалами.</t>
  </si>
  <si>
    <t xml:space="preserve"> - часть данных будет скрыта внедренным графиком (графиками).</t>
  </si>
  <si>
    <t xml:space="preserve"> - невозможно нарисовать график (график не помещается на рабочем листе).</t>
  </si>
  <si>
    <t xml:space="preserve"> - остановка расчета: нажмите кнопку 'OK', чтобы прервать расчет или  'Отмена' - для продолжения.</t>
  </si>
  <si>
    <t xml:space="preserve"> - параметр Уровень надежности должен быть числом в диапазоне от 0 до 100</t>
  </si>
  <si>
    <t xml:space="preserve"> - невозможно преобразовать входной интервал в значения и вероятности.</t>
  </si>
  <si>
    <t xml:space="preserve"> - параметр Фактор затухания должен быть числовым.</t>
  </si>
  <si>
    <t xml:space="preserve"> - параметр Фактор затухания должен быть положительным числом.</t>
  </si>
  <si>
    <t xml:space="preserve"> - сумма чисел в столбце дискретной вероятности должна равняться 1.</t>
  </si>
  <si>
    <t xml:space="preserve"> - укажите входной интервал из двух столбцов для дискретных значений и вероятностей.</t>
  </si>
  <si>
    <t xml:space="preserve"> - укажите входной интервал с более чем одним значением и вероятностью.</t>
  </si>
  <si>
    <t xml:space="preserve"> - интервалы дискретных значений и вероятностей должны быть одного размера и содержать только числовые данные.</t>
  </si>
  <si>
    <t xml:space="preserve"> - интервалы дискретных значений и вероятностей не могут перекрывать выходной интервал.</t>
  </si>
  <si>
    <t xml:space="preserve"> - если выбран параметр Стандартные погрешности, входной интервал должен содержать не менее 5 точек данных.</t>
  </si>
  <si>
    <t xml:space="preserve"> - задано слишком много аргументов. Проверьте синтаксис функции СЛУЧ().</t>
  </si>
  <si>
    <t xml:space="preserve"> - входной интервал для X не может содержать более 16 переменных (столбцов).</t>
  </si>
  <si>
    <t xml:space="preserve"> - число входных значений должно быть степенью числа 2. Например : 2, 4, 8, 16,  32, 64, 128, ...</t>
  </si>
  <si>
    <t xml:space="preserve"> - число входных значений не должно превышать 4096.</t>
  </si>
  <si>
    <t xml:space="preserve"> - чтобы указать, как упорядочены группы данных, используйте "C" для столбцов, "R" для строк.</t>
  </si>
  <si>
    <t xml:space="preserve"> - входной интервал должен содержать два или более блоков данных, упорядоченных по строкам или столбцам.</t>
  </si>
  <si>
    <t xml:space="preserve"> - входной интервал дожен быть ссылкой на непрерывную область.</t>
  </si>
  <si>
    <t xml:space="preserve"> - введите пропущенный входной интервал.</t>
  </si>
  <si>
    <t xml:space="preserve"> - входной и выходной интервалы перекрываются!  Повторите ввод.</t>
  </si>
  <si>
    <t xml:space="preserve"> - входной интервал должен содержать по крайней мере одну точку данных.</t>
  </si>
  <si>
    <t xml:space="preserve"> - параметр Интервал должен быть числовым.</t>
  </si>
  <si>
    <t xml:space="preserve"> - параметр Интервал должен быть положительным числом.</t>
  </si>
  <si>
    <t xml:space="preserve"> - параметр Интервал не может быть больше числа точек данных.</t>
  </si>
  <si>
    <t xml:space="preserve"> - входной интервал содержит недопустимое комплексное число.  Комплексное число должно иметь вид x+yi или x+yj</t>
  </si>
  <si>
    <t xml:space="preserve"> - все комлексные числа должны иметь одинаковые суффиксы - либо "i", либо "j".</t>
  </si>
  <si>
    <t xml:space="preserve"> - параметр K-ый наибольший должен быть целым числом, большим 0, и не превышать числа точек данных.</t>
  </si>
  <si>
    <t xml:space="preserve"> - параметр K-ый наименьший должен быть целым числом, большим 0, и не превышать числа точек данных.</t>
  </si>
  <si>
    <t xml:space="preserve"> - функция ЛИНЕЙН() обнаружила ошибку. Проверьте входной интервал.</t>
  </si>
  <si>
    <t xml:space="preserve"> - средняя разность должна быть положительным числом.</t>
  </si>
  <si>
    <t xml:space="preserve"> - функции требуется большее количество аргументов.</t>
  </si>
  <si>
    <t xml:space="preserve"> - входной и выходной интервалы должны находиться на одном листе.</t>
  </si>
  <si>
    <t xml:space="preserve"> - входной и выходной интервалы должны быть связными.</t>
  </si>
  <si>
    <t xml:space="preserve"> - входной интервал должен быть либо строкой, либо столбцом.</t>
  </si>
  <si>
    <t xml:space="preserve"> - входные интервалы должны иметь одинаковое число точек данных.</t>
  </si>
  <si>
    <t xml:space="preserve"> - входной интервал должен содержать по крайне мере 4 точки данных.</t>
  </si>
  <si>
    <t>#Н/Д</t>
  </si>
  <si>
    <t xml:space="preserve"> - невозможно создать новую рабочую книгу.</t>
  </si>
  <si>
    <t xml:space="preserve"> - невозможно разместить результат вывода. Проверьте установку защиты рабочей книги.</t>
  </si>
  <si>
    <t>Невозможно открыть основное окно Пакета анализа. Обратитесь за помощью в службу поддержки.</t>
  </si>
  <si>
    <t>Невозможно открыть окно диалога для выбранной процедуры. Обратитесь за помощью в службу поддержки.</t>
  </si>
  <si>
    <t xml:space="preserve"> - входной интервал содержит нечисловые данные.</t>
  </si>
  <si>
    <t xml:space="preserve"> - требуется нормальное среднее (число).</t>
  </si>
  <si>
    <t xml:space="preserve"> - требуется нормальное стандартное отклонение (число, отличное от 0).</t>
  </si>
  <si>
    <t xml:space="preserve"> - число выборок должно быть целым положительным числом.</t>
  </si>
  <si>
    <t xml:space="preserve"> - введите число случайных выборок.</t>
  </si>
  <si>
    <t xml:space="preserve"> - ошибка при настройке входной или выходной ссылки.</t>
  </si>
  <si>
    <t xml:space="preserve"> - невозможно открыть лист ресурсов.</t>
  </si>
  <si>
    <t xml:space="preserve"> - неверный параметр вывода.</t>
  </si>
  <si>
    <t xml:space="preserve"> - выходной интервал должен быть допустимой ссылкой.</t>
  </si>
  <si>
    <t xml:space="preserve"> - введите пропущенный выходной интервал.</t>
  </si>
  <si>
    <t xml:space="preserve"> - выходная таблица не поместится на рабочем листе. Выберите другую ссылку.</t>
  </si>
  <si>
    <t xml:space="preserve"> - выходной интервал накладывается на уже имеющиеся данные. Нажмите OK, чтобы перезаписать данные в интервале:</t>
  </si>
  <si>
    <t xml:space="preserve"> - при данных начальном значении и шаге невозможно достигнуть конечного значения.</t>
  </si>
  <si>
    <t xml:space="preserve"> - требуется начальное значение (число).</t>
  </si>
  <si>
    <t xml:space="preserve"> - требуется значение шага (число, не равное нулю).</t>
  </si>
  <si>
    <t xml:space="preserve"> - требуется конечное значение (число).</t>
  </si>
  <si>
    <t xml:space="preserve"> - требуется задание числа повторений (целое число, большее нуля).</t>
  </si>
  <si>
    <t xml:space="preserve"> - требуется задание числа повторений последовательностей (целое число, большее нуля).</t>
  </si>
  <si>
    <t xml:space="preserve"> - периодический интервал дожен быть целым числом, большим нуля.</t>
  </si>
  <si>
    <t xml:space="preserve"> - введите периодический интервал для выборки.</t>
  </si>
  <si>
    <t xml:space="preserve"> - периодический интервал не должен превышать числа значений во входном интервале.</t>
  </si>
  <si>
    <t xml:space="preserve"> - требуется параметр Лямбда для распределения Пуассона (число, большее 0).</t>
  </si>
  <si>
    <t xml:space="preserve"> - требуется тип распределения (целое число в диапазоне 0..7).</t>
  </si>
  <si>
    <t xml:space="preserve"> - параметр Число случайных чисел должен быть целым, большим нуля.</t>
  </si>
  <si>
    <t xml:space="preserve"> - дискретное распределение: невозможно найти соответствующее значение для случайно выбранной вероятности.</t>
  </si>
  <si>
    <t xml:space="preserve"> - параметр Число переменных должен быть целым, большим нуля.</t>
  </si>
  <si>
    <t xml:space="preserve"> - выберите по крайней мере один статистический параметр.</t>
  </si>
  <si>
    <t xml:space="preserve"> - введите Число строк для выборки.</t>
  </si>
  <si>
    <t xml:space="preserve"> - параметр Число строк для выборки должен быть целым, большим нуля.</t>
  </si>
  <si>
    <t xml:space="preserve"> - все выборки должны содержать одинаковое число строк.</t>
  </si>
  <si>
    <t xml:space="preserve"> - интервал для X и интервал для Y должны иметь одинаковое число строк (значения выборки), независимо от меток.</t>
  </si>
  <si>
    <t xml:space="preserve"> - недопустимый метод выборки. Введите "П" для периодического метода или "С" для случайного.</t>
  </si>
  <si>
    <t xml:space="preserve"> - требуется задание метода выборки.</t>
  </si>
  <si>
    <t xml:space="preserve"> - параметр Рассеивание должен быть целым числом в диапазоне 1..32767.</t>
  </si>
  <si>
    <t xml:space="preserve"> - невозможно внести изменения в защищенный лист.</t>
  </si>
  <si>
    <t xml:space="preserve"> - требуется задание границ равномерного распределения (числовые значения).</t>
  </si>
  <si>
    <t xml:space="preserve"> - ОБА интервала переменных должны быть строками или столбцами.</t>
  </si>
  <si>
    <t xml:space="preserve"> - интервалы переменных должны иметь одинаковое число точек данных.</t>
  </si>
  <si>
    <t xml:space="preserve"> - интервалы переменных должны содержать хотя бы по две точки данных.</t>
  </si>
  <si>
    <t xml:space="preserve"> - интервал переменной 1 должен быть ссылкой на связную область.</t>
  </si>
  <si>
    <t xml:space="preserve"> - пропущен интервал переменной 1.</t>
  </si>
  <si>
    <t xml:space="preserve"> - интервалы переменных 1 и 2 не должны перекрываться.</t>
  </si>
  <si>
    <t xml:space="preserve"> - интервал переменной 1 и выходной интервал не должны перекрываться.</t>
  </si>
  <si>
    <t xml:space="preserve"> - интервал переменной 2 должен быть ссылкой на связную область.</t>
  </si>
  <si>
    <t xml:space="preserve"> - пропущен интервал переменной 2.</t>
  </si>
  <si>
    <t xml:space="preserve"> - интервал переменной 2 и выходной интервал не должны перекрываться.</t>
  </si>
  <si>
    <t xml:space="preserve"> - тип распределения должен быть числом в диапазоне от 1 до 7.</t>
  </si>
  <si>
    <t xml:space="preserve"> - интервал для X и выходной интервал перекрываются. Введите другой выходной интервал.</t>
  </si>
  <si>
    <t xml:space="preserve"> - интервал для X должен быть ссылкой на связную область.</t>
  </si>
  <si>
    <t xml:space="preserve"> - введите пропущенный входной интервал для X.</t>
  </si>
  <si>
    <t xml:space="preserve"> - число строк и столбцов в интервале для X не может быть одинаковым.</t>
  </si>
  <si>
    <t xml:space="preserve"> - интервалы для X и Y не должны перекрываться.</t>
  </si>
  <si>
    <t xml:space="preserve"> - интервал для Y и выходной интервал перекрываются. Введите другой выходной интервал.</t>
  </si>
  <si>
    <t xml:space="preserve"> - интервал для Y должен быть ссылкой на связную область.</t>
  </si>
  <si>
    <t xml:space="preserve"> - введите пропущенный входной интервал для Y.</t>
  </si>
  <si>
    <t xml:space="preserve"> - дисперсия 1 должна быть числом, большим нуля.</t>
  </si>
  <si>
    <t xml:space="preserve"> - дисперсия 2 должна быть числом, большим нуля.</t>
  </si>
  <si>
    <t xml:space="preserve"> - Нет доступа к объектам ActiveX книги Excel.  Обратитесь за справкой в службу сопровождения.</t>
  </si>
  <si>
    <t xml:space="preserve"> - Невозможно добавить диаграмму в книгу Excel совместного доступа.  Продолжить создание выходной таблицы?</t>
  </si>
  <si>
    <t>Dataanalys</t>
  </si>
  <si>
    <t>Anova: En faktor</t>
  </si>
  <si>
    <t>Beskrivande statistik</t>
  </si>
  <si>
    <t>Exponentiell utjämning</t>
  </si>
  <si>
    <t>F-test: Två sampel antar olika varianser</t>
  </si>
  <si>
    <t>Slumptalsgenerering</t>
  </si>
  <si>
    <t>&amp;Analysverktyg</t>
  </si>
  <si>
    <t>Indata</t>
  </si>
  <si>
    <t>Utdataalternativ</t>
  </si>
  <si>
    <t>&amp;Indataområde:</t>
  </si>
  <si>
    <t>&amp;Y-indataområde:</t>
  </si>
  <si>
    <t>&amp;Skriv över data i området:</t>
  </si>
  <si>
    <t>Antal &amp;slumptal:</t>
  </si>
  <si>
    <t>Gruppera efter:</t>
  </si>
  <si>
    <t>&amp;X-indataområde:</t>
  </si>
  <si>
    <t>Skriv till nytt om&amp;råde:</t>
  </si>
  <si>
    <t>Grupperad av:</t>
  </si>
  <si>
    <t>&amp;Dämpningsfaktor:</t>
  </si>
  <si>
    <t>Nytt kalkylblad &amp;flik:</t>
  </si>
  <si>
    <t>Samplingsmetod</t>
  </si>
  <si>
    <t>&amp;Fördelning:</t>
  </si>
  <si>
    <t>&amp;Etiketter i första kolumnen</t>
  </si>
  <si>
    <t>&amp;Kolumner</t>
  </si>
  <si>
    <t>E&amp;tiketter</t>
  </si>
  <si>
    <t>Ny &amp;arbetsbok</t>
  </si>
  <si>
    <t>&amp;Etiketter på första raden</t>
  </si>
  <si>
    <t>Konstanten är &amp;noll</t>
  </si>
  <si>
    <t>Skriver information till icke-tomma celler: data kan gå förlorad!</t>
  </si>
  <si>
    <t>Parametrar</t>
  </si>
  <si>
    <t>&amp;Etiketter i första raden</t>
  </si>
  <si>
    <t>&amp;Slumpvis</t>
  </si>
  <si>
    <t>Datum&amp; och tid</t>
  </si>
  <si>
    <t>Nytt kalkyl&amp;blad:</t>
  </si>
  <si>
    <t>Hjälp</t>
  </si>
  <si>
    <t>Ny arbetsb&amp;ok</t>
  </si>
  <si>
    <t>Antal sampel:</t>
  </si>
  <si>
    <t>Matem&amp;. och trigon.</t>
  </si>
  <si>
    <t>Ny a&amp;rbetsbok</t>
  </si>
  <si>
    <t>Finans</t>
  </si>
  <si>
    <t>Di&amp;agramutdata</t>
  </si>
  <si>
    <t>&amp;Standardfel</t>
  </si>
  <si>
    <t>&amp;Summeringsstatistik</t>
  </si>
  <si>
    <t>För&amp;troendenivå för medelvärdet:</t>
  </si>
  <si>
    <t>&amp;Indataområde med värden och sannolikheter:</t>
  </si>
  <si>
    <t>Anova: Två faktorer med reproducering</t>
  </si>
  <si>
    <t>Anova: Två faktorer utan reproducering</t>
  </si>
  <si>
    <t>&amp;Standardiserade residualer</t>
  </si>
  <si>
    <t>N:te störst&amp;a:</t>
  </si>
  <si>
    <t>Slumptalsfr&amp;ö:</t>
  </si>
  <si>
    <t>SAMMANFATTNING</t>
  </si>
  <si>
    <t>R&amp;esidualdiagram</t>
  </si>
  <si>
    <t>t-test: Parat två-sampel för medelvärde</t>
  </si>
  <si>
    <t>Regress&amp;ionsdiagram</t>
  </si>
  <si>
    <t>N:te &amp;minsta:</t>
  </si>
  <si>
    <t>Normalsannolikhet</t>
  </si>
  <si>
    <t>Nor&amp;malsannolikhetskurva</t>
  </si>
  <si>
    <t>Medelvärde</t>
  </si>
  <si>
    <t>Variationsursprung</t>
  </si>
  <si>
    <t>Ra&amp;der per sampel:</t>
  </si>
  <si>
    <t>KvS</t>
  </si>
  <si>
    <t>A&amp;ntagen medelvärdesskillnad:</t>
  </si>
  <si>
    <t>MKv</t>
  </si>
  <si>
    <t>p-värde</t>
  </si>
  <si>
    <t>Mellan grupper</t>
  </si>
  <si>
    <t>Inom grupper</t>
  </si>
  <si>
    <t>Sampel</t>
  </si>
  <si>
    <t>Kolumn</t>
  </si>
  <si>
    <t>Rang och percentil</t>
  </si>
  <si>
    <t>&amp;Mellan</t>
  </si>
  <si>
    <t>Inom</t>
  </si>
  <si>
    <t>&amp;och</t>
  </si>
  <si>
    <t>Kolumner</t>
  </si>
  <si>
    <t>Fel</t>
  </si>
  <si>
    <t>t-test: Två sampel antar lika varians</t>
  </si>
  <si>
    <t>Frå&amp;n</t>
  </si>
  <si>
    <t>Standardfel</t>
  </si>
  <si>
    <t>Medianvärde</t>
  </si>
  <si>
    <t>&amp;till</t>
  </si>
  <si>
    <t>Typvärde</t>
  </si>
  <si>
    <t>Standardavvikelse</t>
  </si>
  <si>
    <t>i st&amp;eg om</t>
  </si>
  <si>
    <t>Toppighet</t>
  </si>
  <si>
    <t>upprepa v&amp;arje tal</t>
  </si>
  <si>
    <t>Snedhet</t>
  </si>
  <si>
    <t>Variationsvidd</t>
  </si>
  <si>
    <t>gånger</t>
  </si>
  <si>
    <t>upprepa se&amp;kvensen</t>
  </si>
  <si>
    <t>Största</t>
  </si>
  <si>
    <t>Minsta</t>
  </si>
  <si>
    <t>Konfidensnivå</t>
  </si>
  <si>
    <t>Glidande medelvärde</t>
  </si>
  <si>
    <t>Fourieranalys</t>
  </si>
  <si>
    <t>Verklig</t>
  </si>
  <si>
    <t>Prognos</t>
  </si>
  <si>
    <t>Värde</t>
  </si>
  <si>
    <t>&amp;Medelvärde =</t>
  </si>
  <si>
    <t>Fack</t>
  </si>
  <si>
    <t>Standard&amp;avvikelse =</t>
  </si>
  <si>
    <t>Kumulativa procenttal</t>
  </si>
  <si>
    <t>t-test: Två sampel antar olika varianser</t>
  </si>
  <si>
    <t>Fler</t>
  </si>
  <si>
    <t>I&amp;ntervall:</t>
  </si>
  <si>
    <t>F-test: två sampel för varianser</t>
  </si>
  <si>
    <t>I&amp;nvers</t>
  </si>
  <si>
    <t>P(F&gt;F-obs)</t>
  </si>
  <si>
    <t>F-kritisk</t>
  </si>
  <si>
    <t>Antagen medelvärdesskillnad</t>
  </si>
  <si>
    <t>&amp;Diagramutdata</t>
  </si>
  <si>
    <t>Parad varians</t>
  </si>
  <si>
    <t>p-v&amp;ärde =</t>
  </si>
  <si>
    <t>P(T&lt;=t) tvåsidig</t>
  </si>
  <si>
    <t>t-kvot</t>
  </si>
  <si>
    <t>t-kritisk ensidig</t>
  </si>
  <si>
    <t>t-kritisk tvåsidig</t>
  </si>
  <si>
    <t>&amp;Fackområde:</t>
  </si>
  <si>
    <t>z-test: Två sampel för medelvärden</t>
  </si>
  <si>
    <t>Känd varians</t>
  </si>
  <si>
    <t>z-kritisk ensidig</t>
  </si>
  <si>
    <t>P(Z&lt;=z) tvåsidig</t>
  </si>
  <si>
    <t>&amp;Antal försök =</t>
  </si>
  <si>
    <t>z-kritisk tvåsidig</t>
  </si>
  <si>
    <t>P&amp;areto (sorterat histogram)</t>
  </si>
  <si>
    <t>Ku&amp;mulativa procenttal</t>
  </si>
  <si>
    <t>Slumptal generering</t>
  </si>
  <si>
    <t>Likformig</t>
  </si>
  <si>
    <t>Varians &amp;variabel 1 (känd):</t>
  </si>
  <si>
    <t>Varians var&amp;iabel 2 (känd):</t>
  </si>
  <si>
    <t>Upprepning</t>
  </si>
  <si>
    <t>RESIDUALUTDATA</t>
  </si>
  <si>
    <t>Uppskattat</t>
  </si>
  <si>
    <t>Skattat Y</t>
  </si>
  <si>
    <t>Standardiserade residual</t>
  </si>
  <si>
    <t>FÖRDELNING FÖR Y</t>
  </si>
  <si>
    <t>UTDATASAMMANFATTNING</t>
  </si>
  <si>
    <t>Multipel-R</t>
  </si>
  <si>
    <t>Justerad R-kvadrat</t>
  </si>
  <si>
    <t>p-värde för F</t>
  </si>
  <si>
    <t>Konstant</t>
  </si>
  <si>
    <t>Övre</t>
  </si>
  <si>
    <t>Övre 95%</t>
  </si>
  <si>
    <t xml:space="preserve"> residualdiagram</t>
  </si>
  <si>
    <t>Regressionskurva</t>
  </si>
  <si>
    <t>Normalsannolikhetskurva</t>
  </si>
  <si>
    <t>Sampelpercentil</t>
  </si>
  <si>
    <t>Beräknar</t>
  </si>
  <si>
    <t>FALSKT</t>
  </si>
  <si>
    <t>SANT</t>
  </si>
  <si>
    <t xml:space="preserve"> - Minnesallokering för beräkningen misslyckades. Försök igen.</t>
  </si>
  <si>
    <t xml:space="preserve"> -  Alfa måste vara ett tal i intervallet 0 .. 1.</t>
  </si>
  <si>
    <t xml:space="preserve"> - Kräver Bernoulli-sannolikhet och måste vara ett tal mellan 0 och 1. (TEST)</t>
  </si>
  <si>
    <t xml:space="preserve"> - Kräver binomialsannolikhet och måste vara ett tal mellan 0 .. 1.</t>
  </si>
  <si>
    <t xml:space="preserve"> - Kräver binomialförsök och måste vara ett heltal större än noll.</t>
  </si>
  <si>
    <t xml:space="preserve"> - Fackområdet kan inte vara tomt.</t>
  </si>
  <si>
    <t xml:space="preserve"> - Fackområdet kan uteslutas. Om det anges måste fackområdet vara en referens.</t>
  </si>
  <si>
    <t xml:space="preserve"> - Fackområdet kan inte innehålla icke-numeriska data.</t>
  </si>
  <si>
    <t xml:space="preserve"> - Fackområde och inområde överlappar varandra.</t>
  </si>
  <si>
    <t xml:space="preserve"> - Fackområde och utområde överlappar varandra.</t>
  </si>
  <si>
    <t xml:space="preserve"> - Kan inte rita diagram med tomma fack.</t>
  </si>
  <si>
    <t xml:space="preserve"> - Diagramutdata måste vara ett logiskt värde.</t>
  </si>
  <si>
    <t xml:space="preserve"> - Konstant måste vara ett logiskt värde.</t>
  </si>
  <si>
    <t xml:space="preserve"> - Kumulativ procent bör vara ett logiskt värde.</t>
  </si>
  <si>
    <t xml:space="preserve"> - Inversen måste vara ett logiskt värde.</t>
  </si>
  <si>
    <t xml:space="preserve"> - Regressionskurva måste vara ett logiskt värde.</t>
  </si>
  <si>
    <t xml:space="preserve"> - Etikett måste vara ett logiskt värde.</t>
  </si>
  <si>
    <t xml:space="preserve"> - Pareto bör vara ett logiskt värde.</t>
  </si>
  <si>
    <t xml:space="preserve"> - Normala sannolikhetskurvor måste vara ett logiskt värde.</t>
  </si>
  <si>
    <t xml:space="preserve"> - Residualdiagram måste vara ett logiskt värde.</t>
  </si>
  <si>
    <t xml:space="preserve"> - Residualer måste vara ett logiskt värde.</t>
  </si>
  <si>
    <t xml:space="preserve"> - Utdata för standardfel måste vara ett logiskt värde.</t>
  </si>
  <si>
    <t xml:space="preserve"> - Standardresidualer måste vara ett logiskt värde.</t>
  </si>
  <si>
    <t xml:space="preserve"> - Sammanfattande statistik måste vara ett logiskt värde.</t>
  </si>
  <si>
    <t xml:space="preserve"> - Område för in- och utdata går inte att konvertera till en giltig referens!</t>
  </si>
  <si>
    <t xml:space="preserve"> - Relativ referens går inte att skapa mellan områden.</t>
  </si>
  <si>
    <t xml:space="preserve"> - En del data kommer att döljas av inbäddade diagram.</t>
  </si>
  <si>
    <t xml:space="preserve"> - Diagrammet går inte att rita eftersom det refererar utanför kalkylbladet.</t>
  </si>
  <si>
    <t xml:space="preserve"> - Är du säker på att du vill avbryta den här beräkningen?</t>
  </si>
  <si>
    <t xml:space="preserve"> - Konfidens måste vara ett tal mellan 0 och 100.</t>
  </si>
  <si>
    <t xml:space="preserve"> - Indataområdet kan inte konverteras till värden och sannolikheter. Försök igen.</t>
  </si>
  <si>
    <t xml:space="preserve"> - Dämpningsfaktor måste vara numerisk.</t>
  </si>
  <si>
    <t xml:space="preserve"> - Dämpningsfaktor måste vara ett positivt tal.</t>
  </si>
  <si>
    <t xml:space="preserve"> - Tal i en diskret sannolikhetskolumn måste bilda summan 1.</t>
  </si>
  <si>
    <t xml:space="preserve"> - Ange ett område med två kolumner för indataområdet Diskret värde och sannolikhet.</t>
  </si>
  <si>
    <t xml:space="preserve"> - Indataområdet måste innehålla minst 5 datapunkter då standardfel kontrolleras.</t>
  </si>
  <si>
    <t xml:space="preserve"> - För många argument. Kontrollera syntaxen för funktionen SLUMP().</t>
  </si>
  <si>
    <t xml:space="preserve"> - X-indataområdet kan inte innehålla fler än 16 variabler (kolumner).</t>
  </si>
  <si>
    <t xml:space="preserve"> - Antalet indatavärden måste vara en jämn 2-potens. Till exempel: 2, 4, 8, 16,  32, 64, 128,...</t>
  </si>
  <si>
    <t xml:space="preserve"> - Antalet indatavärden måste vara 4096 eller färre.</t>
  </si>
  <si>
    <t xml:space="preserve"> - Ange hur grupper av data är grupperade genom att använda "C" för kolumner och "R" för rader.</t>
  </si>
  <si>
    <t xml:space="preserve"> - Indataområdet ska innehålla två eller fler datablock arrangerade i rader eller kolumner.</t>
  </si>
  <si>
    <t xml:space="preserve"> - Indataområdet måste referera till ett kontinuerligt område.</t>
  </si>
  <si>
    <t xml:space="preserve"> - Indataområde saknas. Ange område.</t>
  </si>
  <si>
    <t xml:space="preserve"> - Indata- och utdataområdena överlappar varandra.  Ange nya områden.</t>
  </si>
  <si>
    <t xml:space="preserve"> - Indataområdet måste innehålla åtminstone en datapunkt.</t>
  </si>
  <si>
    <t xml:space="preserve"> - Intervallet måste vara numeriskt.</t>
  </si>
  <si>
    <t xml:space="preserve"> - Intervallet måste vara ett positivt heltal.</t>
  </si>
  <si>
    <t xml:space="preserve"> - Intervallet kan inte vara större än datapunkterna.</t>
  </si>
  <si>
    <t xml:space="preserve"> - Indataområdet innehåller ogiltigt komplext tal.  Komplexa tal ska ha formen x+yi eller x+yj</t>
  </si>
  <si>
    <t xml:space="preserve"> - Alla komplexa tal måste ha samma suffix, antingen "i" eller "j".</t>
  </si>
  <si>
    <t xml:space="preserve"> - N:te största måste vara ett positivt heltal större än 0 och får inte vara större än antalet datapunkter.</t>
  </si>
  <si>
    <t xml:space="preserve"> - N:te minsta måste vara ett positivt heltal större än 0 och får inte vara större än antalet datapunkter.</t>
  </si>
  <si>
    <t xml:space="preserve"> - LINEST()-funktionen returnerar ett fel. Kontrollera indataområdet.</t>
  </si>
  <si>
    <t xml:space="preserve"> - Medelvärdesskillnaden måste vara ett positivt tal.</t>
  </si>
  <si>
    <t xml:space="preserve"> - Funktionen kräver fler argument.</t>
  </si>
  <si>
    <t xml:space="preserve"> - Indata- och utdataområden måste vara på samma kalkylblad.</t>
  </si>
  <si>
    <t xml:space="preserve"> - Indata/utdataområde måste vara en sammanhållen cellarea.</t>
  </si>
  <si>
    <t xml:space="preserve"> - Indataområdet måste vara en rad eller en kolumn.</t>
  </si>
  <si>
    <t xml:space="preserve"> - Indataområden måste ha samma antal datavärden.</t>
  </si>
  <si>
    <t xml:space="preserve"> - Indataområdet måste innehålla minst 4 datavärden.</t>
  </si>
  <si>
    <t>#Saknas!</t>
  </si>
  <si>
    <t xml:space="preserve"> - Ny arbetsbok kan inte skapas.</t>
  </si>
  <si>
    <t xml:space="preserve"> - Kan inte skapa nytt blad för utdata.</t>
  </si>
  <si>
    <t xml:space="preserve">  Kan inte hitta huvuddialogrutan för ATP. Kontakta kundservice för hjälp.</t>
  </si>
  <si>
    <t xml:space="preserve">  Kan inte hitta dialogrutan för vald procedur. Kontakta kundservice för hjälp.</t>
  </si>
  <si>
    <t xml:space="preserve"> - Indataområdet innehåller icke-numeriska data.</t>
  </si>
  <si>
    <t xml:space="preserve"> - Normalt medelvärde krävs och måste vara numeriskt.</t>
  </si>
  <si>
    <t xml:space="preserve"> - Normal standardavvikelse krävs och måste vara ett tal skilt från noll.</t>
  </si>
  <si>
    <t xml:space="preserve"> - Antal sampel måste vara ett heltal större än noll.</t>
  </si>
  <si>
    <t xml:space="preserve"> - Skriv in antalet slumpsampel.</t>
  </si>
  <si>
    <t xml:space="preserve"> - Svårigheter med indata- och utdatareferenser.</t>
  </si>
  <si>
    <t xml:space="preserve"> - Kan inte öppna resursblad</t>
  </si>
  <si>
    <t xml:space="preserve"> - Felaktigt utdataalternativ.</t>
  </si>
  <si>
    <t xml:space="preserve"> - Utdataområdet måste vara en giltig referens.</t>
  </si>
  <si>
    <t xml:space="preserve"> - Utdataområde fattas. Skriv in.</t>
  </si>
  <si>
    <t xml:space="preserve"> - Uppskattad utdatatabell är större än hela kalkylbladet. Välj en annan referens.</t>
  </si>
  <si>
    <t xml:space="preserve"> - Utdataområdet överlappar existerande data. Välj OK om du vill skriva över data i området:</t>
  </si>
  <si>
    <t xml:space="preserve"> - Upprepning start blir aldrig stopp med angivet steg.</t>
  </si>
  <si>
    <t xml:space="preserve"> - Upprepning start krävs och måsta vara numerisk.</t>
  </si>
  <si>
    <t xml:space="preserve"> - Upprepning steg krävs och måsta vara ett tal skilt från noll.</t>
  </si>
  <si>
    <t xml:space="preserve"> - Upprepning stopp krävs och måste vara numerisk.</t>
  </si>
  <si>
    <t xml:space="preserve"> - Upprepning repetera värde krävs och måste vara ett heltal större än noll.</t>
  </si>
  <si>
    <t xml:space="preserve"> - Upprepning repetera sekvens krävs och måste vara ett heltal störra än noll</t>
  </si>
  <si>
    <t xml:space="preserve"> - Periodintervall måste vara ett heltal större än noll.</t>
  </si>
  <si>
    <t xml:space="preserve"> - Skriv in periodintervallet för sampling.</t>
  </si>
  <si>
    <t xml:space="preserve"> - Periodintervallet kan inte vara större än antalet värden i indataområdet.</t>
  </si>
  <si>
    <t xml:space="preserve"> - Poisson-lambda krävs och måste vara ett tal större än noll.</t>
  </si>
  <si>
    <t xml:space="preserve"> - Fördelningstyp krävs. Det ska vara ett heltal mellan 1 och 7.</t>
  </si>
  <si>
    <t xml:space="preserve"> - Antal slumpvärden måste vara ett heltal större än noll.</t>
  </si>
  <si>
    <t xml:space="preserve"> - Diskret fördelning: kan inte hitta matchande värde till slumpmässigt vald sannolikhet.</t>
  </si>
  <si>
    <t xml:space="preserve"> - Antal variabler måste vara ett heltal större än noll.</t>
  </si>
  <si>
    <t xml:space="preserve"> - Välj minst ett statistikalternativ.</t>
  </si>
  <si>
    <t xml:space="preserve"> - Rader per sampel krävs. Skriv in.</t>
  </si>
  <si>
    <t xml:space="preserve"> - Rader per sampel måste vara ett heltal större än noll.</t>
  </si>
  <si>
    <t xml:space="preserve"> - Varje sampel måste innehålla samma antal rader.</t>
  </si>
  <si>
    <t xml:space="preserve"> - X- och Y-områden måste ha lika antal rader (sampelvärden), oavsett etiketter.</t>
  </si>
  <si>
    <t xml:space="preserve"> - Ogiltig samplingsmetod. Skriv in "P" (periodisk sampling) eller "R" (slumpmässig sampling).</t>
  </si>
  <si>
    <t xml:space="preserve"> - Samplingsmetod krävs.  Skriv in.</t>
  </si>
  <si>
    <t xml:space="preserve"> - Fröet måste vara ett heltal mellan 1 och 32767.</t>
  </si>
  <si>
    <t xml:space="preserve"> - Utdataområdet är på ett skyddat blad. Det går inte att skriva på ett skyddat blad.</t>
  </si>
  <si>
    <t xml:space="preserve"> - Likformig begränsning krävs och måste vara numerisk.</t>
  </si>
  <si>
    <t xml:space="preserve"> - BÅDA variabelområdena måste vara rader eller kolumner.</t>
  </si>
  <si>
    <t xml:space="preserve"> - Variabelområden måste ha lika antal datapunkter.</t>
  </si>
  <si>
    <t xml:space="preserve"> - Variabelområden måste ha minst två datapunkter.</t>
  </si>
  <si>
    <t xml:space="preserve"> - Variabel 1-område måste vara en sammanhållen referens.</t>
  </si>
  <si>
    <t xml:space="preserve"> - Variabel 1-område fattas. Skriv in.</t>
  </si>
  <si>
    <t xml:space="preserve"> - Variabel 1 och 2s områden får inte överlappa varandra.</t>
  </si>
  <si>
    <t xml:space="preserve"> - Variabel 1-område och utdataområde får inte överlappa varandra</t>
  </si>
  <si>
    <t xml:space="preserve"> - Variabel 2-område måste vara en sammanhållen referens.</t>
  </si>
  <si>
    <t xml:space="preserve"> - Variabel 2-område fattas. Skriv in.</t>
  </si>
  <si>
    <t xml:space="preserve"> - Variabel 2-område och utdataområde får inte överlappa varandra</t>
  </si>
  <si>
    <t xml:space="preserve"> - Slumpmässiga fördelningens typ måste vara ett tal mellan 1 och 7.</t>
  </si>
  <si>
    <t xml:space="preserve"> - X-området och utdataområdet överlappar varandra. Välj ett annat utdataområde.</t>
  </si>
  <si>
    <t xml:space="preserve"> - Indataområde X måste vara en sammanhållen referens.</t>
  </si>
  <si>
    <t xml:space="preserve"> - Indataområde X fattas. Skriv in.</t>
  </si>
  <si>
    <t xml:space="preserve"> - Antalet rader och kolumner i X-området får inte vara lika.</t>
  </si>
  <si>
    <t xml:space="preserve"> - X-området och Y-området får inte överlappa varandra.</t>
  </si>
  <si>
    <t xml:space="preserve"> - Y-området och utdataområdet överlappar varandra. Välj ett annat utdataområde.</t>
  </si>
  <si>
    <t xml:space="preserve"> - Indataområde Y måste vara en sammanhållen referens.</t>
  </si>
  <si>
    <t xml:space="preserve"> - Indataområde Y fattas. Skriv in.</t>
  </si>
  <si>
    <t xml:space="preserve"> - Varians 1 måste vara ett tal större än noll.</t>
  </si>
  <si>
    <t xml:space="preserve"> - Varians 2 måste vara ett tal större än noll.</t>
  </si>
  <si>
    <t xml:space="preserve"> - Kommer inte åt ActiveX-kontrollerna för arbetsboken.  Kontakta supportavdelningen för mer hjälp.</t>
  </si>
  <si>
    <t xml:space="preserve"> - Kan inte lägga till diagram i en delad arbetsbok.  Vill du fortsätta skapa utdatatabell?</t>
  </si>
  <si>
    <t>Veri Çözümleme</t>
  </si>
  <si>
    <t>Anova: Tek Etken</t>
  </si>
  <si>
    <t>Regresyon</t>
  </si>
  <si>
    <t>Korelasyon</t>
  </si>
  <si>
    <t>Tanımlayıcı İstatistik</t>
  </si>
  <si>
    <t>Üstel Düzeltme</t>
  </si>
  <si>
    <t>F-Test Varyanslar İçin İki Örnek</t>
  </si>
  <si>
    <t>Örnekleme</t>
  </si>
  <si>
    <t>Rastgele Sayı Üretimi</t>
  </si>
  <si>
    <t>Tamam</t>
  </si>
  <si>
    <t>İptal</t>
  </si>
  <si>
    <t>Çözümleme &amp;Aracı</t>
  </si>
  <si>
    <t>Giriş</t>
  </si>
  <si>
    <t>Çıkış seçenekleri</t>
  </si>
  <si>
    <t>&amp;Değişken Sayısı:</t>
  </si>
  <si>
    <t>&amp;Giriş Aralığı</t>
  </si>
  <si>
    <t>Y Giriş A&amp;ralığı:</t>
  </si>
  <si>
    <t>&amp;Giriş Aralığı:</t>
  </si>
  <si>
    <t>Değişken &amp;1 Aralığı:</t>
  </si>
  <si>
    <t>Aralıktaki v&amp;erinin üstüne yaz:</t>
  </si>
  <si>
    <t>&amp;Rastgele Sayı Adedi:</t>
  </si>
  <si>
    <t>Gruplandırma:</t>
  </si>
  <si>
    <t>&amp;X Giriş Aralığı:</t>
  </si>
  <si>
    <t>Yeni a&amp;ralığa yaz:</t>
  </si>
  <si>
    <t>&amp;Düzeltme sabiti:</t>
  </si>
  <si>
    <t>Değişken &amp;2 Aralığı:</t>
  </si>
  <si>
    <t>&amp;Etiketler</t>
  </si>
  <si>
    <t>Ye&amp;ni Sayfa:</t>
  </si>
  <si>
    <t>Örnekleme Yöntemi</t>
  </si>
  <si>
    <t>D&amp;ağılım:</t>
  </si>
  <si>
    <t>&amp;Etiketler İlk Sütunda</t>
  </si>
  <si>
    <t>&amp;Sütunlarda</t>
  </si>
  <si>
    <t>Yen&amp;i Çalışma Kitabı</t>
  </si>
  <si>
    <t>&amp;Etiketler İlk Satırda</t>
  </si>
  <si>
    <t>Sa&amp;tırlarda</t>
  </si>
  <si>
    <t>&amp;Sabit Sıfır</t>
  </si>
  <si>
    <t>Bilgi dolu hücrelere yazılıyor: veri kaybı olabilir!</t>
  </si>
  <si>
    <t>S&amp;atırlarda</t>
  </si>
  <si>
    <t>&amp;Dönemsel</t>
  </si>
  <si>
    <t>Parametreler</t>
  </si>
  <si>
    <t>&amp;Güvenirlik Düzeyi</t>
  </si>
  <si>
    <t>&amp;Rastgele</t>
  </si>
  <si>
    <t>Çıkış Ara&amp;lığı:</t>
  </si>
  <si>
    <t>Dönem:</t>
  </si>
  <si>
    <t>Tarih ve Saat</t>
  </si>
  <si>
    <t>Bilgi</t>
  </si>
  <si>
    <t>&amp;Yardım</t>
  </si>
  <si>
    <t>Örnek Sayısı:</t>
  </si>
  <si>
    <t>Matematik ve Trigonometri</t>
  </si>
  <si>
    <t>Yen&amp;i Sayfa:</t>
  </si>
  <si>
    <t>İstatistiksel</t>
  </si>
  <si>
    <t>Ye&amp;ni Çalışma Kitabı</t>
  </si>
  <si>
    <t>Finansal</t>
  </si>
  <si>
    <t>G&amp;rafik Çıktısı</t>
  </si>
  <si>
    <t>Mühendislik</t>
  </si>
  <si>
    <t>&amp;Standart Hatalar</t>
  </si>
  <si>
    <t>Ö&amp;zet istatistikler</t>
  </si>
  <si>
    <t>&amp;Ortalamanın Güvenirlik Düzeyi:</t>
  </si>
  <si>
    <t>Farklar</t>
  </si>
  <si>
    <t>Giriş Aralığının D&amp;eğer ve Olasılığı:</t>
  </si>
  <si>
    <t>Anova: Yinelemeli İki Etken</t>
  </si>
  <si>
    <t>&amp;Farklar</t>
  </si>
  <si>
    <t>Kovaryans</t>
  </si>
  <si>
    <t>Anova: Yinelemesiz İki Etken</t>
  </si>
  <si>
    <t>S&amp;tandart Farklar</t>
  </si>
  <si>
    <t>K. En &amp;Büyük:</t>
  </si>
  <si>
    <t>&amp;Çekirdek Değer:</t>
  </si>
  <si>
    <t>ÖZET</t>
  </si>
  <si>
    <t>Fark Çi&amp;zimi</t>
  </si>
  <si>
    <t>t-Test: Ortalamalar İçin İki Örnek</t>
  </si>
  <si>
    <t>Gruplar</t>
  </si>
  <si>
    <t>Anova: Yinelemeli Çift-Etken</t>
  </si>
  <si>
    <t>&amp;Hat Uyumu Çizimi</t>
  </si>
  <si>
    <t>K. En &amp;Küçük:</t>
  </si>
  <si>
    <t>Say</t>
  </si>
  <si>
    <t>Normal Olasılık</t>
  </si>
  <si>
    <t>Toplam</t>
  </si>
  <si>
    <t>N&amp;ormal Olasılık Çizimi</t>
  </si>
  <si>
    <t>Ortalama</t>
  </si>
  <si>
    <t>Varyans</t>
  </si>
  <si>
    <t>Varyans Kaynağı</t>
  </si>
  <si>
    <t>Ö&amp;rnek başına satır:</t>
  </si>
  <si>
    <t>Öngörülen &amp;Ortalama Farkı:</t>
  </si>
  <si>
    <t>P-değeri</t>
  </si>
  <si>
    <t>F ölçütü</t>
  </si>
  <si>
    <t>Yeni &amp;Sayfa:</t>
  </si>
  <si>
    <t>Gruplar Arasında</t>
  </si>
  <si>
    <t>Y&amp;eni Çalışma Kitabı</t>
  </si>
  <si>
    <t>Gruplar İçinde</t>
  </si>
  <si>
    <t>Örnek</t>
  </si>
  <si>
    <t>Sütun</t>
  </si>
  <si>
    <t>Etkileşim</t>
  </si>
  <si>
    <t>Rank ve Yüzdebirlik</t>
  </si>
  <si>
    <t>Ara&amp;sında</t>
  </si>
  <si>
    <t>İçinde</t>
  </si>
  <si>
    <t>Satırlar</t>
  </si>
  <si>
    <t>&amp;ve</t>
  </si>
  <si>
    <t>Sütunlar</t>
  </si>
  <si>
    <t>Hata</t>
  </si>
  <si>
    <t>Anova: Yinelemesiz Çift-Etken</t>
  </si>
  <si>
    <t>Tanımsal İstatistik</t>
  </si>
  <si>
    <t>t-Test: Eşit Varyanslar Varsayarak İki Örnek</t>
  </si>
  <si>
    <t>İl&amp;k</t>
  </si>
  <si>
    <t>Standart Hata</t>
  </si>
  <si>
    <t>Ortanca</t>
  </si>
  <si>
    <t>&amp;son</t>
  </si>
  <si>
    <t>Kip</t>
  </si>
  <si>
    <t>Standart Sapma</t>
  </si>
  <si>
    <t>adı&amp;m</t>
  </si>
  <si>
    <t>Örnek Varyans</t>
  </si>
  <si>
    <t>Basıklık</t>
  </si>
  <si>
    <t>&amp;her sayıyı yineleyerek</t>
  </si>
  <si>
    <t>Çarpıklık</t>
  </si>
  <si>
    <t>Aralık</t>
  </si>
  <si>
    <t>kez</t>
  </si>
  <si>
    <t>En Büyük</t>
  </si>
  <si>
    <t>sırayı yin&amp;eleyerek</t>
  </si>
  <si>
    <t>En Küçük</t>
  </si>
  <si>
    <t>Güvenirlik Düzeyi</t>
  </si>
  <si>
    <t>Hareketli Ortalama</t>
  </si>
  <si>
    <t>Fourier Çözümlemesi</t>
  </si>
  <si>
    <t>Gerçek</t>
  </si>
  <si>
    <t>Tahmin</t>
  </si>
  <si>
    <t>Veri Noktası</t>
  </si>
  <si>
    <t>Değer</t>
  </si>
  <si>
    <t>&amp;Ortalama =</t>
  </si>
  <si>
    <t>Frekans</t>
  </si>
  <si>
    <t xml:space="preserve">&amp;Standart Sapma = </t>
  </si>
  <si>
    <t>Kümülatif %</t>
  </si>
  <si>
    <t>t-Test: Farklı Varyanslar Varsayarak İki Örnek</t>
  </si>
  <si>
    <t>Diğer</t>
  </si>
  <si>
    <t>&amp;Aralık:</t>
  </si>
  <si>
    <t>&amp;Ters</t>
  </si>
  <si>
    <t>Gözlem</t>
  </si>
  <si>
    <t>P(F&lt;=f) tek-uçlu</t>
  </si>
  <si>
    <t>F Kritik iki-uçlu</t>
  </si>
  <si>
    <t>Öngörülen Ortalama Farkı</t>
  </si>
  <si>
    <t>Birikimli Varyans</t>
  </si>
  <si>
    <t>Pearson Korelasyonu</t>
  </si>
  <si>
    <t>P(T&lt;=t) tek-uçlu</t>
  </si>
  <si>
    <t>p D&amp;eğeri =</t>
  </si>
  <si>
    <t>P(T&lt;=t) iki-uçlu</t>
  </si>
  <si>
    <t>t Kritik tek-uçlu</t>
  </si>
  <si>
    <t>t Kritik iki-uçlu</t>
  </si>
  <si>
    <t>Değişken 1</t>
  </si>
  <si>
    <t>&amp;Bin Aralığı:</t>
  </si>
  <si>
    <t>Değişken 2</t>
  </si>
  <si>
    <t>z-Test: Ortalamalar İçin İki Örnek</t>
  </si>
  <si>
    <t>Bilinen Varyans</t>
  </si>
  <si>
    <t>P(Z&lt;=z) tek-uçlu</t>
  </si>
  <si>
    <t>z Kritik tek-uçlu</t>
  </si>
  <si>
    <t>P(Z&lt;=z) iki-uçlu</t>
  </si>
  <si>
    <t xml:space="preserve">Deneme &amp;Sayısı = </t>
  </si>
  <si>
    <t>z Kritik iki-uçlu</t>
  </si>
  <si>
    <t>P&amp;areto (sıralı histogram)</t>
  </si>
  <si>
    <t>Yüzde</t>
  </si>
  <si>
    <t>Kü&amp;mülatif Yüzde</t>
  </si>
  <si>
    <t>Nokta</t>
  </si>
  <si>
    <t>Satır</t>
  </si>
  <si>
    <t>Sabit</t>
  </si>
  <si>
    <t>Değişken 1 &amp;Varyansı (bilinen):</t>
  </si>
  <si>
    <t>Binom</t>
  </si>
  <si>
    <t>Değişken 2 V&amp;aryansı (bilinen):</t>
  </si>
  <si>
    <t>Belirlenmiş</t>
  </si>
  <si>
    <t>Ayrık</t>
  </si>
  <si>
    <t>FARK ÇIKIŞI</t>
  </si>
  <si>
    <t>La&amp;mbda =</t>
  </si>
  <si>
    <t>Öngörülen</t>
  </si>
  <si>
    <t>Öngörülen Y</t>
  </si>
  <si>
    <t>Standart Farklar</t>
  </si>
  <si>
    <t>OLASILIK ÇIKIŞI</t>
  </si>
  <si>
    <t>Yüzdebirlik</t>
  </si>
  <si>
    <t>ÖZET ÇIKIŞI</t>
  </si>
  <si>
    <t>Regresyon İstatistikleri</t>
  </si>
  <si>
    <t>Çoklu R</t>
  </si>
  <si>
    <t>R Kare</t>
  </si>
  <si>
    <t>Ayarlı R Kare</t>
  </si>
  <si>
    <t>Fark</t>
  </si>
  <si>
    <t>Anlamlılık F</t>
  </si>
  <si>
    <t>Değer ve &amp;Olasılık Giriş Aralığı:</t>
  </si>
  <si>
    <t>Kesişim</t>
  </si>
  <si>
    <t>Düşük</t>
  </si>
  <si>
    <t>Düşük %95</t>
  </si>
  <si>
    <t>Yüksek</t>
  </si>
  <si>
    <t>Yüksek %95</t>
  </si>
  <si>
    <t>X Değişkeni</t>
  </si>
  <si>
    <t>Katsayılar</t>
  </si>
  <si>
    <t>Fark Çizimi</t>
  </si>
  <si>
    <t>Hat Uyumu Çizimi</t>
  </si>
  <si>
    <t>Normal Olasılık Çizimi</t>
  </si>
  <si>
    <t>Örnek Yüzdebirlik</t>
  </si>
  <si>
    <t>Hesaplama</t>
  </si>
  <si>
    <t xml:space="preserve"> - Hesaplama için bellek ayrılamıyor.</t>
  </si>
  <si>
    <t xml:space="preserve"> - Alfa 0 ile 1 arasında bir sayı olmalıdır.</t>
  </si>
  <si>
    <t xml:space="preserve"> - Bernoulli olasılığının 0 ile 1 arasında bir sayı olmalıdır ve girilmesi gerekir.</t>
  </si>
  <si>
    <t xml:space="preserve"> - Binomial olasılığı 0 ile 1 arasında olmalıdır ve girilmesi gerekir.</t>
  </si>
  <si>
    <t xml:space="preserve"> - Binomial denemeleri gereklidir ve sıfırdan büyük bir tamsayı olmalıdır.</t>
  </si>
  <si>
    <t xml:space="preserve"> - Bin aralığı boş olamaz.</t>
  </si>
  <si>
    <t xml:space="preserve"> - Bin Aralığı göz ardı edilemez. Değer girilirse, Bin Aralığı başvuru olmalıdır.</t>
  </si>
  <si>
    <t xml:space="preserve"> - Bin Aralığı sayısal olmayan veri içeremez.</t>
  </si>
  <si>
    <t xml:space="preserve"> - Bin aralığı ve giriş aralığı çakışıyor.</t>
  </si>
  <si>
    <t xml:space="preserve"> - Bin aralığı ve çıkış aralığı çakışıyor.</t>
  </si>
  <si>
    <t xml:space="preserve"> - Boş binler için grafik çizilemez.</t>
  </si>
  <si>
    <t xml:space="preserve"> - Grafik çıkışı mantıksal bir değer olmalıdır.</t>
  </si>
  <si>
    <t xml:space="preserve"> - Sabit, mantıksal bir değer olmalıdır.</t>
  </si>
  <si>
    <t xml:space="preserve"> - Kümülatif Yüzde, mantıksal bir değer olmalıdır.</t>
  </si>
  <si>
    <t xml:space="preserve"> - Ters, mantıksal bir değer olmalıdır.</t>
  </si>
  <si>
    <t xml:space="preserve"> - Çizgi Uyum Çizimi, mantıksal bir değer olmalıdır.</t>
  </si>
  <si>
    <t xml:space="preserve"> - Etiket, mantıksal bir değer olmalıdır.</t>
  </si>
  <si>
    <t xml:space="preserve"> - Pareto, mantıksal bir değer olmalıdır.</t>
  </si>
  <si>
    <t xml:space="preserve"> - Normal Olasılık Çizimi, mantıksal bir değer olmalıdır.</t>
  </si>
  <si>
    <t xml:space="preserve"> - Fark Çizimi, mantıksal bir değer olmalıdır.</t>
  </si>
  <si>
    <t xml:space="preserve"> - Farklar, mantıksal bir değer olmalıdır.</t>
  </si>
  <si>
    <t xml:space="preserve"> - Standart Hata Çıkışı, mantıksal bir değer olmalıdır.</t>
  </si>
  <si>
    <t xml:space="preserve"> - Standart Farklar, mantıksal bir değer olmalıdır.</t>
  </si>
  <si>
    <t xml:space="preserve"> - İstatistik Özeti, mantıksal bir değer olmalıdır.</t>
  </si>
  <si>
    <t xml:space="preserve"> - Giriş/Çıkış aralığı geçerli bir başvuruya dönüştürülemedi!</t>
  </si>
  <si>
    <t xml:space="preserve"> - Aralıklar arasında göreli başvurular yaratılamıyor.</t>
  </si>
  <si>
    <t xml:space="preserve"> - Bazı veriler katıştırılmış grafik(ler) tarafından gizlenecek.</t>
  </si>
  <si>
    <t xml:space="preserve"> - Çalışma tablosu alanına sığmadığı için grafik çizilemiyor.</t>
  </si>
  <si>
    <t xml:space="preserve"> - Hesaplama işlaminin kesilmesi: Hesaplamayı kesmek için Tamam'ı, devam ettirmek için İptal'I tıklatın</t>
  </si>
  <si>
    <t xml:space="preserve"> - Güvenirlik 0 ile 100 arasında bir sayı olmalıdır.</t>
  </si>
  <si>
    <t xml:space="preserve"> - Giriş aralığı Değerler ve Olasılıklara dönüştürülemiyor.</t>
  </si>
  <si>
    <t xml:space="preserve"> - Düzeltme Sabiti sayısal olmalıdır.</t>
  </si>
  <si>
    <t xml:space="preserve"> - Düzeltme Sabiti pozitif bir sayı olmalıdır.</t>
  </si>
  <si>
    <t xml:space="preserve"> - Ayrık olasılık sütunundaki sayıların toplamı 1 olmalıdır.</t>
  </si>
  <si>
    <t xml:space="preserve"> - Lütfen, Ayrık Değer ve Olasılık giriş değeri için iki sütun belirleyin.</t>
  </si>
  <si>
    <t xml:space="preserve"> - Lütfen, birden fazla değer ve birden fazla olasılık için bir giriş aralığı belirleyin.</t>
  </si>
  <si>
    <t xml:space="preserve"> - Ayrık Değer ve Olasılık aralığı sadece sayısal veri içermeli ve aynı sayıda veri içermelidir.</t>
  </si>
  <si>
    <t xml:space="preserve"> - Ayrık Değer ve Olasılık aralığı çıkış aralığı ile çakışamaz.</t>
  </si>
  <si>
    <t xml:space="preserve"> - Standart Hatalar denetlendiğinde giriş aralığı en az 5 veri noktası taşımalıdır.</t>
  </si>
  <si>
    <t xml:space="preserve"> - Çok fazla bağımsız değişken var. Lütfen, RASTGELE() işlevinin yazılımını denetleyin.</t>
  </si>
  <si>
    <t xml:space="preserve"> - X Giriş Aralığı 16'dan fazla değişken (sütun) içeremez.</t>
  </si>
  <si>
    <t xml:space="preserve"> - Giriş değerlerinin sayısı 2'nin katı olmalıdır.  Örneğin : 2, 4, 8, 16,  32, 64, 128, ...</t>
  </si>
  <si>
    <t xml:space="preserve"> - Giriş değeri sayısı 4096 veya daha az olmalıdır.</t>
  </si>
  <si>
    <t xml:space="preserve"> - Veri gruplarının yerleşimini belirtmek için, sütunlar için "C", satırlar için "R" kullanın.</t>
  </si>
  <si>
    <t xml:space="preserve"> - Giriş aralığı, satır veya sütunlarda yerleşik iki veya daha fazla blok içermelidir.</t>
  </si>
  <si>
    <t xml:space="preserve"> - Giriş aralığı, sürekli bir başvuru olmalıdır.</t>
  </si>
  <si>
    <t xml:space="preserve"> - Giriş aralığı eksik.  Lütfen girin.</t>
  </si>
  <si>
    <t xml:space="preserve"> - Giriş ve çıkış aralıkları çakışıyor!  Lütfen yeniden girin.</t>
  </si>
  <si>
    <t xml:space="preserve"> - Giriş aralığı en azından bir veri noktası içermelidir.</t>
  </si>
  <si>
    <t xml:space="preserve"> - Aralık, sayısal olmalıdır.</t>
  </si>
  <si>
    <t xml:space="preserve"> - Aralık, pozitif tamsayı olmalıdır.</t>
  </si>
  <si>
    <t xml:space="preserve"> - Aralık, veri noktalarından büyük olamaz.</t>
  </si>
  <si>
    <t xml:space="preserve"> - Giriş aralığı geçersiz karmaşık sayı içeriyor.  Karmaşık sayı x+yi veya x+yj biçiminde olmalıdır.</t>
  </si>
  <si>
    <t xml:space="preserve"> - Tüm karmaşık sayılar aynı ön eke sahip olmalıdır: "i" veya "j" den biri.</t>
  </si>
  <si>
    <t xml:space="preserve"> - K. En Büyük, 0'dan büyük bir tamsayı olmalıdır ve veri noktası sayısını aşmamalıdır.</t>
  </si>
  <si>
    <t xml:space="preserve"> - K. En Küçük, 0'dan büyük bir tamsayı olmalıdır ve veri noktası sayısını aşmamalıdır.</t>
  </si>
  <si>
    <t xml:space="preserve"> - DOT() işlevi hata döndürdü. Lütfen giriş aralığını yeniden denetleyin.</t>
  </si>
  <si>
    <t xml:space="preserve"> - Ortalama Farkı pozitif sayı olmalıdır.</t>
  </si>
  <si>
    <t xml:space="preserve"> - İşlev daha fazla bağımsız değişken gerektiriyor.</t>
  </si>
  <si>
    <t xml:space="preserve"> - Giriş ve çıkış aralıkları aynı sayfa üzerinde olmalıdır.</t>
  </si>
  <si>
    <t xml:space="preserve"> - Giriş/çıkış aralıkları sürekli hücre aralıkları içermelidir.</t>
  </si>
  <si>
    <t xml:space="preserve"> - Giriş aralığı tek bir satır veya sütun olmalıdır.</t>
  </si>
  <si>
    <t xml:space="preserve"> - Giriş aralıkları aynı sayıda veri noktasını içermeliler.</t>
  </si>
  <si>
    <t xml:space="preserve"> - Giriş aralığı en az 4 veri noktası içermeli.</t>
  </si>
  <si>
    <t xml:space="preserve"> - Yeni çalışma kitabı yaratılamıyor.</t>
  </si>
  <si>
    <t xml:space="preserve"> - Çıkış için yeni sayfa yaratılamıyor.  Çalışma Kitabı Koruma ayarlarını denetleyin.</t>
  </si>
  <si>
    <t xml:space="preserve"> Ana ÇAP iletişim kutusuna erişilemiyor.  Yardım için lütfen müşteri servisini arayın.</t>
  </si>
  <si>
    <t xml:space="preserve"> Seçili yordam için iletişim kutusuna ulaşılamıyor.  Yardım için lütfen müşteri servisini arayın.</t>
  </si>
  <si>
    <t xml:space="preserve"> - Giriş aralığı sayısal olmayan veri içeriyor.</t>
  </si>
  <si>
    <t xml:space="preserve"> - Normal ortalama sayısal olmalı ve girilmelidir.</t>
  </si>
  <si>
    <t xml:space="preserve"> - Normal standart sapma sıfırdan farklı bir değer olmalı ve girilmelidir.</t>
  </si>
  <si>
    <t xml:space="preserve"> - Örnek sayısı sıfırdan büyük bir tamsayı olmalıdır.</t>
  </si>
  <si>
    <t xml:space="preserve"> - Lütfen rastgele örnek sayısını girin.</t>
  </si>
  <si>
    <t xml:space="preserve"> - Giriş/çıkış başvuru adresinde sorun var.</t>
  </si>
  <si>
    <t xml:space="preserve"> - Kaynak sayfa açılamıyor.</t>
  </si>
  <si>
    <t xml:space="preserve"> - Geçersiz çıkış seçeneği.</t>
  </si>
  <si>
    <t xml:space="preserve"> - Çıkış aralığı geçerli bir başvuru olmalıdır.</t>
  </si>
  <si>
    <t xml:space="preserve"> - Çıkış aralığı eksik. Lütfen girin.</t>
  </si>
  <si>
    <t xml:space="preserve"> - Tahmini çıkış tablosu çalışmakitabı sınırlarını aşıyor. Lütfen farklı bir başvuru seçin.</t>
  </si>
  <si>
    <t xml:space="preserve"> - Çıkış aralığı varolan verinin üzerine yazılacak. Bu aralıktaki veriyi değiştirmek için Tamam'ı seçin :  </t>
  </si>
  <si>
    <t xml:space="preserve"> - Belirlenmiş başlangıç verilen adımlarla sonuca ulaşamıyor.</t>
  </si>
  <si>
    <t xml:space="preserve"> - Belirlenmiş başlangıç sayısal olmalı ve girilmelidir.</t>
  </si>
  <si>
    <t xml:space="preserve"> - Belirlenmiş adım, sıfırdan farklı bir sayı olmalı ve girilmelidir.</t>
  </si>
  <si>
    <t xml:space="preserve"> - Belirlenmiş son, sayısal olmalı ve girilmelidir.</t>
  </si>
  <si>
    <t xml:space="preserve"> - Belirlenmiş yineleme değeri, sıfırdan büyük bir tamsayı olmalı ve girilmelidir.</t>
  </si>
  <si>
    <t xml:space="preserve"> - Belirlenmiş yineleme dizisi, sıfırdan büyük bir tamsayı olmalı ve girilmelidir.</t>
  </si>
  <si>
    <t xml:space="preserve"> - Periyodik aralık sıfırdan büyük bir tamsayı olmalıdır.</t>
  </si>
  <si>
    <t xml:space="preserve"> - Lütfen örnekleme için Periyodik Aralık değeri girin.</t>
  </si>
  <si>
    <t xml:space="preserve"> - Periyodik Aralık giriş aralığındaki değer sayısını aştı.</t>
  </si>
  <si>
    <t xml:space="preserve"> - Poisson değeri sıfırdan büyük bir değer olmalıdır ve girilmelidir.</t>
  </si>
  <si>
    <t xml:space="preserve"> - Dağıtım tipi gerekiyor. Değer 1 ile 7 arasında bir tamsayı olmalıdır.</t>
  </si>
  <si>
    <t xml:space="preserve"> - Rastgele Değerler Sayısı sıfırdan büyük bir tamsayı olmalıdır.</t>
  </si>
  <si>
    <t xml:space="preserve"> - Ayrık Dağılım : rastgele seçilen olasılık değerinin eşi bulunamıyor.</t>
  </si>
  <si>
    <t xml:space="preserve"> - Değişken Sayısı sıfırdan büyük bir tamsayı olmalıdır.</t>
  </si>
  <si>
    <t xml:space="preserve"> - Lütfen en az bir istatistik seçeneğini seçin.</t>
  </si>
  <si>
    <t xml:space="preserve"> - Örnek Başına Satır gerekiyor.  Lütfen girin.</t>
  </si>
  <si>
    <t xml:space="preserve"> - Örnek Başına Satır sıfırdan büyük bir tamsayı olmalıdır.</t>
  </si>
  <si>
    <t xml:space="preserve"> - Her bir örnek aynı sayıda satır içermelidir.</t>
  </si>
  <si>
    <t xml:space="preserve"> - X Aralığı ve Y Aralığı etiketlere bakmaksızın aynı sayıda satır (örnek değerleri) içermelidir.</t>
  </si>
  <si>
    <t xml:space="preserve"> - Geçersiz örnekleme yöntemi.  Periyodik örnekleme için "P" veya rastgele örnekleme için "R" girin.</t>
  </si>
  <si>
    <t xml:space="preserve"> - Örnekleme Yöntemi gerekiyor.</t>
  </si>
  <si>
    <t xml:space="preserve"> - Çekirdek değer 1..32767 arasında bir tamsayı olmalıdır.</t>
  </si>
  <si>
    <t xml:space="preserve"> - Korumalı tablo değiştirilemez.</t>
  </si>
  <si>
    <t xml:space="preserve"> - Uniform sınırları sayısal olmalı ve girilmelidir.</t>
  </si>
  <si>
    <t xml:space="preserve"> - HER İKİ değişken aralığı da satır veya sütun olmalıdır.</t>
  </si>
  <si>
    <t xml:space="preserve"> - Değişken aralığı aynı sayıda veri noktası içermelidir.</t>
  </si>
  <si>
    <t xml:space="preserve"> - Değişken aralığı en azından iki veri noktası içermelidir.</t>
  </si>
  <si>
    <t xml:space="preserve"> - Değişken 1 Aralığı sürekli bir başvuru olmalıdır.</t>
  </si>
  <si>
    <t xml:space="preserve"> - Değişken 1 Aralığı eksik.</t>
  </si>
  <si>
    <t xml:space="preserve"> - Değişken Aralığı 1 ve 2 çakışamaz.</t>
  </si>
  <si>
    <t xml:space="preserve"> - Değişken 1 Aralığı ve çıkış aralığı çakışamaz.</t>
  </si>
  <si>
    <t xml:space="preserve"> - Değişken 2 Aralığı sürekli bir başvuru olmalıdır.</t>
  </si>
  <si>
    <t xml:space="preserve"> - Değişken 2 Aralığı eksik.</t>
  </si>
  <si>
    <t xml:space="preserve"> - Değişken 2 Aralığı ve çıkış aralığı çakışamaz.</t>
  </si>
  <si>
    <t xml:space="preserve"> - Rasgele dağılım türü 1 ile 7 arasında bir sayı olmalıdır.</t>
  </si>
  <si>
    <t xml:space="preserve"> - X aralığı ve çıkış aralığı çakışacak.  Lütfen farklı bir çıkış aralığı seçin.</t>
  </si>
  <si>
    <t xml:space="preserve"> - X giriş aralığı sürekli bir başvuru olmalıdır.</t>
  </si>
  <si>
    <t xml:space="preserve"> - X giriş aralığı eksik.</t>
  </si>
  <si>
    <t xml:space="preserve"> - X aralığındaki satır ve sütun sayısı aynı olamaz.</t>
  </si>
  <si>
    <t xml:space="preserve"> - X aralığı ve Y aralığı çakışamaz.</t>
  </si>
  <si>
    <t xml:space="preserve"> - Y aralığı ve çıkış aralığı çakışacak. Lütfen farklı bir çıkış aralığı seçin.</t>
  </si>
  <si>
    <t xml:space="preserve"> - Y giriş aralığı sürekli bir başvuru olmalıdır.</t>
  </si>
  <si>
    <t xml:space="preserve"> - Y giriş aralığı eksik.  Lütfen girin.</t>
  </si>
  <si>
    <t xml:space="preserve"> - Varyans 1 sıfırdan büyük bir tamsayı olmalıdır.</t>
  </si>
  <si>
    <t xml:space="preserve"> - Varyans 2 sıfırdan büyük bir tamsayı olmalıdır.</t>
  </si>
  <si>
    <t xml:space="preserve"> - Çalışma kitabı Etkin X denetimine erişilemiyor.  Lütfen yardım için müşteri hizmetlerine başvurun.</t>
  </si>
  <si>
    <t xml:space="preserve"> - Paylaşılan bir çalışma kitabına grafik eklenemez. Çıkış tablosu yaratılmasına devam edilsin mi?</t>
  </si>
  <si>
    <t>数据分析</t>
  </si>
  <si>
    <t>方差分析：单因素方差分析</t>
  </si>
  <si>
    <t>回归</t>
  </si>
  <si>
    <t>相关系数</t>
  </si>
  <si>
    <t>描述统计</t>
  </si>
  <si>
    <t>F-检验 双样本方差</t>
  </si>
  <si>
    <t>抽样</t>
  </si>
  <si>
    <t>随机数发生器</t>
  </si>
  <si>
    <t>确定</t>
  </si>
  <si>
    <t>取消</t>
  </si>
  <si>
    <t>分析工具(&amp;A)</t>
  </si>
  <si>
    <t>输入</t>
  </si>
  <si>
    <t>输出选项</t>
  </si>
  <si>
    <t>变量个数(&amp;V):</t>
  </si>
  <si>
    <t>输入区域(&amp;I):</t>
  </si>
  <si>
    <t>Y 值输入区域(&amp;Y):</t>
  </si>
  <si>
    <t>变量 1 的区域(&amp;1):</t>
  </si>
  <si>
    <t>区域内覆盖数据(&amp;O):</t>
  </si>
  <si>
    <t>随机数个数(&amp;B):</t>
  </si>
  <si>
    <t>分组方式:</t>
  </si>
  <si>
    <t>X 值输入区域(&amp;X):</t>
  </si>
  <si>
    <t>写入新区域(&amp;R):</t>
  </si>
  <si>
    <t>阻尼系数(&amp;D):</t>
  </si>
  <si>
    <t>变量 2 的区域(&amp;2):</t>
  </si>
  <si>
    <t>标志(&amp;L)</t>
  </si>
  <si>
    <t>新工作表组(&amp;P):</t>
  </si>
  <si>
    <t>抽样方法</t>
  </si>
  <si>
    <t>标志位于第一列(&amp;L)</t>
  </si>
  <si>
    <t>新工作薄(&amp;W)</t>
  </si>
  <si>
    <t>逐列(&amp;C)</t>
  </si>
  <si>
    <t>标志位于第一行(&amp;L)</t>
  </si>
  <si>
    <t>常数为零(&amp;Z)</t>
  </si>
  <si>
    <t>正在向非空单元格写入信息：可能会丢失数据!</t>
  </si>
  <si>
    <t>逐行(&amp;R)</t>
  </si>
  <si>
    <t>周期(&amp;E)</t>
  </si>
  <si>
    <t>参数</t>
  </si>
  <si>
    <t>置信度(&amp;F)</t>
  </si>
  <si>
    <t>随机(&amp;R)</t>
  </si>
  <si>
    <t>输出区域(&amp;O):</t>
  </si>
  <si>
    <t>间隔:</t>
  </si>
  <si>
    <t>日期与时间</t>
  </si>
  <si>
    <t>信息</t>
  </si>
  <si>
    <t>帮助</t>
  </si>
  <si>
    <t>样本数:</t>
  </si>
  <si>
    <t>数学与三角函数</t>
  </si>
  <si>
    <t>统计</t>
  </si>
  <si>
    <t>财务</t>
  </si>
  <si>
    <t>图表输出(&amp;C)</t>
  </si>
  <si>
    <t>工程</t>
  </si>
  <si>
    <t>标准误差</t>
  </si>
  <si>
    <t>汇总统计(&amp;S)</t>
  </si>
  <si>
    <t>方差分析</t>
  </si>
  <si>
    <t>平均数置信度(&amp;N):</t>
  </si>
  <si>
    <t>数值与概率输入区域(&amp;I):</t>
  </si>
  <si>
    <t>方差分析：可重复双因素分析</t>
  </si>
  <si>
    <t>协方差</t>
  </si>
  <si>
    <t>方差分析：无重复双因素分析</t>
  </si>
  <si>
    <t>标准残差(&amp;T)</t>
  </si>
  <si>
    <t>第 K 大值(&amp;A):</t>
  </si>
  <si>
    <t>随机数基数(&amp;R):</t>
  </si>
  <si>
    <t>残差图(&amp;D)</t>
  </si>
  <si>
    <t>t-检验: 平均值的成对二样本分析</t>
  </si>
  <si>
    <t>组</t>
  </si>
  <si>
    <t>线性拟合图(&amp;I)</t>
  </si>
  <si>
    <t>第 K 小值(&amp;M):</t>
  </si>
  <si>
    <t>观测数</t>
  </si>
  <si>
    <t>正态分布</t>
  </si>
  <si>
    <t>求和</t>
  </si>
  <si>
    <t>正态概率图(&amp;N)</t>
  </si>
  <si>
    <t>方差</t>
  </si>
  <si>
    <t>差异源</t>
  </si>
  <si>
    <t>每一样本的行数(&amp;R):</t>
  </si>
  <si>
    <t>假设平均差(&amp;E):</t>
  </si>
  <si>
    <t>总计</t>
  </si>
  <si>
    <t>组间</t>
  </si>
  <si>
    <t>组内</t>
  </si>
  <si>
    <t>样本</t>
  </si>
  <si>
    <t>交互</t>
  </si>
  <si>
    <t>排位与百分比排位</t>
  </si>
  <si>
    <t>介于(&amp;E)</t>
  </si>
  <si>
    <t>内部</t>
  </si>
  <si>
    <t>与(&amp;A)</t>
  </si>
  <si>
    <t>误差</t>
  </si>
  <si>
    <t>t-检验: 双样本等方差假设</t>
  </si>
  <si>
    <t>从(&amp;F)</t>
  </si>
  <si>
    <t>中位数</t>
  </si>
  <si>
    <t>到(&amp;T)</t>
  </si>
  <si>
    <t>众数</t>
  </si>
  <si>
    <t>标准差</t>
  </si>
  <si>
    <t>间隔(&amp;S):</t>
  </si>
  <si>
    <t>峰度</t>
  </si>
  <si>
    <t>重复每一数字(&amp;E):</t>
  </si>
  <si>
    <t>偏度</t>
  </si>
  <si>
    <t>区域</t>
  </si>
  <si>
    <t>次</t>
  </si>
  <si>
    <t>最小值</t>
  </si>
  <si>
    <t>重复序列(&amp;U):</t>
  </si>
  <si>
    <t>最大值</t>
  </si>
  <si>
    <t>置信度</t>
  </si>
  <si>
    <t>移动平均</t>
  </si>
  <si>
    <t>傅利叶分析</t>
  </si>
  <si>
    <t>实际值</t>
  </si>
  <si>
    <t>预测值</t>
  </si>
  <si>
    <t>数据点</t>
  </si>
  <si>
    <t>值</t>
  </si>
  <si>
    <t>直方图</t>
  </si>
  <si>
    <t>平均值(&amp;E) =</t>
  </si>
  <si>
    <t>接收</t>
  </si>
  <si>
    <t>频率</t>
  </si>
  <si>
    <t>标准偏差(&amp;S) =</t>
  </si>
  <si>
    <t>累积 %</t>
  </si>
  <si>
    <t>t-检验: 双样本异方差假设</t>
  </si>
  <si>
    <t>其他</t>
  </si>
  <si>
    <t>间隔(&amp;N):</t>
  </si>
  <si>
    <t>傅利叶</t>
  </si>
  <si>
    <t>F-检验 双样本方差分析</t>
  </si>
  <si>
    <t>t-检验: 成对双样本均值分析</t>
  </si>
  <si>
    <t>逆变换(&amp;N)</t>
  </si>
  <si>
    <t>观测值</t>
  </si>
  <si>
    <t>P(F&lt;=f) 单尾</t>
  </si>
  <si>
    <t>F 单尾临界</t>
  </si>
  <si>
    <t>假设平均差</t>
  </si>
  <si>
    <t>合并方差</t>
  </si>
  <si>
    <t>泊松相关系数</t>
  </si>
  <si>
    <t>P(T&lt;=t) 单尾</t>
  </si>
  <si>
    <t>p(&amp;A) =</t>
  </si>
  <si>
    <t>P(T&lt;=t) 双尾</t>
  </si>
  <si>
    <t>t 单尾临界</t>
  </si>
  <si>
    <t>t 双尾临界</t>
  </si>
  <si>
    <t>变量 1</t>
  </si>
  <si>
    <t>接收区域(&amp;B):</t>
  </si>
  <si>
    <t>变量 2</t>
  </si>
  <si>
    <t>z-检验: 双样本均值分析</t>
  </si>
  <si>
    <t>已知协方差</t>
  </si>
  <si>
    <t>P(Z&lt;=z) 单尾</t>
  </si>
  <si>
    <t>z 单尾临界</t>
  </si>
  <si>
    <t>P(Z&lt;=z) 双尾</t>
  </si>
  <si>
    <t>z-检验: 双样本平均差检验</t>
  </si>
  <si>
    <t>试验次数(&amp;N) =</t>
  </si>
  <si>
    <t>z 双尾临界</t>
  </si>
  <si>
    <t>排位和百分比排位</t>
  </si>
  <si>
    <t>排位</t>
  </si>
  <si>
    <t>柏拉图(&amp;A)</t>
  </si>
  <si>
    <t>百分比</t>
  </si>
  <si>
    <t>累积百分率(&amp;M)</t>
  </si>
  <si>
    <t>点</t>
  </si>
  <si>
    <t>均匀</t>
  </si>
  <si>
    <t>假设平均差(&amp;P):</t>
  </si>
  <si>
    <t>正态</t>
  </si>
  <si>
    <t>柏努利</t>
  </si>
  <si>
    <t>变量 1 的方差(已知)(&amp;V):</t>
  </si>
  <si>
    <t>二项式</t>
  </si>
  <si>
    <t>泊松</t>
  </si>
  <si>
    <t>变量 2 的方差(已知)(&amp;R):</t>
  </si>
  <si>
    <t>模式</t>
  </si>
  <si>
    <t>离散</t>
  </si>
  <si>
    <t>回归分析</t>
  </si>
  <si>
    <t>预测</t>
  </si>
  <si>
    <t>预测 Y</t>
  </si>
  <si>
    <t>标准残差</t>
  </si>
  <si>
    <t>百分比排位</t>
  </si>
  <si>
    <t>回归统计</t>
  </si>
  <si>
    <t>Residual Plot</t>
  </si>
  <si>
    <t>计算</t>
  </si>
  <si>
    <t xml:space="preserve"> - 无法为计算分配内存。</t>
  </si>
  <si>
    <t xml:space="preserve"> - Alpha 必须是介于 0 与 1 之间的值。</t>
  </si>
  <si>
    <t xml:space="preserve"> - 需要柏努利概率且为 0 与 1 之间的值。</t>
  </si>
  <si>
    <t xml:space="preserve"> - 需要二项式概率且为 0 与 1 之间的值。</t>
  </si>
  <si>
    <t xml:space="preserve"> - 需要二项式测试且为大于零值的整数。</t>
  </si>
  <si>
    <t xml:space="preserve"> - 接收区域不能为空。</t>
  </si>
  <si>
    <t xml:space="preserve"> - 接收区域可以忽略。如果需要输入数据，应输入引用。</t>
  </si>
  <si>
    <t xml:space="preserve"> - 接收区域不能有非数值数据。</t>
  </si>
  <si>
    <t xml:space="preserve"> - 接收区域与输入区域重叠</t>
  </si>
  <si>
    <t xml:space="preserve"> - 接收区域与输出区域重叠</t>
  </si>
  <si>
    <t xml:space="preserve"> - 无法为空的接收区域绘制图表</t>
  </si>
  <si>
    <t xml:space="preserve"> - 图表输出必须为逻辑值。</t>
  </si>
  <si>
    <t xml:space="preserve"> - 常量必须为逻辑值。</t>
  </si>
  <si>
    <t xml:space="preserve"> - 累积百分比必须为逻辑值。</t>
  </si>
  <si>
    <t xml:space="preserve"> - 求反的值必须为逻辑值。</t>
  </si>
  <si>
    <t xml:space="preserve"> - 线性拟合值必须为逻辑值。</t>
  </si>
  <si>
    <t xml:space="preserve"> - 标志值必须为逻辑值。</t>
  </si>
  <si>
    <t xml:space="preserve"> - 柏拉图值必须为逻辑值</t>
  </si>
  <si>
    <t xml:space="preserve"> - 正态概率图值必须为逻辑值</t>
  </si>
  <si>
    <t xml:space="preserve"> - 残差图必须为逻辑值。</t>
  </si>
  <si>
    <t xml:space="preserve"> - 残差值必须为逻辑值。</t>
  </si>
  <si>
    <t xml:space="preserve"> - 标准误差输出必须为逻辑值。</t>
  </si>
  <si>
    <t xml:space="preserve"> - 标准残差值必须为逻辑值。</t>
  </si>
  <si>
    <t xml:space="preserve"> - 汇总统计值必须为逻辑值。</t>
  </si>
  <si>
    <t xml:space="preserve"> - 不能将输入/输出区域转换成有效引用!</t>
  </si>
  <si>
    <t xml:space="preserve"> - 无法创建区域间的相对引用</t>
  </si>
  <si>
    <t xml:space="preserve"> - 某些数据将随嵌入图表隐藏</t>
  </si>
  <si>
    <t xml:space="preserve"> - 无法绘制图表，因为将会超出工作表的边界</t>
  </si>
  <si>
    <t xml:space="preserve"> - 中断计算: 单击“确定”中断计算，单击“取消”继续计算</t>
  </si>
  <si>
    <t xml:space="preserve"> - 置信值应为 0 与 100 之间的数值</t>
  </si>
  <si>
    <t xml:space="preserve"> - 无法将输入区域转换成为值与概率..</t>
  </si>
  <si>
    <t xml:space="preserve"> - 阻尼系数必须为数值。</t>
  </si>
  <si>
    <t xml:space="preserve"> - 阻尼系数必须为正数。</t>
  </si>
  <si>
    <t xml:space="preserve"> - 离散概率列中的数值之和必须为 1。</t>
  </si>
  <si>
    <t xml:space="preserve"> - 请为离散分布定义一个两列输入区域</t>
  </si>
  <si>
    <t xml:space="preserve"> - 请定义一个具有一个以上数值及一个以上概率的输入区域</t>
  </si>
  <si>
    <t xml:space="preserve"> - 离散分布区域必须只包含数值型数据且含有相同数量的数据</t>
  </si>
  <si>
    <t xml:space="preserve"> - 离散数值及概率区域不能与输出区域重叠</t>
  </si>
  <si>
    <t xml:space="preserve"> - 当检测标准误差时，输入区域必须包含至少 5 个数据点。</t>
  </si>
  <si>
    <t xml:space="preserve"> - 参数太多。请查看 RANDOM() 的语法表。</t>
  </si>
  <si>
    <t xml:space="preserve"> - “X 值输入区域”不能包含多于 16 个的变量(列）</t>
  </si>
  <si>
    <t xml:space="preserve"> - 输入值的个数必须为 2 的乘冥。比如 ：2，4，6，8，16，32，64，128 ...</t>
  </si>
  <si>
    <t xml:space="preserve"> - 输入值的数量必须为 4096 或者小于 4096。</t>
  </si>
  <si>
    <t xml:space="preserve"> - 为表示组合数据的方式，使用 "C" 代表列, 使用 "R" 代表行。</t>
  </si>
  <si>
    <t xml:space="preserve"> - 输入区域应该包含两个或多个以行或列组织的数据块。</t>
  </si>
  <si>
    <t xml:space="preserve"> - 输入区域必须为相邻引用</t>
  </si>
  <si>
    <t xml:space="preserve"> - 输入区域丢失。请输入</t>
  </si>
  <si>
    <t xml:space="preserve"> - 输入与输出区域重叠 ！ 请重新输入。</t>
  </si>
  <si>
    <t xml:space="preserve"> - 输入区域必须至少包含一个数据点。</t>
  </si>
  <si>
    <t xml:space="preserve"> - 间隔必须为数值。</t>
  </si>
  <si>
    <t xml:space="preserve"> - 间隔必须为正整数。</t>
  </si>
  <si>
    <t xml:space="preserve"> - 间隔不能大于数据点。</t>
  </si>
  <si>
    <t xml:space="preserve"> - 输入区域包含无效复数。复数应该是这种形式： x+yi 或 x+yj</t>
  </si>
  <si>
    <t xml:space="preserve"> - 所有的复数必须有相同的后缀，同为 "i" 或 "j"。</t>
  </si>
  <si>
    <t xml:space="preserve"> - “第 k 个最大值”必须为大于 0 的正整数且不能超过数据点数</t>
  </si>
  <si>
    <t xml:space="preserve"> - “第 k 个最小数”必须为大于 0 的正整数且不能超过数据点数。</t>
  </si>
  <si>
    <t xml:space="preserve"> - LINEST() 函数返回误差值。请再核对输入区域 。</t>
  </si>
  <si>
    <t xml:space="preserve"> - 平均偏差应该为正数。</t>
  </si>
  <si>
    <t xml:space="preserve"> - 函数需要更多的参数。</t>
  </si>
  <si>
    <t xml:space="preserve"> - 输入与输出区域必须在同一张工作表上。</t>
  </si>
  <si>
    <t xml:space="preserve"> - 输入/输出区域必须为相邻单元格</t>
  </si>
  <si>
    <t xml:space="preserve"> - 输入区域必须为单行或单列</t>
  </si>
  <si>
    <t xml:space="preserve"> - 输入区域必须有相同数量的数据点。</t>
  </si>
  <si>
    <t xml:space="preserve"> - 输入区域必须包含至少 4 个数据点。</t>
  </si>
  <si>
    <t xml:space="preserve"> - 无法创建新工作薄。</t>
  </si>
  <si>
    <t xml:space="preserve"> - 无法为输出创建新的工作表。请查对工作薄的保护设置。</t>
  </si>
  <si>
    <t>无法访问主 ATP 对话框。请与用户服务部门联系。</t>
  </si>
  <si>
    <t>无法访问选定过程的对话框。请与用户服务部门联系。</t>
  </si>
  <si>
    <t xml:space="preserve"> - 输入区域包含非数值型数据。</t>
  </si>
  <si>
    <t xml:space="preserve"> - 需要正态均值且必须为数值型。</t>
  </si>
  <si>
    <t xml:space="preserve"> - 需要正态标准偏差且必须为非零数值。</t>
  </si>
  <si>
    <t xml:space="preserve"> - 样本数必须为大于 0 的整数。</t>
  </si>
  <si>
    <t xml:space="preserve"> - 请输入随机样本数</t>
  </si>
  <si>
    <t xml:space="preserve"> - 偏移输入/输出引用时出错</t>
  </si>
  <si>
    <t xml:space="preserve"> - 无法打开源工作表</t>
  </si>
  <si>
    <t xml:space="preserve"> - 无效输出选项。</t>
  </si>
  <si>
    <t xml:space="preserve"> - 输出区域必须为有效引用。</t>
  </si>
  <si>
    <t xml:space="preserve"> - 输出区域丢失。请输入。</t>
  </si>
  <si>
    <t xml:space="preserve"> - 估计输出表格超出工作表的边界。请选择不同的引用。</t>
  </si>
  <si>
    <t xml:space="preserve"> - 输出区域将覆盖已有数据。请按下“确定” 覆盖区域中的数据:</t>
  </si>
  <si>
    <t xml:space="preserve"> - 模式分布中的起始值与步长值不匹配。</t>
  </si>
  <si>
    <t xml:space="preserve"> - 需要模式分布的起始值且必须为数值型。</t>
  </si>
  <si>
    <t xml:space="preserve"> - 需要模式分布中的步长值并且必须为非零数值。</t>
  </si>
  <si>
    <t xml:space="preserve"> - 需要模式分布中的终止值并且必须为数值型。</t>
  </si>
  <si>
    <t xml:space="preserve"> - 需要模式分布中的重复值且必须为大于 0 的整数。</t>
  </si>
  <si>
    <t xml:space="preserve"> - 需要模式分布中的重复序列值且必须大于 0 。</t>
  </si>
  <si>
    <t xml:space="preserve"> - 周期间隔必须大于 0 。</t>
  </si>
  <si>
    <t xml:space="preserve"> - 请为抽样分析输入周期间隔。</t>
  </si>
  <si>
    <t xml:space="preserve"> - 周期间隔不能超过输入区域中的数值个数。</t>
  </si>
  <si>
    <t xml:space="preserve"> - 需要泊松分布中的 λ 值且必须大于 0 。</t>
  </si>
  <si>
    <t xml:space="preserve"> - 需要分布类型。输入值必须介于 1 与 7 之间。</t>
  </si>
  <si>
    <t xml:space="preserve"> - 随机数的个数必须大于 0 。</t>
  </si>
  <si>
    <t xml:space="preserve"> - 离散分页: 无法找到随机选取的概率值的匹配值。</t>
  </si>
  <si>
    <t xml:space="preserve"> - 变量数必须大于 0 。</t>
  </si>
  <si>
    <t xml:space="preserve"> - 请选择至少一个统计选项。</t>
  </si>
  <si>
    <t xml:space="preserve"> - 需要每样本中的行数。请输入。</t>
  </si>
  <si>
    <t xml:space="preserve"> - 每样本中的行数必须是大于 0 的整数。</t>
  </si>
  <si>
    <t xml:space="preserve"> - 每个样本必须包含相同数目的行。</t>
  </si>
  <si>
    <t xml:space="preserve"> - X 区域和 Y 区域必须有相同的行数（样本值），不管标志。</t>
  </si>
  <si>
    <t xml:space="preserve"> - 无效的抽样方法。输入"P"代表周期抽样，输入"R"代表随机抽样。</t>
  </si>
  <si>
    <t xml:space="preserve"> - 需要抽样方法。</t>
  </si>
  <si>
    <t xml:space="preserve"> - 基数必须介于是 1..32767 的整数。</t>
  </si>
  <si>
    <t xml:space="preserve"> - 无法修改保护工作表。</t>
  </si>
  <si>
    <t xml:space="preserve"> - 需要均匀分布的上下限且必须为数值。</t>
  </si>
  <si>
    <t xml:space="preserve"> - BOTH 变量区域必须为行或列</t>
  </si>
  <si>
    <t xml:space="preserve"> - 变量区域必须有相同数量的数据点。</t>
  </si>
  <si>
    <t xml:space="preserve"> - 变量区域必须有至少两个数据点。</t>
  </si>
  <si>
    <t xml:space="preserve"> - 变量 1 区域必须为相邻引用。</t>
  </si>
  <si>
    <t xml:space="preserve"> - 变量 1 区域丢失。</t>
  </si>
  <si>
    <t xml:space="preserve"> - 变量区域 1 与 2 不能重叠。</t>
  </si>
  <si>
    <t xml:space="preserve"> - 变量 1 区域与输出区域不能重叠</t>
  </si>
  <si>
    <t xml:space="preserve"> - 变量区域 2 必须为相邻引用。</t>
  </si>
  <si>
    <t xml:space="preserve"> - 变量区域 2 丢失。</t>
  </si>
  <si>
    <t xml:space="preserve"> - 变量区域 2 与输出区域不能重叠</t>
  </si>
  <si>
    <t xml:space="preserve"> - 随机分布类型应该是介于 1 与 7 之间的数字</t>
  </si>
  <si>
    <t xml:space="preserve"> - X 区域与输出区域将会重叠。请选其他输出区域。</t>
  </si>
  <si>
    <t xml:space="preserve"> - X 值输入区域必须为相邻引用。</t>
  </si>
  <si>
    <t xml:space="preserve"> - X 值输入区域丢失。</t>
  </si>
  <si>
    <t xml:space="preserve"> - X 区域中的行数与列数不能相同。</t>
  </si>
  <si>
    <t xml:space="preserve"> - X 区域与 Y 区域不能重叠。</t>
  </si>
  <si>
    <t xml:space="preserve"> - Y 区域与输出区域将会重叠。请选其他输出区域。</t>
  </si>
  <si>
    <t xml:space="preserve"> - Y 值输入区域必须为相邻引用。</t>
  </si>
  <si>
    <t xml:space="preserve"> - Y 值输入区域丢失。请输入。</t>
  </si>
  <si>
    <t xml:space="preserve"> - 方差 1 必须大于 0 。</t>
  </si>
  <si>
    <t xml:space="preserve"> - 方差 2 必须大于 0 。</t>
  </si>
  <si>
    <t xml:space="preserve"> - 无法访问工作薄中的 ActiveX 控件。请与服务部门联系。</t>
  </si>
  <si>
    <t xml:space="preserve"> - 无法向共享工作薄添加图表。继续创建输出表格吗？</t>
  </si>
  <si>
    <t>資料分析</t>
  </si>
  <si>
    <t>單因子變異數分析</t>
  </si>
  <si>
    <t>迴歸</t>
  </si>
  <si>
    <t>相關係數</t>
  </si>
  <si>
    <t>敘述統計</t>
  </si>
  <si>
    <t>指數平滑法</t>
  </si>
  <si>
    <t>F-檢定：兩個常態母體變異數的檢定</t>
  </si>
  <si>
    <t>抽樣</t>
  </si>
  <si>
    <t>亂數產生器</t>
  </si>
  <si>
    <t>確定</t>
  </si>
  <si>
    <t>輸入</t>
  </si>
  <si>
    <t>輸出選項</t>
  </si>
  <si>
    <t>變數個數(&amp;V):</t>
  </si>
  <si>
    <t>輸入範圍(&amp;I):</t>
  </si>
  <si>
    <t>輸入 Y 範圍(&amp;Y):</t>
  </si>
  <si>
    <t>變數 1 的範圍(&amp;1):</t>
  </si>
  <si>
    <t>取代範圍內的資料(&amp;O):</t>
  </si>
  <si>
    <t>亂數個數(&amp;B):</t>
  </si>
  <si>
    <t>分組方式:</t>
  </si>
  <si>
    <t>輸入 X 範圍(&amp;X):</t>
  </si>
  <si>
    <t>寫到新的範圍(&amp;R):</t>
  </si>
  <si>
    <t>阻尼因子(&amp;D):</t>
  </si>
  <si>
    <t>變數 2 的範圍(&amp;2):</t>
  </si>
  <si>
    <t>標記(&amp;L)</t>
  </si>
  <si>
    <t>新工作表(&amp;P):</t>
  </si>
  <si>
    <t>抽樣方法</t>
  </si>
  <si>
    <t>分配(&amp;D):</t>
  </si>
  <si>
    <t>類別軸標記是在第一欄上(&amp;L)</t>
  </si>
  <si>
    <t>逐欄(&amp;C)</t>
  </si>
  <si>
    <t>新活頁簿(&amp;W)</t>
  </si>
  <si>
    <t>類別軸標記是在第一列上(&amp;L)</t>
  </si>
  <si>
    <t>逐列(&amp;R)</t>
  </si>
  <si>
    <t>常數為零(&amp;Z)</t>
  </si>
  <si>
    <t>資料寫入不為空的儲存格：資料可能遺失！</t>
  </si>
  <si>
    <t>周期(&amp;P)</t>
  </si>
  <si>
    <t>參數</t>
  </si>
  <si>
    <t>類別軸標記在第一列上(&amp;L)</t>
  </si>
  <si>
    <t>信賴度(&amp;O)</t>
  </si>
  <si>
    <t>隨機(&amp;R)</t>
  </si>
  <si>
    <t>輸出範圍(&amp;O):</t>
  </si>
  <si>
    <t>間隔:</t>
  </si>
  <si>
    <t>日期與時間函數</t>
  </si>
  <si>
    <t>資訊函數</t>
  </si>
  <si>
    <t>說明</t>
  </si>
  <si>
    <t>樣本數:</t>
  </si>
  <si>
    <t>數學與三角函數</t>
  </si>
  <si>
    <t>統計函數</t>
  </si>
  <si>
    <t>財務函數</t>
  </si>
  <si>
    <t>圖表輸出(&amp;C)</t>
  </si>
  <si>
    <t>工程函數</t>
  </si>
  <si>
    <t>標準誤(&amp;S)</t>
  </si>
  <si>
    <t>摘要統計(&amp;S)</t>
  </si>
  <si>
    <t>平均數信賴度(&amp;N):</t>
  </si>
  <si>
    <t>殘差</t>
  </si>
  <si>
    <t>值及機率(&amp;I):</t>
  </si>
  <si>
    <t>雙因子變異數分析：重複試驗</t>
  </si>
  <si>
    <t>殘差(&amp;R)</t>
  </si>
  <si>
    <t>共變數</t>
  </si>
  <si>
    <t>雙因子變異數分析：無重複試驗</t>
  </si>
  <si>
    <t>標準化殘差(&amp;T)</t>
  </si>
  <si>
    <t>第 K 個最大值(&amp;A):</t>
  </si>
  <si>
    <t>亂數基值(&amp;R):</t>
  </si>
  <si>
    <t>摘要</t>
  </si>
  <si>
    <t>殘差圖(&amp;D)</t>
  </si>
  <si>
    <t>t 檢定：成對母體平均數差異檢定</t>
  </si>
  <si>
    <t>組</t>
  </si>
  <si>
    <t>樣本迴歸線圖(&amp;I)</t>
  </si>
  <si>
    <t>第 K 個最小值(&amp;M):</t>
  </si>
  <si>
    <t>個數</t>
  </si>
  <si>
    <t>常態機率</t>
  </si>
  <si>
    <t>總和</t>
  </si>
  <si>
    <t>常態機率圖(&amp;N)</t>
  </si>
  <si>
    <t>變異數</t>
  </si>
  <si>
    <t>變源</t>
  </si>
  <si>
    <t>每一樣本的列數(&amp;R):</t>
  </si>
  <si>
    <t>假設的均數差(&amp;E):</t>
  </si>
  <si>
    <t>P-值</t>
  </si>
  <si>
    <t>臨界值</t>
  </si>
  <si>
    <t>組間</t>
  </si>
  <si>
    <t>組內</t>
  </si>
  <si>
    <t>樣本</t>
  </si>
  <si>
    <t>欄</t>
  </si>
  <si>
    <t>等級和百分比</t>
  </si>
  <si>
    <t>介於(&amp;E)</t>
  </si>
  <si>
    <t>到(&amp;A):</t>
  </si>
  <si>
    <t>錯誤</t>
  </si>
  <si>
    <t>平均數</t>
  </si>
  <si>
    <t>t 檢定：兩個母體平均數差的檢定，假設變異數相等</t>
  </si>
  <si>
    <t>從(&amp;F):</t>
  </si>
  <si>
    <t>標準誤</t>
  </si>
  <si>
    <t>中間值</t>
  </si>
  <si>
    <t>到(&amp;T):</t>
  </si>
  <si>
    <t>眾數</t>
  </si>
  <si>
    <t>標準差</t>
  </si>
  <si>
    <t>間隔(&amp;S):</t>
  </si>
  <si>
    <t>重複每個數(&amp;E):</t>
  </si>
  <si>
    <t>偏態</t>
  </si>
  <si>
    <t>範圍</t>
  </si>
  <si>
    <t>假設的均數差(&amp;P):</t>
  </si>
  <si>
    <t>重複此數列(&amp;U):</t>
  </si>
  <si>
    <t>第 K 個最大值</t>
  </si>
  <si>
    <t>第 K 個最小值</t>
  </si>
  <si>
    <t>信賴度</t>
  </si>
  <si>
    <t>移動平均法</t>
  </si>
  <si>
    <t>傅立葉分析</t>
  </si>
  <si>
    <t>實際</t>
  </si>
  <si>
    <t>預測</t>
  </si>
  <si>
    <t>資料點</t>
  </si>
  <si>
    <t>直方圖</t>
  </si>
  <si>
    <t>平均數(&amp;E) =</t>
  </si>
  <si>
    <t>組界</t>
  </si>
  <si>
    <t>頻率</t>
  </si>
  <si>
    <t>標準差(&amp;S) =</t>
  </si>
  <si>
    <t>t 檢定：兩個母體平均數差的檢定，假設變異數不相等</t>
  </si>
  <si>
    <t>間隔(&amp;N):</t>
  </si>
  <si>
    <t>F 檢定：兩個常態母體變異數的檢定</t>
  </si>
  <si>
    <t>倒轉(&amp;N)</t>
  </si>
  <si>
    <t>觀察值個數</t>
  </si>
  <si>
    <t>P(F&lt;=f) 單尾</t>
  </si>
  <si>
    <t>臨界值：單尾</t>
  </si>
  <si>
    <t>假設的均數差</t>
  </si>
  <si>
    <t>Pooled 變異數</t>
  </si>
  <si>
    <t>標準誤差(&amp;S)</t>
  </si>
  <si>
    <t>皮耳森相關係數</t>
  </si>
  <si>
    <t>P(T&lt;=t) 單尾</t>
  </si>
  <si>
    <t>p 值(&amp;A) =</t>
  </si>
  <si>
    <t>P(T&lt;=t) 雙尾</t>
  </si>
  <si>
    <t>t 統計</t>
  </si>
  <si>
    <t>臨界值：雙尾</t>
  </si>
  <si>
    <t>變數 1</t>
  </si>
  <si>
    <t>組界範圍(&amp;B):</t>
  </si>
  <si>
    <t>變數 2</t>
  </si>
  <si>
    <t>ｚ檢定：兩個母體平均數差異檢定</t>
  </si>
  <si>
    <t>已知的變異數</t>
  </si>
  <si>
    <t>P(Z&lt;=z) 單尾</t>
  </si>
  <si>
    <t>P(Z&lt;=z) 雙尾</t>
  </si>
  <si>
    <t>z-檢定：兩個母體平均數差異檢定</t>
  </si>
  <si>
    <t>實驗的次數(&amp;N) =</t>
  </si>
  <si>
    <t>等級</t>
  </si>
  <si>
    <t>柏拉圖 (經排序的直方圖)(&amp;A)</t>
  </si>
  <si>
    <t>累積百分率(&amp;M)</t>
  </si>
  <si>
    <t>原順序點</t>
  </si>
  <si>
    <t>均等分配</t>
  </si>
  <si>
    <t>常態分配</t>
  </si>
  <si>
    <t>白努力分配</t>
  </si>
  <si>
    <t>變數 1 之變異數(已知)(&amp;V):</t>
  </si>
  <si>
    <t>二項分配</t>
  </si>
  <si>
    <t>波氏分配</t>
  </si>
  <si>
    <t>變數 2 之變異數(已知)(&amp;A):</t>
  </si>
  <si>
    <t>複製數列</t>
  </si>
  <si>
    <t>離散分配</t>
  </si>
  <si>
    <t>殘差輸出</t>
  </si>
  <si>
    <t>觀察值</t>
  </si>
  <si>
    <t>預測為</t>
  </si>
  <si>
    <t>預測 Y</t>
  </si>
  <si>
    <t>標準化殘差</t>
  </si>
  <si>
    <t>機率輸出</t>
  </si>
  <si>
    <t>摘要輸出</t>
  </si>
  <si>
    <t>迴歸統計</t>
  </si>
  <si>
    <t>R 的倍數</t>
  </si>
  <si>
    <t>R 平方</t>
  </si>
  <si>
    <t>調整的 R 平方</t>
  </si>
  <si>
    <t>顯著值</t>
  </si>
  <si>
    <t>值及機率</t>
  </si>
  <si>
    <t>截距</t>
  </si>
  <si>
    <t>X 變數</t>
  </si>
  <si>
    <t>係數</t>
  </si>
  <si>
    <t>殘差圖</t>
  </si>
  <si>
    <t>樣本迴歸線圖</t>
  </si>
  <si>
    <t>常態機率圖</t>
  </si>
  <si>
    <t>樣本百分比</t>
  </si>
  <si>
    <t xml:space="preserve"> - 執行重算的記憶體不足。</t>
  </si>
  <si>
    <t xml:space="preserve"> - α 值必須介於 0 到 1 之間。</t>
  </si>
  <si>
    <t xml:space="preserve"> - 要求白努力機率且須介於 0 到 1 之間。</t>
  </si>
  <si>
    <t xml:space="preserve"> - 要求二項式機率且須介於 0 到 1 之間。</t>
  </si>
  <si>
    <t xml:space="preserve"> - 要求二項式試驗求解且必須是大於 0 的整數。</t>
  </si>
  <si>
    <t xml:space="preserve"> - 貯藏範圍不可空白。</t>
  </si>
  <si>
    <t xml:space="preserve"> - 貯藏範圍可能被刪除。若要輸入，則必須是一參照位址。</t>
  </si>
  <si>
    <t xml:space="preserve"> - 貯藏範圍不可有非數字資料。</t>
  </si>
  <si>
    <t xml:space="preserve"> - 貯藏範圍與輸入範圍重疊。</t>
  </si>
  <si>
    <t xml:space="preserve"> - 貯藏範圍與輸出範圍重疊。</t>
  </si>
  <si>
    <t xml:space="preserve"> - 無法繪製空白貯藏的圖表。</t>
  </si>
  <si>
    <t xml:space="preserve"> - 圖表輸出必須是一邏輯值</t>
  </si>
  <si>
    <t xml:space="preserve"> - 常數必須是一邏輯值。</t>
  </si>
  <si>
    <t xml:space="preserve"> - 累積百分率必須是一邏輯值。</t>
  </si>
  <si>
    <t xml:space="preserve"> - 逆數必須是一邏輯值。</t>
  </si>
  <si>
    <t xml:space="preserve"> - 「樣本迴歸線圖」必須是一邏輯值。</t>
  </si>
  <si>
    <t xml:space="preserve"> - 標記必須是一邏輯值。</t>
  </si>
  <si>
    <t xml:space="preserve"> - 柏拉圖必須是一邏輯值。</t>
  </si>
  <si>
    <t xml:space="preserve"> - 常態機率圖必須是一邏輯值。</t>
  </si>
  <si>
    <t xml:space="preserve"> - 殘差圖必須是一邏輯值。</t>
  </si>
  <si>
    <t xml:space="preserve"> - 殘差必須是一邏輯值。</t>
  </si>
  <si>
    <t xml:space="preserve"> - 標準誤輸出必須是一邏輯值。</t>
  </si>
  <si>
    <t xml:space="preserve"> - 標準化殘差必須是一邏輯值。</t>
  </si>
  <si>
    <t xml:space="preserve"> - 摘要統計必須是一邏輯值。</t>
  </si>
  <si>
    <t xml:space="preserve"> - 無法將輸入/輸出範圍轉換成有效的參照位址!</t>
  </si>
  <si>
    <t xml:space="preserve"> - 無法在範圍間建立相對的參照位址。</t>
  </si>
  <si>
    <t xml:space="preserve"> - 某些資料不能使用內嵌圖隱藏。</t>
  </si>
  <si>
    <t xml:space="preserve"> - 所在位置超出工作表範圍無法繪製圖表。</t>
  </si>
  <si>
    <t xml:space="preserve"> - 確定要取消此運算？</t>
  </si>
  <si>
    <t xml:space="preserve"> - 信賴度必須是介於 0 和 100 之間的數字。</t>
  </si>
  <si>
    <t xml:space="preserve"> - 無法將輸入範圍轉換為數值和機率..</t>
  </si>
  <si>
    <t xml:space="preserve"> - 阻尼因子必須是數字。</t>
  </si>
  <si>
    <t xml:space="preserve"> - 阻尼因子必須是正數。</t>
  </si>
  <si>
    <t xml:space="preserve"> - 離散機率欄中的數字總合必須為 1。</t>
  </si>
  <si>
    <t xml:space="preserve"> - 請指定離散值及機率輸入範圍的兩欄範圍。</t>
  </si>
  <si>
    <t xml:space="preserve"> - 請指定具有多個數值及多個機率的輸入範圍。</t>
  </si>
  <si>
    <t xml:space="preserve"> - 離散值和機率範圍需僅有相同的數字資料。</t>
  </si>
  <si>
    <t xml:space="preserve"> - 離散值和機率範圍不可與輸出範圍重疊。</t>
  </si>
  <si>
    <t xml:space="preserve">  - 當標準誤差的核取方塊為已核取狀態時，則輸入範圍至少要有五個以上的資料點。</t>
  </si>
  <si>
    <t xml:space="preserve"> - 輸入的引數過長。請確定 RANDOM() 的語法格式。</t>
  </si>
  <si>
    <t xml:space="preserve"> - X 軸輸入範圍無法包含 16 個以上的變數（欄位）。</t>
  </si>
  <si>
    <t xml:space="preserve"> - 輸入範圍的值必須是 2 的整數次方。例如： 2、4、8、16、32、64、128 ...</t>
  </si>
  <si>
    <t xml:space="preserve"> - 輸入範圍的值必須小於或等於 4096。</t>
  </si>
  <si>
    <t xml:space="preserve"> - 若要指出資料群的排列方式，欄請使用 "C"，列則是 "R"。</t>
  </si>
  <si>
    <t xml:space="preserve"> - 輸入範圍應包括排列在列或欄中兩個以上的資料區塊。</t>
  </si>
  <si>
    <t xml:space="preserve"> - 輸入範圍必須是一連續的參照位址。</t>
  </si>
  <si>
    <t xml:space="preserve"> - 缺少輸入範圍，請輸入。</t>
  </si>
  <si>
    <t xml:space="preserve"> - 輸入和輸出範圍重疊！請重新輸入。</t>
  </si>
  <si>
    <t xml:space="preserve"> - 輸入範圍必須至少包含一個資料點。</t>
  </si>
  <si>
    <t xml:space="preserve"> - 區間必須是數字。</t>
  </si>
  <si>
    <t xml:space="preserve"> - 區間必須是正整數。</t>
  </si>
  <si>
    <t xml:space="preserve"> - 區間必須大於資料點。</t>
  </si>
  <si>
    <t xml:space="preserve"> - 輸入範圍包含錯誤的複數。複數應具有 x+yi 或 x+yj 的形式</t>
  </si>
  <si>
    <t xml:space="preserve"> - 所有的複數應具有相同的接尾，如 "i" 或 "j"。</t>
  </si>
  <si>
    <t xml:space="preserve"> - 第 K 個最大值必須是大於 0 的正整數，且不可超過資料點的數字。</t>
  </si>
  <si>
    <t xml:space="preserve"> - 第 K 個最小值必須是大於 0 的正整數，且不可超過資料點的數字。</t>
  </si>
  <si>
    <t xml:space="preserve"> - LINEST() 函數傳回錯誤。請再次檢查輸入範圍。</t>
  </si>
  <si>
    <t xml:space="preserve"> - 平均數差應為正數。</t>
  </si>
  <si>
    <t xml:space="preserve"> - 函數需更多的引數。</t>
  </si>
  <si>
    <t xml:space="preserve"> - 輸入和輸出範圍必須在同一張工作表上。</t>
  </si>
  <si>
    <t xml:space="preserve"> - 輸入/輸出範圍必須是連續的儲存格範圍。</t>
  </si>
  <si>
    <t xml:space="preserve"> - 輸入範圍必須是單一列或欄。</t>
  </si>
  <si>
    <t xml:space="preserve"> - 輸入範圍必須有相同的資料點個數。</t>
  </si>
  <si>
    <t xml:space="preserve"> - 輸入範圍至少必須包含 4 個資料點。</t>
  </si>
  <si>
    <t xml:space="preserve"> - 無法建立新的活頁簿。</t>
  </si>
  <si>
    <t xml:space="preserve"> - 無法建立新的輸出 ply。請檢查活頁簿保護設定。</t>
  </si>
  <si>
    <t xml:space="preserve">  無法建立「Main ATP」對話方塊。請聯絡客戶服務部。</t>
  </si>
  <si>
    <t xml:space="preserve">  無法對選定的程序建立對話方塊。請聯絡客戶服務部。</t>
  </si>
  <si>
    <t xml:space="preserve"> - 輸入範圍包含非數字的資料。</t>
  </si>
  <si>
    <t xml:space="preserve"> - 需要數字的一般平均數。</t>
  </si>
  <si>
    <t xml:space="preserve"> - 需要非零的一般標準差。</t>
  </si>
  <si>
    <t xml:space="preserve"> - 抽樣個數必須是大於零的整數。</t>
  </si>
  <si>
    <t xml:space="preserve"> - 請輸入隨機抽樣的個數。</t>
  </si>
  <si>
    <t xml:space="preserve"> - 無法移位輸入/輸出參照位址。</t>
  </si>
  <si>
    <t xml:space="preserve"> - 無法開啟資源工作表</t>
  </si>
  <si>
    <t xml:space="preserve"> - 無效的輸出選項。</t>
  </si>
  <si>
    <t xml:space="preserve"> - 輸出範圍必須是有效的參照位址。</t>
  </si>
  <si>
    <t xml:space="preserve"> - 缺少輸出範圍，請輸入。</t>
  </si>
  <si>
    <t xml:space="preserve"> - 估計的輸出運算列表超出工作表範圍。請選擇不同的參照位址。</t>
  </si>
  <si>
    <t xml:space="preserve"> - 輸出範圍取代現有的資料。請按「確定」來取代範圍中的資料：</t>
  </si>
  <si>
    <t xml:space="preserve"> - 圖樣啟動無法達到停止特定步驟。</t>
  </si>
  <si>
    <t xml:space="preserve"> - 需要數字的圖樣啟動。</t>
  </si>
  <si>
    <t xml:space="preserve"> - 需要非零的圖樣步驟。</t>
  </si>
  <si>
    <t xml:space="preserve"> - 需要數字的圖樣停止。</t>
  </si>
  <si>
    <t xml:space="preserve"> - 需要圖樣重複值且為大於零的整數。</t>
  </si>
  <si>
    <t xml:space="preserve"> - 需要圖樣重複順序且為大於零的整數。</t>
  </si>
  <si>
    <t xml:space="preserve"> - 週期間隔必須是大於零的整數。</t>
  </si>
  <si>
    <t xml:space="preserve"> - 請輸入抽樣的週期間隔。</t>
  </si>
  <si>
    <t xml:space="preserve"> - 週期間格不可超過輸入範圍中數值個數。</t>
  </si>
  <si>
    <t xml:space="preserve"> - 需要大於零值的波氏 λ 值。</t>
  </si>
  <si>
    <t xml:space="preserve"> - 需要分配類型。輸入項必須是 1 到 7 之間的整數。</t>
  </si>
  <si>
    <t xml:space="preserve"> - 亂數個數必須是大於零的整數。</t>
  </si>
  <si>
    <t xml:space="preserve"> - 離散分配：對於隨機選定的機率無法找到符合的值。</t>
  </si>
  <si>
    <t xml:space="preserve"> - 變數個數必須是大於零的整數。</t>
  </si>
  <si>
    <t xml:space="preserve"> - 至少請選擇一個統計選項。</t>
  </si>
  <si>
    <t xml:space="preserve"> - 需要樣本列數，請輸入。</t>
  </si>
  <si>
    <t xml:space="preserve"> - 樣本列數必須是大於零的整數。</t>
  </si>
  <si>
    <t xml:space="preserve"> - 每個樣本必須包含相同的列數。</t>
  </si>
  <si>
    <t xml:space="preserve"> - 不計標記，X 值的範圍和 Y 值的範圍必須有相同的列數（樣本值）。</t>
  </si>
  <si>
    <t xml:space="preserve"> - 無效的取樣方式。請對週期取樣輸入 "P"，則對隨機取樣輸入 "R"。</t>
  </si>
  <si>
    <t xml:space="preserve"> - 需要取樣方式。</t>
  </si>
  <si>
    <t xml:space="preserve"> - 種子值必須是介於 1 到 32767 間的整數。</t>
  </si>
  <si>
    <t xml:space="preserve"> - 無法修改受保護的工作表。</t>
  </si>
  <si>
    <t xml:space="preserve"> - 需要數字的均等分配界限。</t>
  </si>
  <si>
    <t xml:space="preserve"> - BOTH 變數範圍必須是列或欄。</t>
  </si>
  <si>
    <t xml:space="preserve"> - 變數範圍必須有相同的資料點個數。</t>
  </si>
  <si>
    <t xml:space="preserve"> - 變數範圍至少須有兩個資料點。</t>
  </si>
  <si>
    <t xml:space="preserve"> - 變數 1 範圍必須是連續的參照位址。</t>
  </si>
  <si>
    <t xml:space="preserve"> - 缺少變數 1 範圍。</t>
  </si>
  <si>
    <t xml:space="preserve"> - 變數範圍 1 和 2 不可重疊。</t>
  </si>
  <si>
    <t xml:space="preserve"> - 變數 1 範圍和輸出範圍不可重疊。</t>
  </si>
  <si>
    <t xml:space="preserve"> - 變數 2 範圍必須是連續的參照位址。</t>
  </si>
  <si>
    <t xml:space="preserve"> - 缺少變數 2 範圍。</t>
  </si>
  <si>
    <t xml:space="preserve"> - 變數 2 範圍和輸出範圍不可重疊。</t>
  </si>
  <si>
    <t xml:space="preserve"> - 隨機分配類型必應介於 1 到 7 之間的數字。</t>
  </si>
  <si>
    <t xml:space="preserve"> - X 值的範圍和輸出範圍會重疊。請選擇不停的輸出範圍。</t>
  </si>
  <si>
    <t xml:space="preserve"> - 輸入 X 值的範為必須是連續的參照位址。</t>
  </si>
  <si>
    <t xml:space="preserve"> - 缺少輸入 X 值的範圍。</t>
  </si>
  <si>
    <t xml:space="preserve"> - X 值範圍中的欄列個數不可相同。</t>
  </si>
  <si>
    <t xml:space="preserve"> - X 值的範圍和 Y 值的範圍不可重疊。</t>
  </si>
  <si>
    <t xml:space="preserve"> - Y 值的範圍和輸出範圍會重疊。請選擇不同的輸出範圍。</t>
  </si>
  <si>
    <t xml:space="preserve"> - 輸入 Y 值的範為必須是連續的參照位址。</t>
  </si>
  <si>
    <t xml:space="preserve"> - 缺少輸入 Y 值的範圍，請輸入。</t>
  </si>
  <si>
    <t xml:space="preserve"> - 變數 1 必須大於零。</t>
  </si>
  <si>
    <t xml:space="preserve"> - 變數 2 必須大於零。</t>
  </si>
  <si>
    <t xml:space="preserve">  - 無法在共用的工作表中加入圖表。 是否要繼續產生輸出表格？</t>
  </si>
  <si>
    <t>Análisis de datos</t>
  </si>
  <si>
    <t>Análisis de varianza de un factor</t>
  </si>
  <si>
    <t>Regresión</t>
  </si>
  <si>
    <t>Coeficiente de correlación</t>
  </si>
  <si>
    <t>Estadística descriptiva</t>
  </si>
  <si>
    <t>Suavización exponencial</t>
  </si>
  <si>
    <t>Prueba F para varianzas de dos muestras</t>
  </si>
  <si>
    <t>Muestra</t>
  </si>
  <si>
    <t>Generación de números aleatorios</t>
  </si>
  <si>
    <t>Aceptar</t>
  </si>
  <si>
    <t>&amp;Funciones para análisis</t>
  </si>
  <si>
    <t>Opciones de salida</t>
  </si>
  <si>
    <t>Número de &amp;variables:</t>
  </si>
  <si>
    <t>Rango de &amp;entrada</t>
  </si>
  <si>
    <t>Rango &amp;Y de entrada:</t>
  </si>
  <si>
    <t>Rango de &amp;entrada:</t>
  </si>
  <si>
    <t>Rango para la variable &amp;1:</t>
  </si>
  <si>
    <t>Sobrescribir datos en el ran&amp;go:</t>
  </si>
  <si>
    <t>&amp;Cantidad de números aleatorios:</t>
  </si>
  <si>
    <t>Rango &amp;X de entrada:</t>
  </si>
  <si>
    <t>Escribir en un rango nue&amp;vo:</t>
  </si>
  <si>
    <t>&amp;Factor de suavización:</t>
  </si>
  <si>
    <t>Rango para la variable &amp;2:</t>
  </si>
  <si>
    <t>En una &amp;hoja nueva:</t>
  </si>
  <si>
    <t>Método de muestreo</t>
  </si>
  <si>
    <t>&amp;Distribución:</t>
  </si>
  <si>
    <t>&amp;Rótulos en la primera columna</t>
  </si>
  <si>
    <t>&amp;Columnas</t>
  </si>
  <si>
    <t>En un &amp;libro nuevo</t>
  </si>
  <si>
    <t>&amp;Rótulos en la primera fila</t>
  </si>
  <si>
    <t>&amp;Filas</t>
  </si>
  <si>
    <t>&amp;Constante igual a cero</t>
  </si>
  <si>
    <t>Escribiendo información en celdas con datos: se pueden perder datos</t>
  </si>
  <si>
    <t>Parámetros</t>
  </si>
  <si>
    <t>&amp;Nivel de confianza</t>
  </si>
  <si>
    <t>&amp;Aleatorio</t>
  </si>
  <si>
    <t>Rango de &amp;salida:</t>
  </si>
  <si>
    <t>Fecha y hora</t>
  </si>
  <si>
    <t>Información</t>
  </si>
  <si>
    <t>Número de muestras:</t>
  </si>
  <si>
    <t>Matemáticas y trigonométricas</t>
  </si>
  <si>
    <t>Estadísticas</t>
  </si>
  <si>
    <t>Finanzas</t>
  </si>
  <si>
    <t>&amp;Crear gráfico</t>
  </si>
  <si>
    <t>Ingeniería</t>
  </si>
  <si>
    <t>Error &amp;típico</t>
  </si>
  <si>
    <t>Resumen &amp;de estadísticas</t>
  </si>
  <si>
    <t>Análisis de varianza</t>
  </si>
  <si>
    <t>&amp;Nivel de confianza para la media:</t>
  </si>
  <si>
    <t>Residuales</t>
  </si>
  <si>
    <t>Rango de &amp;entrada de valores y probabilidades:</t>
  </si>
  <si>
    <t>Análisis de varianza de dos factores con varias muestras por grupo</t>
  </si>
  <si>
    <t>Resi&amp;duos</t>
  </si>
  <si>
    <t>Análisis de varianza de dos factores con una sola muestra por grupo</t>
  </si>
  <si>
    <t>Residuos &amp;estándares</t>
  </si>
  <si>
    <t>K-ésimo m&amp;ayor:</t>
  </si>
  <si>
    <t>&amp;Iniciar con:</t>
  </si>
  <si>
    <t>RESUMEN</t>
  </si>
  <si>
    <t>&amp;Gráfico de residuales</t>
  </si>
  <si>
    <t>Prueba t para medias de dos muestras emparejadas</t>
  </si>
  <si>
    <t>Cur&amp;va de regresión ajustada</t>
  </si>
  <si>
    <t>K-ésimo &amp;menor:</t>
  </si>
  <si>
    <t>Cuenta</t>
  </si>
  <si>
    <t>Probabilidad normal</t>
  </si>
  <si>
    <t>Gráfico de &amp;probabilidad normal</t>
  </si>
  <si>
    <t>Promedio</t>
  </si>
  <si>
    <t>ANÁLISIS DE VARIANZA</t>
  </si>
  <si>
    <t>Origen de las variaciones</t>
  </si>
  <si>
    <t>&amp;Fila por muestra:</t>
  </si>
  <si>
    <t>Suma de cuadrados</t>
  </si>
  <si>
    <t>&amp;Diferencia hipotética entre las medias:</t>
  </si>
  <si>
    <t>Grados de libertad</t>
  </si>
  <si>
    <t>Promedio de los cuadrados</t>
  </si>
  <si>
    <t>Probabilidad</t>
  </si>
  <si>
    <t>Valor crítico para F</t>
  </si>
  <si>
    <t>Dentro de los grupos</t>
  </si>
  <si>
    <t>Columna</t>
  </si>
  <si>
    <t>Interacción</t>
  </si>
  <si>
    <t>Jerarquía y percentil</t>
  </si>
  <si>
    <t>Dentro del grupo</t>
  </si>
  <si>
    <t>Filas</t>
  </si>
  <si>
    <t>&amp;y</t>
  </si>
  <si>
    <t>Columnas</t>
  </si>
  <si>
    <t>Estadísticas descriptivas</t>
  </si>
  <si>
    <t>Prueba t para dos muestras suponiendo varianzas iguales</t>
  </si>
  <si>
    <t>D&amp;e</t>
  </si>
  <si>
    <t>Error típico</t>
  </si>
  <si>
    <t>Desviación estándar</t>
  </si>
  <si>
    <t>increment&amp;o</t>
  </si>
  <si>
    <t>Varianza de la muestra</t>
  </si>
  <si>
    <t>Curtosis</t>
  </si>
  <si>
    <t>repitiendo cada &amp;número</t>
  </si>
  <si>
    <t>Coeficiente de asimetría</t>
  </si>
  <si>
    <t>veces</t>
  </si>
  <si>
    <t>&amp;repitiendo la secuencia</t>
  </si>
  <si>
    <t xml:space="preserve">Mayor </t>
  </si>
  <si>
    <t>Nivel de confianza</t>
  </si>
  <si>
    <t>Correlación</t>
  </si>
  <si>
    <t>Media móvil</t>
  </si>
  <si>
    <t>Análisis de Fourier</t>
  </si>
  <si>
    <t>Pronóstico</t>
  </si>
  <si>
    <t>Punto de datos</t>
  </si>
  <si>
    <t>M&amp;edia =</t>
  </si>
  <si>
    <t>Clase</t>
  </si>
  <si>
    <t>Frecuencia</t>
  </si>
  <si>
    <t xml:space="preserve">Desvi&amp;ación estándar = </t>
  </si>
  <si>
    <t>% acumulado</t>
  </si>
  <si>
    <t>Prueba t para dos muestras suponiendo varianzas desiguales</t>
  </si>
  <si>
    <t>y mayor...</t>
  </si>
  <si>
    <t>Transformación &amp;inversa</t>
  </si>
  <si>
    <t>Observaciones</t>
  </si>
  <si>
    <t>P(F&lt;=f) una cola</t>
  </si>
  <si>
    <t>Valor crítico para F (una cola)</t>
  </si>
  <si>
    <t>Diferencia hipotética de las medias</t>
  </si>
  <si>
    <t>Varianza agrupada</t>
  </si>
  <si>
    <t>Coeficiente de correlación de Pearson</t>
  </si>
  <si>
    <t>P(T&lt;=t) una cola</t>
  </si>
  <si>
    <t>&amp;Probabilidad =</t>
  </si>
  <si>
    <t>P(T&lt;=t) dos colas</t>
  </si>
  <si>
    <t>Estadístico t</t>
  </si>
  <si>
    <t>Valor crítico de t (una cola)</t>
  </si>
  <si>
    <t>Valor crítico de t (dos colas)</t>
  </si>
  <si>
    <t>Ra&amp;ngo de clases:</t>
  </si>
  <si>
    <t>Prueba z para medias de dos muestras</t>
  </si>
  <si>
    <t>Varianza (conocida)</t>
  </si>
  <si>
    <t>P(Z&lt;=z) una cola</t>
  </si>
  <si>
    <t>Valor crítico de z (una cola)</t>
  </si>
  <si>
    <t>Valor crítico de z (dos colas)</t>
  </si>
  <si>
    <t xml:space="preserve">&amp;Número de muestras = </t>
  </si>
  <si>
    <t>Jerarquía y percentil (análisis de posición)</t>
  </si>
  <si>
    <t>Jerarquía</t>
  </si>
  <si>
    <t>P&amp;areto (Histograma ordenado)</t>
  </si>
  <si>
    <t>Porcentaje</t>
  </si>
  <si>
    <t>&amp;Porcentaje acumulado</t>
  </si>
  <si>
    <t>Posición</t>
  </si>
  <si>
    <t>Fila</t>
  </si>
  <si>
    <t>Varianza para la &amp;variable 1 (conocida):</t>
  </si>
  <si>
    <t>Varian&amp;za para la variable 2 (conocida):</t>
  </si>
  <si>
    <t>Frecuencia relativa</t>
  </si>
  <si>
    <t>Análisis de los residuales</t>
  </si>
  <si>
    <t>Observación</t>
  </si>
  <si>
    <t>Pronóstico para Y</t>
  </si>
  <si>
    <t>Residuos estándares</t>
  </si>
  <si>
    <t>Resultados de datos de probabilidad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</si>
  <si>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</si>
  <si>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</si>
  <si>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</si>
  <si>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</si>
  <si>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</si>
  <si>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Residuos</t>
  </si>
  <si>
    <t>Valor crítico de F</t>
  </si>
  <si>
    <t>Rango de &amp;entrada para valores y probabilidades:</t>
  </si>
  <si>
    <t>Intercepción</t>
  </si>
  <si>
    <t>Inferior 95%</t>
  </si>
  <si>
    <t>Superior 95%</t>
  </si>
  <si>
    <t>Gráfico de los residuales</t>
  </si>
  <si>
    <t>Curva de regresión ajustada</t>
  </si>
  <si>
    <t>Gráfico de probabilidad normal</t>
  </si>
  <si>
    <t>Muestra percentil</t>
  </si>
  <si>
    <t>Muestreo</t>
  </si>
  <si>
    <t xml:space="preserve"> - Memoria insuficiente para realizar los cálculos.</t>
  </si>
  <si>
    <t xml:space="preserve"> - Alfa debe estar dentro del intervalo 0 .. 1.</t>
  </si>
  <si>
    <t xml:space="preserve"> - Se requiere la distribución de Bernoulli y debe ser un número dentro del intervalo 0 .. 1.</t>
  </si>
  <si>
    <t xml:space="preserve"> - Se requiere la distribución Binomial y debe ser un número dentro del intervalo 0 .. 1.</t>
  </si>
  <si>
    <t xml:space="preserve"> - Distribución Binomial: el número de ensayos es requerido y debe ser mayor que cero.</t>
  </si>
  <si>
    <t xml:space="preserve"> - El rango de clases no puede estar vacío.</t>
  </si>
  <si>
    <t xml:space="preserve"> - El rango de clases es opcional. Debe ser una referencia.</t>
  </si>
  <si>
    <t xml:space="preserve"> - El rango de clases no puede contener datos no numéricos.</t>
  </si>
  <si>
    <t xml:space="preserve"> - El rango de clases y de entrada se superponen.</t>
  </si>
  <si>
    <t xml:space="preserve"> - El rango de clases y de salida se superponen.</t>
  </si>
  <si>
    <t xml:space="preserve"> - No se puede crear un gráfico para clases vacías.</t>
  </si>
  <si>
    <t xml:space="preserve"> - Crear gráfico debe ser un valor lógico.</t>
  </si>
  <si>
    <t xml:space="preserve"> - Constante debe ser un valor lógico.</t>
  </si>
  <si>
    <t xml:space="preserve"> - Porcentaje acumulado debe ser un valor lógico.</t>
  </si>
  <si>
    <t xml:space="preserve"> - La transformada inversa debe ser un valor lógico.</t>
  </si>
  <si>
    <t xml:space="preserve"> - La línea de regresión ajustada debe ser un valor lógico.</t>
  </si>
  <si>
    <t xml:space="preserve"> - Los títulos deben ser un valor lógico.</t>
  </si>
  <si>
    <t xml:space="preserve"> - Pareto debe ser un valor lógico.</t>
  </si>
  <si>
    <t xml:space="preserve"> - Gráfico de probabilidad normal debe ser un valor lógico.</t>
  </si>
  <si>
    <t xml:space="preserve"> - Gráfico de los residuales debe ser un valor lógico.</t>
  </si>
  <si>
    <t xml:space="preserve"> - El parámetro residuos debe ser un valor lógico.</t>
  </si>
  <si>
    <t xml:space="preserve"> - El parámetro error típico debe ser un valor lógico.</t>
  </si>
  <si>
    <t xml:space="preserve"> - Residuos estándares debe ser un valor lógico.</t>
  </si>
  <si>
    <t xml:space="preserve"> - Resumen de estadísticas debe  ser un valor lógico.</t>
  </si>
  <si>
    <t xml:space="preserve"> - El rango de entrada/salida especificado no es una referencia válida.</t>
  </si>
  <si>
    <t xml:space="preserve"> - No es posible crear una referencia relativa entre rangos.</t>
  </si>
  <si>
    <t xml:space="preserve"> - Algunos datos serán ocultados por el gráfico (o gráficos) incrustado.</t>
  </si>
  <si>
    <t xml:space="preserve"> - No es posible crear un gráfico incrustado. Los bordes del gráfico sobrepasan los límites de la hoja.</t>
  </si>
  <si>
    <t xml:space="preserve"> - Cálculos interrumpidos: Elija 'Aceptar' para interrumpir los cálculos, elija 'Cancelar' para reanudar los cálculos.</t>
  </si>
  <si>
    <t xml:space="preserve"> - El nivel de confianza debe estar comprendido dentro del intervalo 0 y100.</t>
  </si>
  <si>
    <t xml:space="preserve"> - El rango de entrada no se ha podido convertir en valores o probabilidades. Por favor, inténtelo de nuevo.</t>
  </si>
  <si>
    <t xml:space="preserve"> - El factor de suavización debe ser numérico.</t>
  </si>
  <si>
    <t xml:space="preserve"> - El factor de suavización debe ser un número positivo.</t>
  </si>
  <si>
    <t xml:space="preserve"> - La columna con las probabilidades discretas debe sumar 1.</t>
  </si>
  <si>
    <t xml:space="preserve"> - Por favor, especifique un rango de dos columnas para la probabilidad y los valores del rango de entrada.</t>
  </si>
  <si>
    <t xml:space="preserve"> - Por favor, especifique un rango de entrada con más de un valor y más de una probabilidad.</t>
  </si>
  <si>
    <t xml:space="preserve"> - Distribución discreta: los rangos de los valores y la probabilidad deben tener el mismo número de datos y deben ser numéricos.</t>
  </si>
  <si>
    <t xml:space="preserve"> - El rango de entrada de los valores y probabilidades no se debe cruzar con el rango de salida.</t>
  </si>
  <si>
    <t xml:space="preserve"> - El rango de entrada debe contener al menos 5 puntos de datos al estar habilitada la opción Error típico.</t>
  </si>
  <si>
    <t xml:space="preserve"> - Demasiados argumentos en la función ALEATORIO(). Compruebe la sintaxis.</t>
  </si>
  <si>
    <t xml:space="preserve"> - El rango de entrada para la variable X no puede contener más de 16 variables (columnas).</t>
  </si>
  <si>
    <t xml:space="preserve"> - El número de datos de entrada debe ser una potencia de 2. Por ejemplo: 2, 4, 8, 16, 32, 64, 128, ...</t>
  </si>
  <si>
    <t xml:space="preserve"> - El valor del número de entrada debe ser menor o igual a 4096.</t>
  </si>
  <si>
    <t xml:space="preserve"> - Para indicar de qué forma están agrupados los datos, utilice "C" para columnas y "R" para filas.</t>
  </si>
  <si>
    <t xml:space="preserve"> - El rango de entrada debe tener al menos dos bloques de datos colocados en forma de fila o de columna.</t>
  </si>
  <si>
    <t xml:space="preserve"> - El rango de entrada debe ser una selección continua.</t>
  </si>
  <si>
    <t xml:space="preserve"> - El rango de entrada no ha sido definido. Por favor, introduzca uno.</t>
  </si>
  <si>
    <t xml:space="preserve"> - El rango de entrada y de salida se superponen. Por favor, vuelva a definirlos.</t>
  </si>
  <si>
    <t xml:space="preserve"> - El rango de entrada debe contener al menos un dato.</t>
  </si>
  <si>
    <t xml:space="preserve"> - El intervalo debe ser numérico.</t>
  </si>
  <si>
    <t xml:space="preserve"> - El intervalo debe ser un entero positivo.</t>
  </si>
  <si>
    <t xml:space="preserve"> - El intervalo no puede ser mayor que el número de datos.</t>
  </si>
  <si>
    <t xml:space="preserve"> - El rango de entrada contiene un número complejo que no es válido. Los números complejos deben tener la forma x+yi o x+yj.</t>
  </si>
  <si>
    <t xml:space="preserve"> - Todos los números complejos deben tener los mismos sufijos "i"o "j".</t>
  </si>
  <si>
    <t xml:space="preserve"> - El k-ésimo número mayor debe ser un número entero positvo y no debe exceder la cantidad de datos.</t>
  </si>
  <si>
    <t xml:space="preserve"> - El k-ésimo número menor debe ser un número entero positivo y no debe exceder la cantidad de datos.</t>
  </si>
  <si>
    <t xml:space="preserve"> - Se ha producido un error durante el cálculo de la función ESTIMACION.LINEAL(). Por favor, verifique los rangos de entrada.</t>
  </si>
  <si>
    <t xml:space="preserve"> - La diferencia hipotética de las medias debe ser un número positivo.</t>
  </si>
  <si>
    <t xml:space="preserve"> - Hacen falta algunos argumentos en la función para poder calcularla.</t>
  </si>
  <si>
    <t xml:space="preserve"> - El rango de entrada y de salida deben estar en la misma hoja.</t>
  </si>
  <si>
    <t xml:space="preserve"> - Los rangos de entrada y de salida deben ser una selección continua.</t>
  </si>
  <si>
    <t xml:space="preserve"> - El rango de entrada debe ser una sola fila o columna.</t>
  </si>
  <si>
    <t xml:space="preserve"> - Los rangos de entrada deben tener el mismo número de datos.</t>
  </si>
  <si>
    <t xml:space="preserve"> - El rango de entrada debe contener al menos 4 datos.</t>
  </si>
  <si>
    <t xml:space="preserve"> - No se puede crear un libro nuevo.</t>
  </si>
  <si>
    <t xml:space="preserve"> - No se puede insertar una hoja nueva.</t>
  </si>
  <si>
    <t xml:space="preserve"> - No se puede acceder al primer cuadro de diálogo de Herramientas de análisis. Por favor, póngase en contacto con el servicio de soporte técnico de Microsoft.</t>
  </si>
  <si>
    <t xml:space="preserve"> - No se puede acceder al cuadro de diálogo del procedimiento seleccionado. Por favor, póngase en contacto con el servicio de soporte técnico de Microsoft.</t>
  </si>
  <si>
    <t xml:space="preserve"> - El rango de entrada contiene datos no numéricos.</t>
  </si>
  <si>
    <t xml:space="preserve"> - La media para la distribución es requerida y debe ser numérica.</t>
  </si>
  <si>
    <t xml:space="preserve"> - La desviación estándar es requerida y debe ser un número positivo.</t>
  </si>
  <si>
    <t xml:space="preserve"> - El número de muestras debe ser un número positivo.</t>
  </si>
  <si>
    <t xml:space="preserve"> - Por favor, introduzca el número de muestras aleatorias.</t>
  </si>
  <si>
    <t xml:space="preserve"> - Hubo problemas de escritura durante la manipulación de las referencias de datos de entrada o salida.</t>
  </si>
  <si>
    <t xml:space="preserve"> - No se puede abrir la hoja de recurso.</t>
  </si>
  <si>
    <t xml:space="preserve"> - La opción de salida no es válida.</t>
  </si>
  <si>
    <t xml:space="preserve"> - El rango de salida debe ser una referencia válida.</t>
  </si>
  <si>
    <t xml:space="preserve"> - No se especificó el rango de salida. Por favor, especifíquelo.</t>
  </si>
  <si>
    <t xml:space="preserve"> - La estimación del rango de salida sobrepasa los límites de la hoja. Por favor, elija una referencia diferente.</t>
  </si>
  <si>
    <t xml:space="preserve"> - El rango de salida reemplazará datos existentes. Elija Aceptar para reemplazar los datos en el rango:</t>
  </si>
  <si>
    <t xml:space="preserve"> - La distribución de frecuencia relativa no podrá alcanzar el valor "a" con el valor actual de "incremento". Por favor, introduzca un valor adecuado.</t>
  </si>
  <si>
    <t xml:space="preserve"> - La distribución de frecuencia relativa requiere un valor inicial que sea numérico.</t>
  </si>
  <si>
    <t xml:space="preserve"> - La distribución de frecuencia relativa requiere un valor de incremento numérico.</t>
  </si>
  <si>
    <t xml:space="preserve"> - La distribución de frecuencia relativa requiere un valor numérico para el parámetro "a".</t>
  </si>
  <si>
    <t xml:space="preserve"> - La distribución de frecuencia relativa requiere un valor entero positivo para la repetición de cada número.</t>
  </si>
  <si>
    <t xml:space="preserve"> - La distribución de frecuencia relativa requiere un valor entero positivo para la repetición de secuencia.</t>
  </si>
  <si>
    <t xml:space="preserve"> - El intervalo periódico debe ser un entero positivo.</t>
  </si>
  <si>
    <t xml:space="preserve"> - Por favor, introduzca un valor para el intervalo periódico del método de muestreo.</t>
  </si>
  <si>
    <t xml:space="preserve"> - El intervalo periódico no puede ser mayor que el número de valores en el rango de entrada.</t>
  </si>
  <si>
    <t xml:space="preserve"> - El factor Lambda es requerido y debe ser numérico.</t>
  </si>
  <si>
    <t xml:space="preserve"> - El tipo de distribución es requerido y debe ser un número entero comprendido en el intervalo 1 y 7.</t>
  </si>
  <si>
    <t xml:space="preserve"> - El parámetro cantidad de números aleatorios debe ser un entero positivo.</t>
  </si>
  <si>
    <t xml:space="preserve"> - La distribución discreta no ha podido encontrar un valor adecuado para la probabilidad seleccionada.</t>
  </si>
  <si>
    <t xml:space="preserve"> - El parámetro número de variables debe ser un entero positivo.</t>
  </si>
  <si>
    <t xml:space="preserve"> - Por favor, elija al menos una opción estadística.</t>
  </si>
  <si>
    <t xml:space="preserve"> - Debe especificar el parámetro fila por muestra.</t>
  </si>
  <si>
    <t xml:space="preserve"> - Fila por muestra debe contener un número positivo.</t>
  </si>
  <si>
    <t xml:space="preserve"> - Cada muestra debe contener el mismo número de filas.</t>
  </si>
  <si>
    <t xml:space="preserve"> - Los rangos X y Y deben tener el mismo número de filas independientemente de los títulos.</t>
  </si>
  <si>
    <t xml:space="preserve"> - El método de muestreo no es válido. Introduzca "P" para muestreo periódico o "R" para muestreo aleatorio.</t>
  </si>
  <si>
    <t xml:space="preserve"> - Debe especificar el método de muestreo.</t>
  </si>
  <si>
    <t xml:space="preserve"> - Iniciar con debe ser un número comprendido en el intervalo 1 y 32767.</t>
  </si>
  <si>
    <t xml:space="preserve"> - No se puede modificar una hoja protegida.</t>
  </si>
  <si>
    <t xml:space="preserve"> - Los parámetros son requeridos y deben ser numéricos.</t>
  </si>
  <si>
    <t xml:space="preserve"> - Los dos rangos deben tener el mismo tipo de selección ya sea por columnas o por filas.  </t>
  </si>
  <si>
    <t xml:space="preserve"> - Los rangos para las variables deben contener el mismo número de datos.</t>
  </si>
  <si>
    <t xml:space="preserve"> - Los rangos para las variable 1 y 2 deben contener por lo menos 2 datos.</t>
  </si>
  <si>
    <t xml:space="preserve"> - El rango para la variable 1 debe ser una selección continua.</t>
  </si>
  <si>
    <t xml:space="preserve"> - Debe especificar el rango para la variable 1.</t>
  </si>
  <si>
    <t xml:space="preserve"> - Los rangos de las variables 1 y 2 no se deben cruzar.</t>
  </si>
  <si>
    <t xml:space="preserve"> - El rango para la variable 1 y el de salida no se deben cruzar.</t>
  </si>
  <si>
    <t xml:space="preserve"> - El rango para la variable 2 debe ser una selección continua.</t>
  </si>
  <si>
    <t xml:space="preserve"> - Debe especificar el rango para la variable 2.</t>
  </si>
  <si>
    <t xml:space="preserve"> - El rango para la variable 2 y el rango de salida no se deben cruzar.</t>
  </si>
  <si>
    <t xml:space="preserve"> - El tipo de distribución debe ser un número comprendido entre 1 y 7.</t>
  </si>
  <si>
    <t xml:space="preserve"> - El rango de salida y el de entrada para X no se deben cruzar.</t>
  </si>
  <si>
    <t xml:space="preserve"> - El rango de entrada para la variable X debe ser una selección continua.</t>
  </si>
  <si>
    <t xml:space="preserve"> - Debe especificar el rango de entrada para la variable X.</t>
  </si>
  <si>
    <t xml:space="preserve"> - El número de filas y columnas para el rango X no puede ser el mismo.</t>
  </si>
  <si>
    <t xml:space="preserve"> - El rango Y de entrada y el X no se deben cruzar.</t>
  </si>
  <si>
    <t xml:space="preserve"> - El rango de salida y el de entrada para Y no se deben cruzar.</t>
  </si>
  <si>
    <t xml:space="preserve"> - El rango de entrada para la variable Y debe ser una selección continua.</t>
  </si>
  <si>
    <t xml:space="preserve"> - Debe especificar el rango de entrada para la variable Y.</t>
  </si>
  <si>
    <t xml:space="preserve"> - La varianza para la variable 1 debe ser un número positivo.</t>
  </si>
  <si>
    <t xml:space="preserve"> - La varianza para la variable 2 debe ser un número positivo.</t>
  </si>
  <si>
    <t xml:space="preserve"> - No se puede acceder a los controles ActiveX de libro de trabajo. Póngase en contacto con el servicio de soporte técnico de Microsoft para ayuda.</t>
  </si>
  <si>
    <t xml:space="preserve"> - Es imposible agregar un gráfico a un libro compartido</t>
  </si>
  <si>
    <t>Anova: fator único</t>
  </si>
  <si>
    <t>Teste-F: duas amostras para variâncias</t>
  </si>
  <si>
    <t>Núm&amp;ero de variáveis:</t>
  </si>
  <si>
    <t>Intervalo &amp;Y de entrada:</t>
  </si>
  <si>
    <t>&amp;Sobrescrever dados no intervalo:</t>
  </si>
  <si>
    <t>&amp;Número de números aleatórios:</t>
  </si>
  <si>
    <t>Intervalo &amp;X de entrada:</t>
  </si>
  <si>
    <t>&amp;Escrever em um novo intervalo:</t>
  </si>
  <si>
    <t>Fator de amorte&amp;cimento:</t>
  </si>
  <si>
    <t>No&amp;va planilha:</t>
  </si>
  <si>
    <t>Nova pasta de &amp;trabalho</t>
  </si>
  <si>
    <t>Li&amp;nhas</t>
  </si>
  <si>
    <t>Escrevendo informação em células não-vazias: dados podem ser perdidos!</t>
  </si>
  <si>
    <t>&amp;Nível de confiança</t>
  </si>
  <si>
    <t>L1C1</t>
  </si>
  <si>
    <t>A&amp;leatório</t>
  </si>
  <si>
    <t>Intervalo de &amp;saída:</t>
  </si>
  <si>
    <t>Informações</t>
  </si>
  <si>
    <t>Intervalo &amp;de saída:</t>
  </si>
  <si>
    <t>Matemática e trigonométrica</t>
  </si>
  <si>
    <t>Resultado do grá&amp;fico</t>
  </si>
  <si>
    <t>Erros pa&amp;drão</t>
  </si>
  <si>
    <t>Resum&amp;o estatístico</t>
  </si>
  <si>
    <t>Nível de confia&amp;bilidade p/ média:</t>
  </si>
  <si>
    <t>Resíduos</t>
  </si>
  <si>
    <t>&amp;Intervalo de entrada de probabilidade e valor:</t>
  </si>
  <si>
    <t>Anova: fator duplo com repetição</t>
  </si>
  <si>
    <t>Resí&amp;duos</t>
  </si>
  <si>
    <t>Anova: fator duplo sem repetição</t>
  </si>
  <si>
    <t>Resíd&amp;uos padronizados</t>
  </si>
  <si>
    <t>Enésimo &amp;maior:</t>
  </si>
  <si>
    <t>Se&amp;mente aleatória:</t>
  </si>
  <si>
    <t>RESUMO</t>
  </si>
  <si>
    <t>P&amp;lotar resíduos</t>
  </si>
  <si>
    <t>Teste-T: duas amostras em par para médias</t>
  </si>
  <si>
    <t>Grupo</t>
  </si>
  <si>
    <t>Pl&amp;otar ajuste de linha</t>
  </si>
  <si>
    <t>Enés&amp;imo menor:</t>
  </si>
  <si>
    <t>&amp;Plotagem de probabilidade normal</t>
  </si>
  <si>
    <t>Fonte da variação</t>
  </si>
  <si>
    <t>Li&amp;nhas por amostra:</t>
  </si>
  <si>
    <t>valor-P</t>
  </si>
  <si>
    <t>Dentro dos grupos</t>
  </si>
  <si>
    <t>Interações</t>
  </si>
  <si>
    <t>&amp;E</t>
  </si>
  <si>
    <t>Teste-T: duas amostras presumindo variâncias equivalentes</t>
  </si>
  <si>
    <t>Erro padrão</t>
  </si>
  <si>
    <t>&amp;Para</t>
  </si>
  <si>
    <t>Modo</t>
  </si>
  <si>
    <t>Desvio padrão</t>
  </si>
  <si>
    <t>Repetindo &amp;cada número</t>
  </si>
  <si>
    <t>&amp;Repetindo a seqüência</t>
  </si>
  <si>
    <t>&amp;Média =</t>
  </si>
  <si>
    <t>&amp;Rótulos da primeira coluna</t>
  </si>
  <si>
    <t>Freqüência</t>
  </si>
  <si>
    <t xml:space="preserve">&amp;Desvio padrão = </t>
  </si>
  <si>
    <t>% cumulativo</t>
  </si>
  <si>
    <t>Teste-T: duas amostras presumindo variâncias diferentes</t>
  </si>
  <si>
    <t>Teste-t: duas amostras presumindo variâncias equivalentes</t>
  </si>
  <si>
    <t>Teste-t: duas amostras em par para médias</t>
  </si>
  <si>
    <t>Teste-t: duas amostras presumindo variâncias diferentes</t>
  </si>
  <si>
    <t>I&amp;nverso</t>
  </si>
  <si>
    <t>&amp;Hipotése da diferença de média:</t>
  </si>
  <si>
    <t>Hipótese da diferença de média</t>
  </si>
  <si>
    <t>&amp;Valor p =</t>
  </si>
  <si>
    <t>Intervalo do &amp;bloco:</t>
  </si>
  <si>
    <t>Teste-z: duas amostras para médias</t>
  </si>
  <si>
    <t>Teste-Z: duas amostras para médias</t>
  </si>
  <si>
    <t xml:space="preserve">&amp;Números de tentativas = </t>
  </si>
  <si>
    <t>Porcentagem</t>
  </si>
  <si>
    <t>Porcentagem &amp;cumulativa</t>
  </si>
  <si>
    <t>Variâ&amp;ncia da variável 1 (conhecida):</t>
  </si>
  <si>
    <t>Variân&amp;cia da variável 2 (conhecida):</t>
  </si>
  <si>
    <t>RESULTADOS DE RESÍDUOS</t>
  </si>
  <si>
    <t>Previsto(a)</t>
  </si>
  <si>
    <t>Resíduos padrão</t>
  </si>
  <si>
    <t>RESUMO DOS RESULTADOS</t>
  </si>
  <si>
    <t>R-Quadrado</t>
  </si>
  <si>
    <t>R-quadrado ajustado</t>
  </si>
  <si>
    <t>Resíduo</t>
  </si>
  <si>
    <t>F de significação</t>
  </si>
  <si>
    <t>Interseção</t>
  </si>
  <si>
    <t>95% inferiores</t>
  </si>
  <si>
    <t>95% superiores</t>
  </si>
  <si>
    <t>Plotagem de resíduos</t>
  </si>
  <si>
    <t>Plotagem de ajuste de linha</t>
  </si>
  <si>
    <t>Plotagem de probabilidade normal</t>
  </si>
  <si>
    <t xml:space="preserve"> - Não foi possível alocar memória para o cálculo.</t>
  </si>
  <si>
    <t xml:space="preserve"> - Alfa deve ser um número no intervalo de 0 .. 1.</t>
  </si>
  <si>
    <t xml:space="preserve"> - A probabilidade de Bernoulli é necessária e deve ser um número entre 0 .. 1.</t>
  </si>
  <si>
    <t xml:space="preserve"> - A probabilidade Binomial é necessária e deve ser um número entre 0 .. 1.</t>
  </si>
  <si>
    <t xml:space="preserve"> - Tentativas binomiais são necessárias e devem ser números inteiros maiores que zero.</t>
  </si>
  <si>
    <t xml:space="preserve"> - "Intervalo do bloco" não pode estar vazio.</t>
  </si>
  <si>
    <t xml:space="preserve"> - "Intervalo do bloco" pode ser omitido.  Se digitado, deve ser uma referência.</t>
  </si>
  <si>
    <t xml:space="preserve"> - "Intervalo do bloco" não pode ter dados não numéricos.</t>
  </si>
  <si>
    <t xml:space="preserve"> - "Intervalo do bloco" e "Intervalo de entrada" se sobrepõem.</t>
  </si>
  <si>
    <t xml:space="preserve"> - "Intervalo do bloco" e "Intervalo de saída" se sobrepõem.</t>
  </si>
  <si>
    <t xml:space="preserve"> - Não é possível desenhar gráficos para blocos vazios.</t>
  </si>
  <si>
    <t xml:space="preserve"> - "Resultado do gráfico" deve ser um valor lógico.</t>
  </si>
  <si>
    <t xml:space="preserve"> - "Constante" deve ser um valor lógico.</t>
  </si>
  <si>
    <t xml:space="preserve"> - "Porcentagem cumulativa" deve ser um valor lógico.</t>
  </si>
  <si>
    <t xml:space="preserve"> - "Inverso" deve ser um valor lógico.</t>
  </si>
  <si>
    <t xml:space="preserve"> - "Plotagem de ajuste de linha" deve ser um valor lógico.</t>
  </si>
  <si>
    <t xml:space="preserve"> - "Rótulo" deve ser um valor lógico.</t>
  </si>
  <si>
    <t xml:space="preserve"> - "Pareto" deve ser um valor lógico.</t>
  </si>
  <si>
    <t xml:space="preserve"> - "Plotagem de probabilidade normal" deve ser um valor lógico.</t>
  </si>
  <si>
    <t xml:space="preserve"> - "Plotagem de resíduos" deve ser um valor lógico.</t>
  </si>
  <si>
    <t xml:space="preserve"> -  "Resíduos" deve ser um valor lógico.</t>
  </si>
  <si>
    <t xml:space="preserve"> - Os erros padrão devem ser um valor lógico.</t>
  </si>
  <si>
    <t xml:space="preserve"> - Os resíduos padrão devem ser um valor lógico.</t>
  </si>
  <si>
    <t xml:space="preserve"> - O resumo estatístico deve ser um valor lógico.</t>
  </si>
  <si>
    <t xml:space="preserve"> - Impossível converter o intervalo de entrada/saída em uma referência válida! </t>
  </si>
  <si>
    <t xml:space="preserve"> - Impossível criar referência relativa entre intervalos.</t>
  </si>
  <si>
    <t xml:space="preserve"> - Alguns dados podem estar escondidos por trás de gráfico(s) embutido(s).</t>
  </si>
  <si>
    <t xml:space="preserve"> - Impossível traçar gráfico, pois ultrapassará os limites da planilha.</t>
  </si>
  <si>
    <t xml:space="preserve"> - Você tem certeza de que deseja cancelar esta operação?</t>
  </si>
  <si>
    <t xml:space="preserve"> - O fator de confiança deve ser um número maior ou igual a zero e menor do que 100.</t>
  </si>
  <si>
    <t xml:space="preserve"> - Impossível converter o intervalo de entrada em valores e probabilidades.</t>
  </si>
  <si>
    <t xml:space="preserve"> - O fator de amortecimento deve ser numérico.</t>
  </si>
  <si>
    <t xml:space="preserve"> - O fator de amortecimento deve ser um número positivo.</t>
  </si>
  <si>
    <t xml:space="preserve"> - Os números na coluna de probabilidade discreta devem somar 1.</t>
  </si>
  <si>
    <t xml:space="preserve"> - Especifique um intervalo de duas colunas como intervalo de entrada para o valor discreto e probabilidade.</t>
  </si>
  <si>
    <t xml:space="preserve"> - Os intervalos de valor discreto e probabilidade devem conter somente dados numéricos e devem ter o mesmo número de dados.</t>
  </si>
  <si>
    <t xml:space="preserve"> - Os intervalos de valor discreto e probabilidade não podem sobrepor-se ao intervalo de saída.</t>
  </si>
  <si>
    <t xml:space="preserve"> - O intervalo de entrada deve conter pelo menos 5 pontos de dados quando Erros Padrões são verificados.</t>
  </si>
  <si>
    <t xml:space="preserve"> - Você forneceu um número excessivo de argumentos. Verifique a sintaxe de ALEAT().</t>
  </si>
  <si>
    <t xml:space="preserve"> - O intervalo de entrada X não pode conter mais de 16 variáveis (colunas).</t>
  </si>
  <si>
    <t xml:space="preserve"> - O número de valores de entrada deve ser uma potência de 2. Por exemplo: 2, 4, 8, 16,  32, 64, 128, ...</t>
  </si>
  <si>
    <t xml:space="preserve"> - O número de valores de entrada deve ser igual ou menor que 4096.</t>
  </si>
  <si>
    <t xml:space="preserve"> - Para indicar a organização de grupos de dados, use "C" para colunas e "L" para linhas.</t>
  </si>
  <si>
    <t xml:space="preserve"> - O intervalo de entrada deve conter dois ou mais blocos de dados organizados em linhas ou colunas.</t>
  </si>
  <si>
    <t xml:space="preserve"> - O intervalo de entrada deve ser uma referência contígua.</t>
  </si>
  <si>
    <t xml:space="preserve"> - Falta o intervalo de entrada. Inserir.</t>
  </si>
  <si>
    <t xml:space="preserve"> - Os intervalos de entrada e saída se sobrepõem. Inserir novamente.</t>
  </si>
  <si>
    <t xml:space="preserve"> - O intervalo de entrada deve conter pelo menos um ponto de dados.</t>
  </si>
  <si>
    <t xml:space="preserve"> - O intervalo deve ser numérico.</t>
  </si>
  <si>
    <t xml:space="preserve"> - O intervalo dever um número inteiro positivo.</t>
  </si>
  <si>
    <t xml:space="preserve"> - O intervalo de entrada contém um número complexo inválido. O número complexo deve ter a forma x+yi ou x+yj</t>
  </si>
  <si>
    <t xml:space="preserve"> - Todos os números complexos devem ter o mesmo sufixo, ou "i" or "j".</t>
  </si>
  <si>
    <t xml:space="preserve"> - O enésimo maior deve ser um número inteiro positivo maior que 0 e não pode exceder o número de pontos de dados.</t>
  </si>
  <si>
    <t xml:space="preserve"> - O enésimo menor deve ser um número inteiro positivo maior que 0 e não pode exceder o número de pontos de dados.</t>
  </si>
  <si>
    <t xml:space="preserve"> - A função PROJ.LIN() retorna um valor de erro. Verifique novamente os intervalos de entrada.</t>
  </si>
  <si>
    <t xml:space="preserve"> - Número insuficiente de argumentos.</t>
  </si>
  <si>
    <t xml:space="preserve"> - Os intervalos de entrada e saída devem estar na mesma planilha.</t>
  </si>
  <si>
    <t xml:space="preserve"> - O intervalo de entrada/saída deve ser um intervalo de células contíguas.</t>
  </si>
  <si>
    <t xml:space="preserve"> - O intervalo de entrada deve ser uma única linha ou coluna.</t>
  </si>
  <si>
    <t xml:space="preserve"> - Os intervalos de entrada devem ter o mesmo número de pontos de dados.</t>
  </si>
  <si>
    <t xml:space="preserve"> - O intervalo de entrada deve conter no mínimo 4 pontos de dados.</t>
  </si>
  <si>
    <t xml:space="preserve"> - Impossível criar nova pasta de trabalho. </t>
  </si>
  <si>
    <t xml:space="preserve"> - Impossível criar uma nova guia para a saída. Verifique a configuração de proteção da pasta de trabalho.</t>
  </si>
  <si>
    <t xml:space="preserve"> - Impossível acessar a caixa de diálogo principal das Ferramentas de Análise. Entre em contato com o serviço de suporte para obter ajuda.</t>
  </si>
  <si>
    <t xml:space="preserve"> - Impossível acessar a caixa de diálogo para o procedimento selecionado. Entre em contato com o serviço de suporte para obter ajuda. </t>
  </si>
  <si>
    <t xml:space="preserve"> - Intervalo de entrada contém dados não numéricos.</t>
  </si>
  <si>
    <t xml:space="preserve"> - É necessária a média normal que deve ser numérica.</t>
  </si>
  <si>
    <t xml:space="preserve"> - É necessário o desvio padrão normal que deve ser um número diferente de zero.</t>
  </si>
  <si>
    <t xml:space="preserve"> - O número de amostras deve ser um número inteiro maior que zero.</t>
  </si>
  <si>
    <t xml:space="preserve"> - Dificuldade em deslocar a referência de entrada/saída. </t>
  </si>
  <si>
    <t xml:space="preserve"> - Impossível abrir planilha de recurso.</t>
  </si>
  <si>
    <t xml:space="preserve"> - O intervalo de saída deve ser uma referência válida.</t>
  </si>
  <si>
    <t xml:space="preserve"> - Falta o intervalo de saída. Inserir.</t>
  </si>
  <si>
    <t xml:space="preserve"> - A tabela de saída prevista ultrapassará os limites da planilha. Escolha uma referência diferente.  </t>
  </si>
  <si>
    <t xml:space="preserve"> - O intervalo de saída irá sobrescrever os dados existentes. Pressione "OK" para sobrescrever os dados no intervalo.</t>
  </si>
  <si>
    <t xml:space="preserve"> - É impossível chegar do início ao final na distribuição padronizada dado o passo escolhido.</t>
  </si>
  <si>
    <t xml:space="preserve"> - O início em uma distribuição padronizada é obrigatório e deve ser numérico.</t>
  </si>
  <si>
    <t xml:space="preserve"> - É necessário especificar o passo em uma distribuição padronizada, e deve ser um número diferente de zero.</t>
  </si>
  <si>
    <t xml:space="preserve"> - É necessário especificar o final em uma distribuição padronizada, e deve ser um valor numérico.</t>
  </si>
  <si>
    <t xml:space="preserve"> - O valor de repetição na distribuição padronizada é obrigatório e deve ser um número maior que zero.</t>
  </si>
  <si>
    <t xml:space="preserve"> - O valor de repetição de seqüências na distribuição padronizada é obrigatório e deve ser um número inteiro maior que zero.</t>
  </si>
  <si>
    <t xml:space="preserve"> - O intervalo periódico deve ser um número inteiro maior que zero.</t>
  </si>
  <si>
    <t xml:space="preserve"> - Insira o intervalo periódico para a amostragem.</t>
  </si>
  <si>
    <t xml:space="preserve"> - O intervalo periódico não pode ultrapassar o número de valores do intervalo de entrada.</t>
  </si>
  <si>
    <t xml:space="preserve"> - O lambda de Poisson é necessário e deve ser um número maior que zero.</t>
  </si>
  <si>
    <t xml:space="preserve"> - O tipo de distribuição é necessário. Digite um número inteiro entre 1 e 7.</t>
  </si>
  <si>
    <t xml:space="preserve"> - O número de números aleatórios deve ser um número inteiro maior que zero.</t>
  </si>
  <si>
    <t xml:space="preserve"> - Distribuição discreta: impossível encontrar um valor correspondente para probabilidade selecionada aleatoriamente.</t>
  </si>
  <si>
    <t xml:space="preserve"> - O número de variáveis deve ser um número inteiro maior que zero.</t>
  </si>
  <si>
    <t xml:space="preserve"> - É necessário inserir o número de linhas por amostra.</t>
  </si>
  <si>
    <t xml:space="preserve"> - O número de linhas por amostra deve ser um número inteiro maior que zero.</t>
  </si>
  <si>
    <t xml:space="preserve"> - Cada amostra deve conter o mesmo número de linhas.</t>
  </si>
  <si>
    <t xml:space="preserve"> - Os intervalos X e Y devem ter o mesmo número de linhas (valores da amostra), independente dos rótulos.</t>
  </si>
  <si>
    <t xml:space="preserve"> - Método de amostragem inválido. Digite "P" para amostragem periódica e "R" para amostragem aleatória.</t>
  </si>
  <si>
    <t xml:space="preserve"> - É necessário um método de amostragem.</t>
  </si>
  <si>
    <t xml:space="preserve"> - Semente deve ser um número inteiro entre 1..32767.</t>
  </si>
  <si>
    <t xml:space="preserve"> - Impossível modificar uma planilha protegida.</t>
  </si>
  <si>
    <t xml:space="preserve"> - São necessários limites uniformes, e devem ser numéricos.</t>
  </si>
  <si>
    <t xml:space="preserve"> - AMBOS os intervalos de variáveis devem ser linhas ou colunas.</t>
  </si>
  <si>
    <t xml:space="preserve"> - Os intervalos de variáveis devem ter o mesmo número de pontos de dados. </t>
  </si>
  <si>
    <t xml:space="preserve"> - Os intervalos de variáveis devem ter no mínimo dois pontos de dados. </t>
  </si>
  <si>
    <t xml:space="preserve"> - O intervalo da variável 1 deve ser uma referência contígua.</t>
  </si>
  <si>
    <t xml:space="preserve"> - Falta o intervalo da variável 1.</t>
  </si>
  <si>
    <t xml:space="preserve"> - Os intervalos das variáveis 1 e 2 não podem se sobrepor.</t>
  </si>
  <si>
    <t xml:space="preserve"> - O intervalo da variável 1 e o intervalo de saída não podem se sobrepor. </t>
  </si>
  <si>
    <t xml:space="preserve"> - O intervalo da variável 2 deve ser uma referência contígua. </t>
  </si>
  <si>
    <t xml:space="preserve"> - Falta o intervalo da variável 2.</t>
  </si>
  <si>
    <t xml:space="preserve"> - O intervalo da variável 2 e o intervalo de saída não podem se sobrepor.</t>
  </si>
  <si>
    <t xml:space="preserve"> - O intervalo X e o intervalo de saída irão se sobrepor. Escolha um intervalo de saída diferente.</t>
  </si>
  <si>
    <t xml:space="preserve"> - Falta o intervalo de entrada.</t>
  </si>
  <si>
    <t xml:space="preserve"> - O número de linhas e colunas no intervalo X não pode ser o mesmo.</t>
  </si>
  <si>
    <t xml:space="preserve"> - O intervalo X e o intervalo Y não podem se sobrepor.</t>
  </si>
  <si>
    <t xml:space="preserve"> - O intervalo Y e o intervalo de saída irão se sobrepor.  Escolha um intervalo de saída diferente.</t>
  </si>
  <si>
    <t xml:space="preserve"> - O intervalo de entrada Y deve ser uma referência contígua.</t>
  </si>
  <si>
    <t xml:space="preserve"> - Falta o intervalo de entrada Y. Inserir.</t>
  </si>
  <si>
    <t xml:space="preserve"> - Variância 1 deve ser um número maior que zero.</t>
  </si>
  <si>
    <t xml:space="preserve"> - Variância 2 deve ser um número maior que zero.</t>
  </si>
  <si>
    <t xml:space="preserve"> - Não foi possível acessar a pasta de trabalho de controles ActiveX.  Entre em contato com o serviço de suporte ao cliente para obter ajuda.</t>
  </si>
  <si>
    <t xml:space="preserve"> - Não foi possível adicionar o gráfico a uma pasta de trabalho compartihada.  Deseja continuar a criar a tabela de saída?</t>
  </si>
  <si>
    <t>データの個数</t>
  </si>
  <si>
    <t>データの個数を入力してください。</t>
  </si>
  <si>
    <t>データの個数:</t>
  </si>
  <si>
    <t>平均の信頼度の出力(&amp;N)</t>
  </si>
  <si>
    <t>信頼度(95.0%)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</si>
</sst>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6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3">
    <cellStyle name="Comma [0]" xfId="1"/>
    <cellStyle name="Currency [0]" xfId="2"/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vbaProject.bin.rels><?xml version="1.0" encoding="UTF-8" standalone="yes"?>
<Relationships xmlns="http://schemas.openxmlformats.org/package/2006/relationships"><Relationship Id="rId1" Type="http://schemas.microsoft.com/office/2006/relationships/vbaProjectSignature" Target="vbaProjectSignature.bin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06/relationships/vbaProject" Target="vbaProject.bin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70000"/>
                <a:satMod val="17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customWidth="1"/>
    <col min="72" max="72" width="7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680</v>
      </c>
      <c r="AD2">
        <v>156</v>
      </c>
      <c r="AE2" t="s">
        <v>676</v>
      </c>
      <c r="AF2">
        <v>4</v>
      </c>
      <c r="AH2" s="1" t="s">
        <v>656</v>
      </c>
      <c r="AK2">
        <v>623</v>
      </c>
      <c r="AL2">
        <v>223</v>
      </c>
      <c r="AM2" t="s">
        <v>677</v>
      </c>
      <c r="AN2">
        <v>5</v>
      </c>
      <c r="AP2" s="1" t="s">
        <v>657</v>
      </c>
      <c r="AS2">
        <v>597</v>
      </c>
      <c r="AT2">
        <v>312</v>
      </c>
      <c r="AU2" t="s">
        <v>678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583</v>
      </c>
      <c r="BJ2">
        <v>193</v>
      </c>
      <c r="BK2" t="s">
        <v>679</v>
      </c>
      <c r="BL2">
        <v>5</v>
      </c>
      <c r="BN2" s="1" t="s">
        <v>659</v>
      </c>
      <c r="BQ2">
        <v>553</v>
      </c>
      <c r="BR2">
        <v>293</v>
      </c>
      <c r="BS2" t="s">
        <v>680</v>
      </c>
      <c r="BT2">
        <v>5</v>
      </c>
      <c r="BV2" s="1" t="s">
        <v>660</v>
      </c>
      <c r="BY2">
        <v>581</v>
      </c>
      <c r="BZ2">
        <v>195</v>
      </c>
      <c r="CA2" t="s">
        <v>681</v>
      </c>
      <c r="CB2">
        <v>5</v>
      </c>
      <c r="CD2" s="1" t="s">
        <v>661</v>
      </c>
      <c r="CG2">
        <v>583</v>
      </c>
      <c r="CH2">
        <v>206</v>
      </c>
      <c r="CI2" t="s">
        <v>682</v>
      </c>
      <c r="CJ2">
        <v>5</v>
      </c>
      <c r="CL2" s="1" t="s">
        <v>662</v>
      </c>
      <c r="CO2">
        <v>583</v>
      </c>
      <c r="CP2">
        <v>263</v>
      </c>
      <c r="CQ2" t="s">
        <v>683</v>
      </c>
      <c r="CR2">
        <v>5</v>
      </c>
      <c r="CT2" s="1" t="s">
        <v>663</v>
      </c>
      <c r="CW2">
        <v>573</v>
      </c>
      <c r="CX2">
        <v>298</v>
      </c>
      <c r="CY2" t="s">
        <v>684</v>
      </c>
      <c r="CZ2">
        <v>4</v>
      </c>
    </row>
    <row r="3" spans="1:104" x14ac:dyDescent="0.25">
      <c r="W3" t="str">
        <f>dbCorrelationTitle</f>
        <v>Analyse de corrélation</v>
      </c>
      <c r="Z3">
        <v>1</v>
      </c>
      <c r="AA3">
        <v>580</v>
      </c>
      <c r="AB3">
        <v>6</v>
      </c>
      <c r="AC3">
        <v>88</v>
      </c>
      <c r="AE3" t="s">
        <v>390</v>
      </c>
      <c r="AH3">
        <v>1</v>
      </c>
      <c r="AI3">
        <v>521</v>
      </c>
      <c r="AJ3">
        <v>7</v>
      </c>
      <c r="AK3">
        <v>90</v>
      </c>
      <c r="AM3" t="s">
        <v>390</v>
      </c>
      <c r="AP3">
        <v>1</v>
      </c>
      <c r="AQ3">
        <v>495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481</v>
      </c>
      <c r="BH3">
        <v>7</v>
      </c>
      <c r="BI3">
        <v>90</v>
      </c>
      <c r="BK3" t="s">
        <v>390</v>
      </c>
      <c r="BN3">
        <v>1</v>
      </c>
      <c r="BO3">
        <v>450</v>
      </c>
      <c r="BP3">
        <v>7</v>
      </c>
      <c r="BQ3">
        <v>90</v>
      </c>
      <c r="BS3" t="s">
        <v>390</v>
      </c>
      <c r="BV3">
        <v>1</v>
      </c>
      <c r="BW3">
        <v>481</v>
      </c>
      <c r="BX3">
        <v>7</v>
      </c>
      <c r="BY3">
        <v>90</v>
      </c>
      <c r="CA3" t="s">
        <v>390</v>
      </c>
      <c r="CD3">
        <v>1</v>
      </c>
      <c r="CE3">
        <v>481</v>
      </c>
      <c r="CF3">
        <v>7</v>
      </c>
      <c r="CG3">
        <v>90</v>
      </c>
      <c r="CI3" t="s">
        <v>390</v>
      </c>
      <c r="CL3">
        <v>1</v>
      </c>
      <c r="CM3">
        <v>481</v>
      </c>
      <c r="CN3">
        <v>7</v>
      </c>
      <c r="CO3">
        <v>90</v>
      </c>
      <c r="CQ3" t="s">
        <v>390</v>
      </c>
      <c r="CT3">
        <v>1</v>
      </c>
      <c r="CU3">
        <v>469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580</v>
      </c>
      <c r="AB4">
        <v>30</v>
      </c>
      <c r="AC4">
        <v>88</v>
      </c>
      <c r="AE4" t="s">
        <v>685</v>
      </c>
      <c r="AH4">
        <v>2</v>
      </c>
      <c r="AI4">
        <v>521</v>
      </c>
      <c r="AJ4">
        <v>30</v>
      </c>
      <c r="AK4">
        <v>90</v>
      </c>
      <c r="AM4" t="s">
        <v>685</v>
      </c>
      <c r="AP4">
        <v>2</v>
      </c>
      <c r="AQ4">
        <v>495</v>
      </c>
      <c r="AR4">
        <v>31</v>
      </c>
      <c r="AS4">
        <v>90</v>
      </c>
      <c r="AU4" t="s">
        <v>685</v>
      </c>
      <c r="AX4">
        <v>2</v>
      </c>
      <c r="AY4">
        <v>418</v>
      </c>
      <c r="AZ4">
        <v>33</v>
      </c>
      <c r="BA4">
        <v>104</v>
      </c>
      <c r="BC4" t="s">
        <v>685</v>
      </c>
      <c r="BF4">
        <v>2</v>
      </c>
      <c r="BG4">
        <v>481</v>
      </c>
      <c r="BH4">
        <v>30</v>
      </c>
      <c r="BI4">
        <v>90</v>
      </c>
      <c r="BK4" t="s">
        <v>685</v>
      </c>
      <c r="BN4">
        <v>2</v>
      </c>
      <c r="BO4">
        <v>450</v>
      </c>
      <c r="BP4">
        <v>30</v>
      </c>
      <c r="BQ4">
        <v>90</v>
      </c>
      <c r="BS4" t="s">
        <v>685</v>
      </c>
      <c r="BV4">
        <v>2</v>
      </c>
      <c r="BW4">
        <v>481</v>
      </c>
      <c r="BX4">
        <v>30</v>
      </c>
      <c r="BY4">
        <v>90</v>
      </c>
      <c r="CA4" t="s">
        <v>685</v>
      </c>
      <c r="CD4">
        <v>2</v>
      </c>
      <c r="CE4">
        <v>481</v>
      </c>
      <c r="CF4">
        <v>30</v>
      </c>
      <c r="CG4">
        <v>90</v>
      </c>
      <c r="CI4" t="s">
        <v>685</v>
      </c>
      <c r="CL4">
        <v>2</v>
      </c>
      <c r="CM4">
        <v>481</v>
      </c>
      <c r="CN4">
        <v>30</v>
      </c>
      <c r="CO4">
        <v>90</v>
      </c>
      <c r="CQ4" t="s">
        <v>685</v>
      </c>
      <c r="CT4">
        <v>2</v>
      </c>
      <c r="CU4">
        <v>469</v>
      </c>
      <c r="CV4">
        <v>31</v>
      </c>
      <c r="CW4">
        <v>90</v>
      </c>
      <c r="CY4" t="s">
        <v>685</v>
      </c>
    </row>
    <row r="5" spans="1:104" x14ac:dyDescent="0.25">
      <c r="T5">
        <v>0</v>
      </c>
      <c r="U5" t="str">
        <f>dbAnova1Title</f>
        <v>Analyse de variance: un facteur</v>
      </c>
      <c r="V5">
        <v>0</v>
      </c>
      <c r="W5" t="str">
        <f>dbAnova1Title</f>
        <v>Analyse de variance: un facteur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686</v>
      </c>
      <c r="AH5">
        <v>14</v>
      </c>
      <c r="AI5">
        <v>8</v>
      </c>
      <c r="AJ5">
        <v>3</v>
      </c>
      <c r="AK5">
        <v>476</v>
      </c>
      <c r="AL5">
        <v>120</v>
      </c>
      <c r="AM5" t="s">
        <v>687</v>
      </c>
      <c r="AP5">
        <v>14</v>
      </c>
      <c r="AQ5">
        <v>7</v>
      </c>
      <c r="AR5">
        <v>4</v>
      </c>
      <c r="AS5">
        <v>463</v>
      </c>
      <c r="AT5">
        <v>113</v>
      </c>
      <c r="AU5" t="s">
        <v>687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688</v>
      </c>
      <c r="BF5">
        <v>14</v>
      </c>
      <c r="BG5">
        <v>8</v>
      </c>
      <c r="BH5">
        <v>3</v>
      </c>
      <c r="BI5">
        <v>448</v>
      </c>
      <c r="BJ5">
        <v>94</v>
      </c>
      <c r="BK5" t="s">
        <v>687</v>
      </c>
      <c r="BN5">
        <v>14</v>
      </c>
      <c r="BO5">
        <v>8</v>
      </c>
      <c r="BP5">
        <v>3</v>
      </c>
      <c r="BQ5">
        <v>428</v>
      </c>
      <c r="BR5">
        <v>100</v>
      </c>
      <c r="BS5" t="s">
        <v>687</v>
      </c>
      <c r="BV5">
        <v>14</v>
      </c>
      <c r="BW5">
        <v>8</v>
      </c>
      <c r="BX5">
        <v>2</v>
      </c>
      <c r="BY5">
        <v>448</v>
      </c>
      <c r="BZ5">
        <v>79</v>
      </c>
      <c r="CA5" t="s">
        <v>687</v>
      </c>
      <c r="CD5">
        <v>14</v>
      </c>
      <c r="CE5">
        <v>8</v>
      </c>
      <c r="CF5">
        <v>3</v>
      </c>
      <c r="CG5">
        <v>448</v>
      </c>
      <c r="CH5">
        <v>106</v>
      </c>
      <c r="CI5" t="s">
        <v>687</v>
      </c>
      <c r="CL5">
        <v>14</v>
      </c>
      <c r="CM5">
        <v>8</v>
      </c>
      <c r="CN5">
        <v>3</v>
      </c>
      <c r="CO5">
        <v>448</v>
      </c>
      <c r="CP5">
        <v>58</v>
      </c>
      <c r="CQ5" t="s">
        <v>687</v>
      </c>
      <c r="CT5">
        <v>5</v>
      </c>
      <c r="CU5">
        <v>17</v>
      </c>
      <c r="CV5">
        <v>12</v>
      </c>
      <c r="CY5" t="s">
        <v>689</v>
      </c>
    </row>
    <row r="6" spans="1:104" x14ac:dyDescent="0.25">
      <c r="T6">
        <v>1</v>
      </c>
      <c r="U6" t="str">
        <f>dbAnova2Title</f>
        <v>Analyse de variance: deux facteurs avec répétition d'expérience</v>
      </c>
      <c r="V6">
        <v>1</v>
      </c>
      <c r="W6" t="str">
        <f>dbAnova2Title</f>
        <v>Analyse de variance: deux facteurs avec répétition d'expérience</v>
      </c>
      <c r="X6" t="s">
        <v>614</v>
      </c>
      <c r="Y6" s="1" t="s">
        <v>664</v>
      </c>
      <c r="Z6">
        <v>15</v>
      </c>
      <c r="AA6">
        <v>16</v>
      </c>
      <c r="AB6">
        <v>22</v>
      </c>
      <c r="AC6">
        <v>540</v>
      </c>
      <c r="AD6">
        <v>127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690</v>
      </c>
      <c r="AP6">
        <v>5</v>
      </c>
      <c r="AQ6">
        <v>24</v>
      </c>
      <c r="AR6">
        <v>22</v>
      </c>
      <c r="AU6" t="s">
        <v>691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690</v>
      </c>
      <c r="BN6">
        <v>5</v>
      </c>
      <c r="BO6">
        <v>18</v>
      </c>
      <c r="BP6">
        <v>19</v>
      </c>
      <c r="BS6" t="s">
        <v>690</v>
      </c>
      <c r="BV6">
        <v>5</v>
      </c>
      <c r="BW6">
        <v>18</v>
      </c>
      <c r="BX6">
        <v>19</v>
      </c>
      <c r="CA6" t="s">
        <v>690</v>
      </c>
      <c r="CD6">
        <v>5</v>
      </c>
      <c r="CE6">
        <v>18</v>
      </c>
      <c r="CF6">
        <v>19</v>
      </c>
      <c r="CI6" t="s">
        <v>692</v>
      </c>
      <c r="CL6">
        <v>5</v>
      </c>
      <c r="CM6">
        <v>18</v>
      </c>
      <c r="CN6">
        <v>19</v>
      </c>
      <c r="CQ6" t="s">
        <v>690</v>
      </c>
      <c r="CT6">
        <v>7</v>
      </c>
      <c r="CU6">
        <v>298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Analyse de variance: deux facteurs sans répétition d'expérience</v>
      </c>
      <c r="V7">
        <v>2</v>
      </c>
      <c r="W7" t="str">
        <f>dbAnova3Title</f>
        <v>Analyse de variance: deux facteurs sans répétition d'expérience</v>
      </c>
      <c r="X7" t="s">
        <v>315</v>
      </c>
      <c r="Y7" s="1" t="s">
        <v>665</v>
      </c>
      <c r="Z7">
        <v>24</v>
      </c>
      <c r="AA7">
        <v>580</v>
      </c>
      <c r="AB7">
        <v>60</v>
      </c>
      <c r="AC7">
        <v>88</v>
      </c>
      <c r="AH7">
        <v>10</v>
      </c>
      <c r="AI7">
        <v>310</v>
      </c>
      <c r="AJ7">
        <v>16</v>
      </c>
      <c r="AK7">
        <v>160</v>
      </c>
      <c r="AN7" t="s">
        <v>316</v>
      </c>
      <c r="AP7">
        <v>10</v>
      </c>
      <c r="AQ7">
        <v>298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284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284</v>
      </c>
      <c r="BX7">
        <v>16</v>
      </c>
      <c r="BY7">
        <v>160</v>
      </c>
      <c r="CB7" t="s">
        <v>316</v>
      </c>
      <c r="CD7">
        <v>10</v>
      </c>
      <c r="CE7">
        <v>284</v>
      </c>
      <c r="CF7">
        <v>16</v>
      </c>
      <c r="CG7">
        <v>160</v>
      </c>
      <c r="CL7">
        <v>10</v>
      </c>
      <c r="CM7">
        <v>284</v>
      </c>
      <c r="CN7">
        <v>13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693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Analyse de corrélation</v>
      </c>
      <c r="V8">
        <v>3</v>
      </c>
      <c r="W8" t="str">
        <f>dbCorrelationTitle</f>
        <v>Analyse de corrélation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694</v>
      </c>
      <c r="AP8">
        <v>5</v>
      </c>
      <c r="AQ8">
        <v>24</v>
      </c>
      <c r="AR8">
        <v>48</v>
      </c>
      <c r="AU8" t="s">
        <v>695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694</v>
      </c>
      <c r="BN8">
        <v>5</v>
      </c>
      <c r="BO8">
        <v>18</v>
      </c>
      <c r="BP8">
        <v>44</v>
      </c>
      <c r="BS8" t="s">
        <v>694</v>
      </c>
      <c r="BV8">
        <v>5</v>
      </c>
      <c r="BW8">
        <v>17</v>
      </c>
      <c r="BX8">
        <v>40</v>
      </c>
      <c r="CA8" t="s">
        <v>696</v>
      </c>
      <c r="CD8">
        <v>5</v>
      </c>
      <c r="CE8">
        <v>18</v>
      </c>
      <c r="CF8">
        <v>41</v>
      </c>
      <c r="CI8" t="s">
        <v>697</v>
      </c>
      <c r="CL8">
        <v>13</v>
      </c>
      <c r="CM8">
        <v>18</v>
      </c>
      <c r="CN8">
        <v>39</v>
      </c>
      <c r="CQ8" t="s">
        <v>698</v>
      </c>
      <c r="CR8" t="b">
        <v>0</v>
      </c>
      <c r="CT8">
        <v>7</v>
      </c>
      <c r="CU8">
        <v>298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Analyse de covariance</v>
      </c>
      <c r="V9">
        <v>4</v>
      </c>
      <c r="W9" t="str">
        <f>dbCovarianceTitle</f>
        <v>Analyse de covariance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298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699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284</v>
      </c>
      <c r="BX9">
        <v>38</v>
      </c>
      <c r="BY9">
        <v>68</v>
      </c>
      <c r="CD9">
        <v>10</v>
      </c>
      <c r="CE9">
        <v>284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448</v>
      </c>
      <c r="CP9">
        <v>105</v>
      </c>
      <c r="CQ9" t="s">
        <v>700</v>
      </c>
      <c r="CT9">
        <v>5</v>
      </c>
      <c r="CU9">
        <v>17</v>
      </c>
      <c r="CV9">
        <v>63</v>
      </c>
      <c r="CY9" t="s">
        <v>701</v>
      </c>
    </row>
    <row r="10" spans="1:104" x14ac:dyDescent="0.25">
      <c r="A10" t="s">
        <v>505</v>
      </c>
      <c r="B10" t="s">
        <v>702</v>
      </c>
      <c r="T10">
        <v>5</v>
      </c>
      <c r="U10" t="str">
        <f>dbDescripTitle</f>
        <v>Statistiques descriptives</v>
      </c>
      <c r="V10">
        <v>5</v>
      </c>
      <c r="W10" t="str">
        <f>dbDescripTitle</f>
        <v>Statistiques descriptives</v>
      </c>
      <c r="X10" t="s">
        <v>451</v>
      </c>
      <c r="Y10" s="1" t="s">
        <v>659</v>
      </c>
      <c r="AH10">
        <v>12</v>
      </c>
      <c r="AI10">
        <v>310</v>
      </c>
      <c r="AJ10">
        <v>40</v>
      </c>
      <c r="AM10" t="s">
        <v>703</v>
      </c>
      <c r="AP10">
        <v>13</v>
      </c>
      <c r="AQ10">
        <v>25</v>
      </c>
      <c r="AR10">
        <v>75</v>
      </c>
      <c r="AU10" t="s">
        <v>698</v>
      </c>
      <c r="AV10" t="b">
        <v>0</v>
      </c>
      <c r="AX10">
        <v>12</v>
      </c>
      <c r="AZ10">
        <v>130</v>
      </c>
      <c r="BC10" t="s">
        <v>704</v>
      </c>
      <c r="BF10">
        <v>12</v>
      </c>
      <c r="BG10">
        <v>284</v>
      </c>
      <c r="BH10">
        <v>43</v>
      </c>
      <c r="BK10" t="s">
        <v>703</v>
      </c>
      <c r="BN10">
        <v>12</v>
      </c>
      <c r="BO10">
        <v>220</v>
      </c>
      <c r="BP10">
        <v>40</v>
      </c>
      <c r="BS10" t="s">
        <v>703</v>
      </c>
      <c r="BV10">
        <v>13</v>
      </c>
      <c r="BW10">
        <v>17</v>
      </c>
      <c r="BX10">
        <v>60</v>
      </c>
      <c r="CA10" t="s">
        <v>698</v>
      </c>
      <c r="CB10" t="b">
        <v>0</v>
      </c>
      <c r="CD10">
        <v>13</v>
      </c>
      <c r="CE10">
        <v>18</v>
      </c>
      <c r="CF10">
        <v>64</v>
      </c>
      <c r="CI10" t="s">
        <v>698</v>
      </c>
      <c r="CJ10" t="b">
        <v>0</v>
      </c>
      <c r="CL10">
        <v>111</v>
      </c>
      <c r="CR10">
        <v>2</v>
      </c>
      <c r="CT10">
        <v>121</v>
      </c>
      <c r="CU10">
        <v>240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705</v>
      </c>
      <c r="T11">
        <v>6</v>
      </c>
      <c r="U11" t="str">
        <f>dbExponentTitle</f>
        <v>Lissage exponentiel</v>
      </c>
      <c r="V11">
        <v>6</v>
      </c>
      <c r="W11" t="str">
        <f>dbExponentTitle</f>
        <v>Lissage exponentiel</v>
      </c>
      <c r="X11" t="s">
        <v>452</v>
      </c>
      <c r="Y11" s="1" t="s">
        <v>660</v>
      </c>
      <c r="AH11">
        <v>12</v>
      </c>
      <c r="AM11" t="s">
        <v>706</v>
      </c>
      <c r="AP11">
        <v>13</v>
      </c>
      <c r="AQ11">
        <v>247</v>
      </c>
      <c r="AR11">
        <v>75</v>
      </c>
      <c r="AU11" t="s">
        <v>707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706</v>
      </c>
      <c r="BN11">
        <v>12</v>
      </c>
      <c r="BS11" t="s">
        <v>706</v>
      </c>
      <c r="BV11">
        <v>14</v>
      </c>
      <c r="BW11">
        <v>8</v>
      </c>
      <c r="BX11">
        <v>83</v>
      </c>
      <c r="BY11">
        <v>448</v>
      </c>
      <c r="BZ11">
        <v>100</v>
      </c>
      <c r="CA11" t="s">
        <v>688</v>
      </c>
      <c r="CD11">
        <v>5</v>
      </c>
      <c r="CE11">
        <v>18</v>
      </c>
      <c r="CF11">
        <v>85</v>
      </c>
      <c r="CI11" t="s">
        <v>708</v>
      </c>
      <c r="CL11">
        <v>12</v>
      </c>
      <c r="CM11">
        <v>18</v>
      </c>
      <c r="CN11">
        <v>82</v>
      </c>
      <c r="CQ11" t="s">
        <v>709</v>
      </c>
      <c r="CT11">
        <v>14</v>
      </c>
      <c r="CU11">
        <v>9</v>
      </c>
      <c r="CV11">
        <v>85</v>
      </c>
      <c r="CW11">
        <v>448</v>
      </c>
      <c r="CX11">
        <v>92</v>
      </c>
      <c r="CY11" t="s">
        <v>710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Test d'égalité des variances (F-Test)</v>
      </c>
      <c r="V12">
        <v>7</v>
      </c>
      <c r="W12" t="str">
        <f>dbFTestTitle</f>
        <v>Test d'égalité des variances (F-Test)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705</v>
      </c>
      <c r="AN12" t="b">
        <v>0</v>
      </c>
      <c r="AP12">
        <v>113</v>
      </c>
      <c r="AQ12">
        <v>25</v>
      </c>
      <c r="AR12">
        <v>93</v>
      </c>
      <c r="AU12" t="s">
        <v>711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705</v>
      </c>
      <c r="BL12" t="b">
        <v>0</v>
      </c>
      <c r="BN12">
        <v>13</v>
      </c>
      <c r="BO12">
        <v>18</v>
      </c>
      <c r="BP12">
        <v>75</v>
      </c>
      <c r="BS12" t="s">
        <v>705</v>
      </c>
      <c r="BT12" t="b">
        <v>0</v>
      </c>
      <c r="BV12">
        <v>5</v>
      </c>
      <c r="CB12">
        <v>1</v>
      </c>
      <c r="CD12">
        <v>8</v>
      </c>
      <c r="CE12">
        <v>284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712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Transformation de Fourier Rapide (FFT)</v>
      </c>
      <c r="V13">
        <v>8</v>
      </c>
      <c r="W13" t="str">
        <f>dbFourierTitle</f>
        <v>Transformation de Fourier Rapide (FFT)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708</v>
      </c>
      <c r="AP13">
        <v>208</v>
      </c>
      <c r="AQ13">
        <v>247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448</v>
      </c>
      <c r="BJ13">
        <v>81</v>
      </c>
      <c r="BK13" t="s">
        <v>688</v>
      </c>
      <c r="BN13">
        <v>14</v>
      </c>
      <c r="BO13">
        <v>8</v>
      </c>
      <c r="BP13">
        <v>110</v>
      </c>
      <c r="BQ13">
        <v>426</v>
      </c>
      <c r="BR13">
        <v>160</v>
      </c>
      <c r="BS13" t="s">
        <v>688</v>
      </c>
      <c r="BV13">
        <v>5</v>
      </c>
      <c r="BW13">
        <v>17</v>
      </c>
      <c r="BX13">
        <v>99</v>
      </c>
      <c r="CA13" t="s">
        <v>713</v>
      </c>
      <c r="CD13">
        <v>14</v>
      </c>
      <c r="CE13">
        <v>8</v>
      </c>
      <c r="CF13">
        <v>116</v>
      </c>
      <c r="CG13">
        <v>448</v>
      </c>
      <c r="CH13">
        <v>81</v>
      </c>
      <c r="CI13" t="s">
        <v>688</v>
      </c>
      <c r="CL13">
        <v>5</v>
      </c>
      <c r="CM13">
        <v>42</v>
      </c>
      <c r="CN13">
        <v>103</v>
      </c>
      <c r="CQ13" t="s">
        <v>714</v>
      </c>
      <c r="CT13">
        <v>5</v>
      </c>
    </row>
    <row r="14" spans="1:104" x14ac:dyDescent="0.25">
      <c r="A14" t="s">
        <v>404</v>
      </c>
      <c r="B14" t="s">
        <v>715</v>
      </c>
      <c r="T14">
        <v>9</v>
      </c>
      <c r="U14" t="str">
        <f>dbHistogramTitle</f>
        <v>Histogramme</v>
      </c>
      <c r="V14">
        <v>9</v>
      </c>
      <c r="W14" t="str">
        <f>dbHistogramTitle</f>
        <v>Histogramme</v>
      </c>
      <c r="X14" t="s">
        <v>520</v>
      </c>
      <c r="Y14" s="1" t="s">
        <v>668</v>
      </c>
      <c r="AH14">
        <v>8</v>
      </c>
      <c r="AI14">
        <v>310</v>
      </c>
      <c r="AJ14">
        <v>95</v>
      </c>
      <c r="AK14">
        <v>68</v>
      </c>
      <c r="AN14">
        <v>0.05</v>
      </c>
      <c r="AP14">
        <v>5</v>
      </c>
      <c r="AQ14">
        <v>311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284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284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Moyenne mobile</v>
      </c>
      <c r="V15">
        <v>10</v>
      </c>
      <c r="W15" t="str">
        <f>dbMovingTitle</f>
        <v>Moyenne mobile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476</v>
      </c>
      <c r="AL15">
        <v>86</v>
      </c>
      <c r="AM15" t="s">
        <v>688</v>
      </c>
      <c r="AP15">
        <v>14</v>
      </c>
      <c r="AQ15">
        <v>7</v>
      </c>
      <c r="AR15">
        <v>124</v>
      </c>
      <c r="AS15">
        <v>463</v>
      </c>
      <c r="AT15">
        <v>179</v>
      </c>
      <c r="AU15" t="s">
        <v>688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713</v>
      </c>
      <c r="BN15">
        <v>12</v>
      </c>
      <c r="BO15">
        <v>18</v>
      </c>
      <c r="BP15">
        <v>127</v>
      </c>
      <c r="BS15" t="s">
        <v>713</v>
      </c>
      <c r="BV15">
        <v>205</v>
      </c>
      <c r="BW15">
        <v>17</v>
      </c>
      <c r="BX15">
        <v>119</v>
      </c>
      <c r="CA15" t="s">
        <v>699</v>
      </c>
      <c r="CD15">
        <v>12</v>
      </c>
      <c r="CE15">
        <v>18</v>
      </c>
      <c r="CF15">
        <v>132</v>
      </c>
      <c r="CI15" t="s">
        <v>713</v>
      </c>
      <c r="CL15">
        <v>5</v>
      </c>
      <c r="CM15">
        <v>42</v>
      </c>
      <c r="CN15">
        <v>146</v>
      </c>
      <c r="CQ15" t="s">
        <v>716</v>
      </c>
      <c r="CT15">
        <v>5</v>
      </c>
    </row>
    <row r="16" spans="1:104" x14ac:dyDescent="0.25">
      <c r="A16" t="s">
        <v>526</v>
      </c>
      <c r="B16" t="s">
        <v>717</v>
      </c>
      <c r="T16">
        <v>11</v>
      </c>
      <c r="U16" t="str">
        <f>dbRandomTitle</f>
        <v>Génération de nombres aléatoires</v>
      </c>
      <c r="V16">
        <v>11</v>
      </c>
      <c r="W16" t="str">
        <f>dbRandomTitle</f>
        <v>Génération de nombres aléatoires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699</v>
      </c>
      <c r="BN16">
        <v>12</v>
      </c>
      <c r="BP16">
        <v>147</v>
      </c>
      <c r="BS16" t="s">
        <v>699</v>
      </c>
      <c r="BV16">
        <v>206</v>
      </c>
      <c r="BW16">
        <v>284</v>
      </c>
      <c r="BX16">
        <v>117</v>
      </c>
      <c r="BY16">
        <v>160</v>
      </c>
      <c r="CD16">
        <v>12</v>
      </c>
      <c r="CF16">
        <v>152</v>
      </c>
      <c r="CI16" t="s">
        <v>699</v>
      </c>
      <c r="CL16">
        <v>7</v>
      </c>
      <c r="CM16">
        <v>284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718</v>
      </c>
      <c r="T17">
        <v>12</v>
      </c>
      <c r="U17" t="str">
        <f>dbRankPerTitle</f>
        <v>Analyse de position</v>
      </c>
      <c r="V17">
        <v>12</v>
      </c>
      <c r="W17" t="str">
        <f>dbRankPerTitle</f>
        <v>Analyse de position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713</v>
      </c>
      <c r="AP17">
        <v>12</v>
      </c>
      <c r="AQ17">
        <v>24</v>
      </c>
      <c r="AR17">
        <v>142</v>
      </c>
      <c r="AU17" t="s">
        <v>713</v>
      </c>
      <c r="BF17">
        <v>12</v>
      </c>
      <c r="BH17">
        <v>160</v>
      </c>
      <c r="BK17" t="s">
        <v>704</v>
      </c>
      <c r="BN17">
        <v>12</v>
      </c>
      <c r="BP17">
        <v>167</v>
      </c>
      <c r="BS17" t="s">
        <v>704</v>
      </c>
      <c r="BV17">
        <v>205</v>
      </c>
      <c r="BW17">
        <v>17</v>
      </c>
      <c r="BX17">
        <v>139</v>
      </c>
      <c r="CA17" t="s">
        <v>704</v>
      </c>
      <c r="CD17">
        <v>12</v>
      </c>
      <c r="CF17">
        <v>172</v>
      </c>
      <c r="CI17" t="s">
        <v>704</v>
      </c>
      <c r="CL17">
        <v>14</v>
      </c>
      <c r="CM17">
        <v>8</v>
      </c>
      <c r="CN17">
        <v>174</v>
      </c>
      <c r="CO17">
        <v>448</v>
      </c>
      <c r="CP17">
        <v>81</v>
      </c>
      <c r="CQ17" t="s">
        <v>688</v>
      </c>
      <c r="CT17">
        <v>5</v>
      </c>
    </row>
    <row r="18" spans="1:104" x14ac:dyDescent="0.25">
      <c r="A18" t="s">
        <v>531</v>
      </c>
      <c r="B18" t="s">
        <v>719</v>
      </c>
      <c r="T18">
        <v>13</v>
      </c>
      <c r="U18" t="str">
        <f>dbRegressionTitle</f>
        <v>Régression linéaire</v>
      </c>
      <c r="V18">
        <v>13</v>
      </c>
      <c r="W18" t="str">
        <f>dbRegressionTitle</f>
        <v>Régression linéaire</v>
      </c>
      <c r="X18" t="s">
        <v>448</v>
      </c>
      <c r="Y18" s="1" t="s">
        <v>657</v>
      </c>
      <c r="AH18">
        <v>12</v>
      </c>
      <c r="AJ18">
        <v>169</v>
      </c>
      <c r="AM18" t="s">
        <v>699</v>
      </c>
      <c r="AP18">
        <v>12</v>
      </c>
      <c r="AR18">
        <v>162</v>
      </c>
      <c r="AU18" t="s">
        <v>699</v>
      </c>
      <c r="BF18">
        <v>210</v>
      </c>
      <c r="BG18">
        <v>284</v>
      </c>
      <c r="BH18">
        <v>118</v>
      </c>
      <c r="BI18">
        <v>160</v>
      </c>
      <c r="BL18" t="s">
        <v>316</v>
      </c>
      <c r="BN18">
        <v>210</v>
      </c>
      <c r="BO18">
        <v>269</v>
      </c>
      <c r="BP18">
        <v>124</v>
      </c>
      <c r="BQ18">
        <v>134</v>
      </c>
      <c r="BT18" t="s">
        <v>316</v>
      </c>
      <c r="BV18">
        <v>13</v>
      </c>
      <c r="BW18">
        <v>17</v>
      </c>
      <c r="BX18">
        <v>161</v>
      </c>
      <c r="CA18" t="s">
        <v>720</v>
      </c>
      <c r="CB18" t="b">
        <v>0</v>
      </c>
      <c r="CD18">
        <v>210</v>
      </c>
      <c r="CE18">
        <v>284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721</v>
      </c>
      <c r="T19">
        <v>14</v>
      </c>
      <c r="U19" t="str">
        <f>dbSamplingTitle</f>
        <v>Échantillonnage</v>
      </c>
      <c r="V19">
        <v>14</v>
      </c>
      <c r="W19" t="str">
        <f>dbSamplingTitle</f>
        <v>Échantillonnage</v>
      </c>
      <c r="X19" t="s">
        <v>585</v>
      </c>
      <c r="Y19" s="1" t="s">
        <v>662</v>
      </c>
      <c r="AH19">
        <v>12</v>
      </c>
      <c r="AJ19">
        <v>189</v>
      </c>
      <c r="AM19" t="s">
        <v>704</v>
      </c>
      <c r="AP19">
        <v>12</v>
      </c>
      <c r="AR19">
        <v>182</v>
      </c>
      <c r="AU19" t="s">
        <v>704</v>
      </c>
      <c r="BF19">
        <v>6</v>
      </c>
      <c r="BG19">
        <v>284</v>
      </c>
      <c r="BH19">
        <v>138</v>
      </c>
      <c r="BI19">
        <v>160</v>
      </c>
      <c r="BN19">
        <v>6</v>
      </c>
      <c r="BO19">
        <v>269</v>
      </c>
      <c r="BP19">
        <v>145</v>
      </c>
      <c r="BQ19">
        <v>134</v>
      </c>
      <c r="BV19">
        <v>13</v>
      </c>
      <c r="BW19">
        <v>284</v>
      </c>
      <c r="BX19">
        <v>161</v>
      </c>
      <c r="CA19" t="s">
        <v>722</v>
      </c>
      <c r="CB19" t="b">
        <v>0</v>
      </c>
      <c r="CD19">
        <v>6</v>
      </c>
      <c r="CE19">
        <v>284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713</v>
      </c>
      <c r="CT19">
        <v>5</v>
      </c>
    </row>
    <row r="20" spans="1:104" x14ac:dyDescent="0.25">
      <c r="A20" t="s">
        <v>343</v>
      </c>
      <c r="B20" t="s">
        <v>676</v>
      </c>
      <c r="T20">
        <v>15</v>
      </c>
      <c r="U20" t="str">
        <f>dbTTest1Title</f>
        <v>Test d'égalité des espérances: observations pairées</v>
      </c>
      <c r="V20">
        <v>15</v>
      </c>
      <c r="W20" t="str">
        <f>dbTTest1Title</f>
        <v>Test d'égalité des espérances: observations pairées</v>
      </c>
      <c r="X20" t="s">
        <v>344</v>
      </c>
      <c r="Y20" s="1" t="s">
        <v>671</v>
      </c>
      <c r="AH20">
        <v>210</v>
      </c>
      <c r="AI20">
        <v>310</v>
      </c>
      <c r="AJ20">
        <v>147</v>
      </c>
      <c r="AK20">
        <v>160</v>
      </c>
      <c r="AN20" t="s">
        <v>316</v>
      </c>
      <c r="AP20">
        <v>210</v>
      </c>
      <c r="AQ20">
        <v>298</v>
      </c>
      <c r="AR20">
        <v>140</v>
      </c>
      <c r="AS20">
        <v>160</v>
      </c>
      <c r="AV20" t="s">
        <v>316</v>
      </c>
      <c r="BF20">
        <v>24</v>
      </c>
      <c r="BG20">
        <v>481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723</v>
      </c>
      <c r="BT20" t="b">
        <v>0</v>
      </c>
      <c r="BV20">
        <v>24</v>
      </c>
      <c r="BW20">
        <v>481</v>
      </c>
      <c r="BX20">
        <v>56</v>
      </c>
      <c r="BY20">
        <v>90</v>
      </c>
      <c r="CD20">
        <v>24</v>
      </c>
      <c r="CE20">
        <v>481</v>
      </c>
      <c r="CF20">
        <v>57</v>
      </c>
      <c r="CG20">
        <v>90</v>
      </c>
      <c r="CL20">
        <v>12</v>
      </c>
      <c r="CN20">
        <v>210</v>
      </c>
      <c r="CQ20" t="s">
        <v>699</v>
      </c>
      <c r="CT20">
        <v>5</v>
      </c>
    </row>
    <row r="21" spans="1:104" x14ac:dyDescent="0.25">
      <c r="A21" t="s">
        <v>346</v>
      </c>
      <c r="B21" t="s">
        <v>724</v>
      </c>
      <c r="T21">
        <v>16</v>
      </c>
      <c r="U21" t="str">
        <f>dbTTest2Title</f>
        <v>Test d'égalité des espérances: deux observations de variances égales</v>
      </c>
      <c r="V21">
        <v>16</v>
      </c>
      <c r="W21" t="str">
        <f>dbTTest2Title</f>
        <v>Test d'égalité des espérances: deux observations de variances égales</v>
      </c>
      <c r="X21" t="s">
        <v>445</v>
      </c>
      <c r="Y21" s="1" t="s">
        <v>672</v>
      </c>
      <c r="AH21">
        <v>6</v>
      </c>
      <c r="AI21">
        <v>310</v>
      </c>
      <c r="AJ21">
        <v>167</v>
      </c>
      <c r="AK21">
        <v>160</v>
      </c>
      <c r="AP21">
        <v>6</v>
      </c>
      <c r="AQ21">
        <v>298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725</v>
      </c>
      <c r="BT21" t="b">
        <v>0</v>
      </c>
      <c r="CL21">
        <v>12</v>
      </c>
      <c r="CN21">
        <v>230</v>
      </c>
      <c r="CQ21" t="s">
        <v>704</v>
      </c>
      <c r="CT21">
        <v>5</v>
      </c>
    </row>
    <row r="22" spans="1:104" x14ac:dyDescent="0.25">
      <c r="A22" t="s">
        <v>440</v>
      </c>
      <c r="B22" t="s">
        <v>677</v>
      </c>
      <c r="T22">
        <v>17</v>
      </c>
      <c r="U22" t="str">
        <f>dbTTest3Title</f>
        <v>Test d'égalité des espérances: deux observations de variances différentes</v>
      </c>
      <c r="V22">
        <v>17</v>
      </c>
      <c r="W22" t="str">
        <f>dbTTest3Title</f>
        <v>Test d'égalité des espérances: deux observations de variances différentes</v>
      </c>
      <c r="X22" t="s">
        <v>441</v>
      </c>
      <c r="Y22" s="1" t="s">
        <v>673</v>
      </c>
      <c r="AH22">
        <v>24</v>
      </c>
      <c r="AI22">
        <v>521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445</v>
      </c>
      <c r="AT22">
        <v>53</v>
      </c>
      <c r="AU22" t="s">
        <v>726</v>
      </c>
      <c r="BF22" t="s">
        <v>483</v>
      </c>
      <c r="BN22">
        <v>208</v>
      </c>
      <c r="BO22">
        <v>308</v>
      </c>
      <c r="BP22">
        <v>207</v>
      </c>
      <c r="BQ22">
        <v>67</v>
      </c>
      <c r="BT22">
        <v>95</v>
      </c>
      <c r="CL22">
        <v>210</v>
      </c>
      <c r="CM22">
        <v>284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727</v>
      </c>
    </row>
    <row r="23" spans="1:104" x14ac:dyDescent="0.25">
      <c r="A23" t="s">
        <v>443</v>
      </c>
      <c r="B23" t="s">
        <v>728</v>
      </c>
      <c r="T23">
        <v>18</v>
      </c>
      <c r="U23" t="str">
        <f>dbZTestTitle</f>
        <v>Test de la différence significative minimale (z-test)</v>
      </c>
      <c r="V23">
        <v>18</v>
      </c>
      <c r="W23" t="str">
        <f>dbZTestTitle</f>
        <v>Test de la différence significative minimale (z-test)</v>
      </c>
      <c r="X23" t="s">
        <v>357</v>
      </c>
      <c r="Y23" s="1" t="s">
        <v>674</v>
      </c>
      <c r="AP23">
        <v>13</v>
      </c>
      <c r="AR23">
        <v>216</v>
      </c>
      <c r="AU23" t="s">
        <v>729</v>
      </c>
      <c r="AV23" t="b">
        <v>0</v>
      </c>
      <c r="BF23" s="1" t="s">
        <v>666</v>
      </c>
      <c r="BI23">
        <v>583</v>
      </c>
      <c r="BJ23">
        <v>191</v>
      </c>
      <c r="BK23" t="s">
        <v>730</v>
      </c>
      <c r="BL23">
        <v>5</v>
      </c>
      <c r="BN23">
        <v>5</v>
      </c>
      <c r="BO23">
        <v>381</v>
      </c>
      <c r="BP23">
        <v>209</v>
      </c>
      <c r="BS23" t="s">
        <v>521</v>
      </c>
      <c r="CL23">
        <v>6</v>
      </c>
      <c r="CM23">
        <v>284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731</v>
      </c>
      <c r="X24" t="s">
        <v>551</v>
      </c>
      <c r="AP24">
        <v>13</v>
      </c>
      <c r="AR24">
        <v>231</v>
      </c>
      <c r="AU24" t="s">
        <v>732</v>
      </c>
      <c r="AV24" t="b">
        <v>0</v>
      </c>
      <c r="BF24">
        <v>1</v>
      </c>
      <c r="BG24">
        <v>481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733</v>
      </c>
      <c r="BT24" t="b">
        <v>0</v>
      </c>
      <c r="CD24" t="s">
        <v>344</v>
      </c>
      <c r="CL24">
        <v>24</v>
      </c>
      <c r="CM24">
        <v>481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734</v>
      </c>
    </row>
    <row r="25" spans="1:104" x14ac:dyDescent="0.25">
      <c r="A25" t="s">
        <v>552</v>
      </c>
      <c r="B25" t="s">
        <v>735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736</v>
      </c>
      <c r="AV25" t="b">
        <v>0</v>
      </c>
      <c r="BF25">
        <v>2</v>
      </c>
      <c r="BG25">
        <v>481</v>
      </c>
      <c r="BH25">
        <v>30</v>
      </c>
      <c r="BI25">
        <v>90</v>
      </c>
      <c r="BK25" t="s">
        <v>685</v>
      </c>
      <c r="BN25">
        <v>207</v>
      </c>
      <c r="BO25">
        <v>276</v>
      </c>
      <c r="BP25">
        <v>227</v>
      </c>
      <c r="BQ25">
        <v>100</v>
      </c>
      <c r="BT25">
        <v>1</v>
      </c>
      <c r="CD25" s="1" t="s">
        <v>671</v>
      </c>
      <c r="CG25">
        <v>578</v>
      </c>
      <c r="CH25">
        <v>227</v>
      </c>
      <c r="CI25" t="s">
        <v>737</v>
      </c>
      <c r="CJ25">
        <v>5</v>
      </c>
      <c r="CT25">
        <v>7</v>
      </c>
      <c r="CU25">
        <v>286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738</v>
      </c>
      <c r="X26" t="s">
        <v>376</v>
      </c>
      <c r="AH26" s="1" t="s">
        <v>664</v>
      </c>
      <c r="AK26">
        <v>613</v>
      </c>
      <c r="AL26">
        <v>187</v>
      </c>
      <c r="AM26" t="s">
        <v>728</v>
      </c>
      <c r="AN26">
        <v>5</v>
      </c>
      <c r="AP26">
        <v>13</v>
      </c>
      <c r="AR26">
        <v>231</v>
      </c>
      <c r="AU26" t="s">
        <v>739</v>
      </c>
      <c r="AV26" t="b">
        <v>0</v>
      </c>
      <c r="BF26">
        <v>14</v>
      </c>
      <c r="BG26">
        <v>8</v>
      </c>
      <c r="BH26">
        <v>3</v>
      </c>
      <c r="BI26">
        <v>448</v>
      </c>
      <c r="BJ26">
        <v>94</v>
      </c>
      <c r="BK26" t="s">
        <v>687</v>
      </c>
      <c r="BN26">
        <v>113</v>
      </c>
      <c r="BO26">
        <v>18</v>
      </c>
      <c r="BP26">
        <v>247</v>
      </c>
      <c r="BS26" t="s">
        <v>740</v>
      </c>
      <c r="BT26" t="b">
        <v>0</v>
      </c>
      <c r="CD26">
        <v>1</v>
      </c>
      <c r="CE26">
        <v>475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448</v>
      </c>
      <c r="CX26">
        <v>81</v>
      </c>
      <c r="CY26" t="s">
        <v>688</v>
      </c>
    </row>
    <row r="27" spans="1:104" x14ac:dyDescent="0.25">
      <c r="A27" t="s">
        <v>377</v>
      </c>
      <c r="B27" t="s">
        <v>741</v>
      </c>
      <c r="X27" t="s">
        <v>379</v>
      </c>
      <c r="AH27">
        <v>1</v>
      </c>
      <c r="AI27">
        <v>509</v>
      </c>
      <c r="AJ27">
        <v>6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445</v>
      </c>
      <c r="AT27">
        <v>35</v>
      </c>
      <c r="AU27" t="s">
        <v>742</v>
      </c>
      <c r="BF27">
        <v>5</v>
      </c>
      <c r="BG27">
        <v>18</v>
      </c>
      <c r="BH27">
        <v>19</v>
      </c>
      <c r="BK27" t="s">
        <v>690</v>
      </c>
      <c r="BN27">
        <v>207</v>
      </c>
      <c r="BO27">
        <v>276</v>
      </c>
      <c r="BP27">
        <v>245</v>
      </c>
      <c r="BQ27">
        <v>100</v>
      </c>
      <c r="BT27">
        <v>1</v>
      </c>
      <c r="CD27">
        <v>2</v>
      </c>
      <c r="CE27">
        <v>475</v>
      </c>
      <c r="CF27">
        <v>30</v>
      </c>
      <c r="CG27">
        <v>90</v>
      </c>
      <c r="CI27" t="s">
        <v>685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743</v>
      </c>
      <c r="X28" t="s">
        <v>382</v>
      </c>
      <c r="AH28">
        <v>2</v>
      </c>
      <c r="AI28">
        <v>509</v>
      </c>
      <c r="AJ28">
        <v>30</v>
      </c>
      <c r="AK28">
        <v>90</v>
      </c>
      <c r="AM28" t="s">
        <v>685</v>
      </c>
      <c r="AP28">
        <v>13</v>
      </c>
      <c r="AR28">
        <v>270</v>
      </c>
      <c r="AU28" t="s">
        <v>744</v>
      </c>
      <c r="AV28" t="b">
        <v>0</v>
      </c>
      <c r="BF28">
        <v>10</v>
      </c>
      <c r="BG28">
        <v>284</v>
      </c>
      <c r="BH28">
        <v>16</v>
      </c>
      <c r="BI28">
        <v>160</v>
      </c>
      <c r="BL28" t="s">
        <v>316</v>
      </c>
      <c r="BN28">
        <v>24</v>
      </c>
      <c r="BO28">
        <v>450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440</v>
      </c>
      <c r="CH28">
        <v>132</v>
      </c>
      <c r="CI28" t="s">
        <v>687</v>
      </c>
      <c r="CT28">
        <v>12</v>
      </c>
      <c r="CU28">
        <v>17</v>
      </c>
      <c r="CV28">
        <v>225</v>
      </c>
      <c r="CY28" t="s">
        <v>713</v>
      </c>
    </row>
    <row r="29" spans="1:104" x14ac:dyDescent="0.25">
      <c r="A29" t="s">
        <v>383</v>
      </c>
      <c r="B29" t="s">
        <v>745</v>
      </c>
      <c r="X29" t="s">
        <v>599</v>
      </c>
      <c r="AH29">
        <v>14</v>
      </c>
      <c r="AI29">
        <v>8</v>
      </c>
      <c r="AJ29">
        <v>3</v>
      </c>
      <c r="AK29">
        <v>476</v>
      </c>
      <c r="AL29">
        <v>89</v>
      </c>
      <c r="AM29" t="s">
        <v>687</v>
      </c>
      <c r="AP29">
        <v>24</v>
      </c>
      <c r="AQ29">
        <v>495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694</v>
      </c>
      <c r="CD29">
        <v>5</v>
      </c>
      <c r="CE29">
        <v>17</v>
      </c>
      <c r="CF29">
        <v>18</v>
      </c>
      <c r="CI29" t="s">
        <v>692</v>
      </c>
      <c r="CT29">
        <v>12</v>
      </c>
      <c r="CV29">
        <v>245</v>
      </c>
      <c r="CY29" t="s">
        <v>699</v>
      </c>
    </row>
    <row r="30" spans="1:104" x14ac:dyDescent="0.25">
      <c r="A30" t="s">
        <v>600</v>
      </c>
      <c r="B30" t="s">
        <v>601</v>
      </c>
      <c r="X30" t="s">
        <v>332</v>
      </c>
      <c r="AH30">
        <v>5</v>
      </c>
      <c r="AI30">
        <v>20</v>
      </c>
      <c r="AJ30">
        <v>19</v>
      </c>
      <c r="AM30" t="s">
        <v>690</v>
      </c>
      <c r="BF30">
        <v>111</v>
      </c>
      <c r="BL30">
        <v>1</v>
      </c>
      <c r="CD30">
        <v>10</v>
      </c>
      <c r="CE30">
        <v>280</v>
      </c>
      <c r="CF30">
        <v>16</v>
      </c>
      <c r="CG30">
        <v>160</v>
      </c>
      <c r="CJ30" t="s">
        <v>316</v>
      </c>
      <c r="CT30">
        <v>12</v>
      </c>
      <c r="CV30">
        <v>265</v>
      </c>
      <c r="CY30" t="s">
        <v>704</v>
      </c>
    </row>
    <row r="31" spans="1:104" x14ac:dyDescent="0.25">
      <c r="A31" t="s">
        <v>602</v>
      </c>
      <c r="B31" t="s">
        <v>746</v>
      </c>
      <c r="X31" t="s">
        <v>263</v>
      </c>
      <c r="AH31">
        <v>10</v>
      </c>
      <c r="AI31">
        <v>312</v>
      </c>
      <c r="AJ31">
        <v>13</v>
      </c>
      <c r="AK31">
        <v>160</v>
      </c>
      <c r="AN31" t="s">
        <v>316</v>
      </c>
      <c r="BF31">
        <v>12</v>
      </c>
      <c r="BG31">
        <v>284</v>
      </c>
      <c r="BH31">
        <v>40</v>
      </c>
      <c r="BK31" t="s">
        <v>703</v>
      </c>
      <c r="CD31">
        <v>5</v>
      </c>
      <c r="CE31">
        <v>17</v>
      </c>
      <c r="CF31">
        <v>41</v>
      </c>
      <c r="CI31" t="s">
        <v>747</v>
      </c>
      <c r="CT31">
        <v>210</v>
      </c>
      <c r="CU31">
        <v>286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748</v>
      </c>
      <c r="AH32">
        <v>5</v>
      </c>
      <c r="AI32">
        <v>20</v>
      </c>
      <c r="AJ32">
        <v>45</v>
      </c>
      <c r="AM32" t="s">
        <v>749</v>
      </c>
      <c r="BF32">
        <v>12</v>
      </c>
      <c r="BK32" t="s">
        <v>706</v>
      </c>
      <c r="CD32">
        <v>10</v>
      </c>
      <c r="CE32">
        <v>280</v>
      </c>
      <c r="CF32">
        <v>39</v>
      </c>
      <c r="CG32">
        <v>160</v>
      </c>
      <c r="CJ32" t="s">
        <v>316</v>
      </c>
      <c r="CT32">
        <v>6</v>
      </c>
      <c r="CU32">
        <v>286</v>
      </c>
      <c r="CV32">
        <v>243</v>
      </c>
      <c r="CW32">
        <v>160</v>
      </c>
    </row>
    <row r="33" spans="1:104" x14ac:dyDescent="0.25">
      <c r="A33" t="s">
        <v>307</v>
      </c>
      <c r="B33" t="s">
        <v>750</v>
      </c>
      <c r="AH33">
        <v>7</v>
      </c>
      <c r="AI33">
        <v>312</v>
      </c>
      <c r="AJ33">
        <v>39</v>
      </c>
      <c r="AK33">
        <v>69</v>
      </c>
      <c r="BF33">
        <v>13</v>
      </c>
      <c r="BG33">
        <v>18</v>
      </c>
      <c r="BH33">
        <v>75</v>
      </c>
      <c r="BK33" t="s">
        <v>705</v>
      </c>
      <c r="BL33" t="b">
        <v>0</v>
      </c>
      <c r="CD33">
        <v>5</v>
      </c>
      <c r="CE33">
        <v>17</v>
      </c>
      <c r="CF33">
        <v>70</v>
      </c>
      <c r="CI33" t="s">
        <v>751</v>
      </c>
      <c r="CT33">
        <v>24</v>
      </c>
      <c r="CU33">
        <v>469</v>
      </c>
      <c r="CV33">
        <v>60</v>
      </c>
      <c r="CW33">
        <v>90</v>
      </c>
    </row>
    <row r="34" spans="1:104" x14ac:dyDescent="0.25">
      <c r="A34" t="s">
        <v>309</v>
      </c>
      <c r="B34" t="s">
        <v>752</v>
      </c>
      <c r="AH34">
        <v>5</v>
      </c>
      <c r="AI34">
        <v>20</v>
      </c>
      <c r="AJ34">
        <v>68</v>
      </c>
      <c r="AM34" t="s">
        <v>708</v>
      </c>
      <c r="BF34">
        <v>14</v>
      </c>
      <c r="BG34">
        <v>8</v>
      </c>
      <c r="BH34">
        <v>104</v>
      </c>
      <c r="BI34">
        <v>448</v>
      </c>
      <c r="BJ34">
        <v>81</v>
      </c>
      <c r="BK34" t="s">
        <v>688</v>
      </c>
      <c r="CD34">
        <v>8</v>
      </c>
      <c r="CE34">
        <v>350</v>
      </c>
      <c r="CF34">
        <v>68</v>
      </c>
      <c r="CG34">
        <v>89</v>
      </c>
    </row>
    <row r="35" spans="1:104" x14ac:dyDescent="0.25">
      <c r="A35" t="s">
        <v>469</v>
      </c>
      <c r="B35" t="s">
        <v>753</v>
      </c>
      <c r="AH35">
        <v>8</v>
      </c>
      <c r="AI35">
        <v>312</v>
      </c>
      <c r="AJ35">
        <v>63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698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476</v>
      </c>
      <c r="AL36">
        <v>82</v>
      </c>
      <c r="AM36" t="s">
        <v>688</v>
      </c>
      <c r="BF36">
        <v>12</v>
      </c>
      <c r="BG36">
        <v>18</v>
      </c>
      <c r="BH36">
        <v>120</v>
      </c>
      <c r="BK36" t="s">
        <v>713</v>
      </c>
      <c r="CD36">
        <v>5</v>
      </c>
      <c r="CE36">
        <v>17</v>
      </c>
      <c r="CF36">
        <v>114</v>
      </c>
      <c r="CI36" t="s">
        <v>708</v>
      </c>
      <c r="CT36">
        <v>5</v>
      </c>
      <c r="CZ36" t="s">
        <v>551</v>
      </c>
    </row>
    <row r="37" spans="1:104" x14ac:dyDescent="0.25">
      <c r="A37" t="s">
        <v>473</v>
      </c>
      <c r="B37" t="s">
        <v>754</v>
      </c>
      <c r="AH37">
        <v>111</v>
      </c>
      <c r="AN37">
        <v>2</v>
      </c>
      <c r="BF37">
        <v>12</v>
      </c>
      <c r="BH37">
        <v>140</v>
      </c>
      <c r="BK37" t="s">
        <v>699</v>
      </c>
      <c r="CD37">
        <v>8</v>
      </c>
      <c r="CE37">
        <v>280</v>
      </c>
      <c r="CF37">
        <v>112</v>
      </c>
      <c r="CG37">
        <v>65</v>
      </c>
      <c r="CJ37">
        <v>0.05</v>
      </c>
      <c r="CT37">
        <v>5</v>
      </c>
    </row>
    <row r="38" spans="1:104" x14ac:dyDescent="0.25">
      <c r="A38" t="s">
        <v>413</v>
      </c>
      <c r="B38" t="s">
        <v>755</v>
      </c>
      <c r="AH38">
        <v>12</v>
      </c>
      <c r="AI38">
        <v>20</v>
      </c>
      <c r="AJ38">
        <v>115</v>
      </c>
      <c r="AM38" t="s">
        <v>713</v>
      </c>
      <c r="BF38">
        <v>12</v>
      </c>
      <c r="BH38">
        <v>160</v>
      </c>
      <c r="BK38" t="s">
        <v>704</v>
      </c>
      <c r="CD38">
        <v>14</v>
      </c>
      <c r="CE38">
        <v>8</v>
      </c>
      <c r="CF38">
        <v>140</v>
      </c>
      <c r="CG38">
        <v>440</v>
      </c>
      <c r="CH38">
        <v>81</v>
      </c>
      <c r="CI38" t="s">
        <v>688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699</v>
      </c>
      <c r="BF39">
        <v>210</v>
      </c>
      <c r="BG39">
        <v>284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756</v>
      </c>
      <c r="AH40">
        <v>12</v>
      </c>
      <c r="AJ40">
        <v>155</v>
      </c>
      <c r="AM40" t="s">
        <v>704</v>
      </c>
      <c r="BF40">
        <v>6</v>
      </c>
      <c r="BG40">
        <v>284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713</v>
      </c>
      <c r="CT40">
        <v>5</v>
      </c>
    </row>
    <row r="41" spans="1:104" x14ac:dyDescent="0.25">
      <c r="A41" t="s">
        <v>492</v>
      </c>
      <c r="B41" t="s">
        <v>757</v>
      </c>
      <c r="AH41">
        <v>210</v>
      </c>
      <c r="AI41">
        <v>312</v>
      </c>
      <c r="AJ41">
        <v>113</v>
      </c>
      <c r="AK41">
        <v>160</v>
      </c>
      <c r="AN41" t="s">
        <v>316</v>
      </c>
      <c r="BF41">
        <v>24</v>
      </c>
      <c r="BG41">
        <v>481</v>
      </c>
      <c r="BH41">
        <v>57</v>
      </c>
      <c r="BI41">
        <v>90</v>
      </c>
      <c r="CD41">
        <v>12</v>
      </c>
      <c r="CF41">
        <v>176</v>
      </c>
      <c r="CI41" t="s">
        <v>699</v>
      </c>
      <c r="CT41">
        <v>5</v>
      </c>
    </row>
    <row r="42" spans="1:104" x14ac:dyDescent="0.25">
      <c r="A42" t="s">
        <v>494</v>
      </c>
      <c r="B42" t="s">
        <v>758</v>
      </c>
      <c r="AH42">
        <v>6</v>
      </c>
      <c r="AI42">
        <v>312</v>
      </c>
      <c r="AJ42">
        <v>133</v>
      </c>
      <c r="AK42">
        <v>160</v>
      </c>
      <c r="CD42">
        <v>12</v>
      </c>
      <c r="CF42">
        <v>196</v>
      </c>
      <c r="CI42" t="s">
        <v>704</v>
      </c>
      <c r="CT42">
        <v>5</v>
      </c>
    </row>
    <row r="43" spans="1:104" x14ac:dyDescent="0.25">
      <c r="A43" t="s">
        <v>496</v>
      </c>
      <c r="B43" t="s">
        <v>759</v>
      </c>
      <c r="AH43">
        <v>24</v>
      </c>
      <c r="AI43">
        <v>509</v>
      </c>
      <c r="AJ43">
        <v>57</v>
      </c>
      <c r="AK43">
        <v>90</v>
      </c>
      <c r="BF43" t="s">
        <v>530</v>
      </c>
      <c r="CD43">
        <v>210</v>
      </c>
      <c r="CE43">
        <v>280</v>
      </c>
      <c r="CF43">
        <v>154</v>
      </c>
      <c r="CG43">
        <v>160</v>
      </c>
      <c r="CJ43" t="s">
        <v>316</v>
      </c>
      <c r="CT43">
        <v>5</v>
      </c>
    </row>
    <row r="44" spans="1:104" x14ac:dyDescent="0.25">
      <c r="A44" t="s">
        <v>400</v>
      </c>
      <c r="B44" t="s">
        <v>401</v>
      </c>
      <c r="BF44" s="1" t="s">
        <v>670</v>
      </c>
      <c r="BI44">
        <v>583</v>
      </c>
      <c r="BJ44">
        <v>191</v>
      </c>
      <c r="BK44" t="s">
        <v>760</v>
      </c>
      <c r="BL44">
        <v>5</v>
      </c>
      <c r="CD44">
        <v>6</v>
      </c>
      <c r="CE44">
        <v>280</v>
      </c>
      <c r="CF44">
        <v>174</v>
      </c>
      <c r="CG44">
        <v>160</v>
      </c>
      <c r="CT44">
        <v>5</v>
      </c>
      <c r="CU44">
        <v>25</v>
      </c>
      <c r="CV44">
        <v>114</v>
      </c>
      <c r="CY44" t="s">
        <v>761</v>
      </c>
    </row>
    <row r="45" spans="1:104" x14ac:dyDescent="0.25">
      <c r="A45" t="s">
        <v>422</v>
      </c>
      <c r="B45" t="s">
        <v>762</v>
      </c>
      <c r="BF45">
        <v>1</v>
      </c>
      <c r="BG45">
        <v>481</v>
      </c>
      <c r="BH45">
        <v>7</v>
      </c>
      <c r="BI45">
        <v>90</v>
      </c>
      <c r="BK45" t="s">
        <v>390</v>
      </c>
      <c r="CD45">
        <v>24</v>
      </c>
      <c r="CE45">
        <v>475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763</v>
      </c>
      <c r="BF46">
        <v>2</v>
      </c>
      <c r="BG46">
        <v>481</v>
      </c>
      <c r="BH46">
        <v>30</v>
      </c>
      <c r="BI46">
        <v>90</v>
      </c>
      <c r="BK46" t="s">
        <v>685</v>
      </c>
      <c r="CT46">
        <v>5</v>
      </c>
      <c r="CU46">
        <v>184</v>
      </c>
      <c r="CV46">
        <v>114</v>
      </c>
      <c r="CY46" t="s">
        <v>764</v>
      </c>
    </row>
    <row r="47" spans="1:104" x14ac:dyDescent="0.25">
      <c r="A47" t="s">
        <v>427</v>
      </c>
      <c r="B47" t="s">
        <v>765</v>
      </c>
      <c r="AH47" t="s">
        <v>315</v>
      </c>
      <c r="BF47">
        <v>14</v>
      </c>
      <c r="BG47">
        <v>8</v>
      </c>
      <c r="BH47">
        <v>3</v>
      </c>
      <c r="BI47">
        <v>448</v>
      </c>
      <c r="BJ47">
        <v>94</v>
      </c>
      <c r="BK47" t="s">
        <v>687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766</v>
      </c>
      <c r="AH48" s="1" t="s">
        <v>665</v>
      </c>
      <c r="AK48">
        <v>613</v>
      </c>
      <c r="AL48">
        <v>185</v>
      </c>
      <c r="AM48" t="s">
        <v>731</v>
      </c>
      <c r="AN48">
        <v>5</v>
      </c>
      <c r="BF48">
        <v>5</v>
      </c>
      <c r="BG48">
        <v>18</v>
      </c>
      <c r="BH48">
        <v>19</v>
      </c>
      <c r="BK48" t="s">
        <v>690</v>
      </c>
    </row>
    <row r="49" spans="1:104" x14ac:dyDescent="0.25">
      <c r="A49" t="s">
        <v>431</v>
      </c>
      <c r="B49" t="s">
        <v>680</v>
      </c>
      <c r="AH49">
        <v>1</v>
      </c>
      <c r="AI49">
        <v>509</v>
      </c>
      <c r="AJ49">
        <v>6</v>
      </c>
      <c r="AK49">
        <v>90</v>
      </c>
      <c r="AM49" t="s">
        <v>390</v>
      </c>
      <c r="BF49">
        <v>10</v>
      </c>
      <c r="BG49">
        <v>284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745</v>
      </c>
      <c r="AH50">
        <v>2</v>
      </c>
      <c r="AI50">
        <v>509</v>
      </c>
      <c r="AJ50">
        <v>30</v>
      </c>
      <c r="AK50">
        <v>90</v>
      </c>
      <c r="AM50" t="s">
        <v>685</v>
      </c>
      <c r="BF50">
        <v>5</v>
      </c>
      <c r="BG50">
        <v>18</v>
      </c>
      <c r="BH50">
        <v>44</v>
      </c>
      <c r="BK50" t="s">
        <v>694</v>
      </c>
      <c r="CD50" s="1" t="s">
        <v>672</v>
      </c>
      <c r="CG50">
        <v>600</v>
      </c>
      <c r="CH50">
        <v>227</v>
      </c>
      <c r="CI50" t="s">
        <v>767</v>
      </c>
      <c r="CJ50">
        <v>5</v>
      </c>
      <c r="CT50">
        <v>5</v>
      </c>
      <c r="CU50">
        <v>17</v>
      </c>
      <c r="CV50">
        <v>101</v>
      </c>
      <c r="CY50" t="s">
        <v>768</v>
      </c>
      <c r="CZ50" t="s">
        <v>599</v>
      </c>
    </row>
    <row r="51" spans="1:104" x14ac:dyDescent="0.25">
      <c r="A51" t="s">
        <v>439</v>
      </c>
      <c r="B51" t="s">
        <v>769</v>
      </c>
      <c r="AH51">
        <v>14</v>
      </c>
      <c r="AI51">
        <v>8</v>
      </c>
      <c r="AJ51">
        <v>3</v>
      </c>
      <c r="AK51">
        <v>476</v>
      </c>
      <c r="AL51">
        <v>83</v>
      </c>
      <c r="AM51" t="s">
        <v>687</v>
      </c>
      <c r="BF51">
        <v>111</v>
      </c>
      <c r="BL51">
        <v>1</v>
      </c>
      <c r="CD51">
        <v>1</v>
      </c>
      <c r="CE51">
        <v>500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770</v>
      </c>
      <c r="AH52">
        <v>5</v>
      </c>
      <c r="AI52">
        <v>18</v>
      </c>
      <c r="AJ52">
        <v>19</v>
      </c>
      <c r="AM52" t="s">
        <v>690</v>
      </c>
      <c r="BF52">
        <v>12</v>
      </c>
      <c r="BG52">
        <v>284</v>
      </c>
      <c r="BH52">
        <v>42</v>
      </c>
      <c r="BK52" t="s">
        <v>703</v>
      </c>
      <c r="CD52">
        <v>2</v>
      </c>
      <c r="CE52">
        <v>500</v>
      </c>
      <c r="CF52">
        <v>30</v>
      </c>
      <c r="CG52">
        <v>90</v>
      </c>
      <c r="CI52" t="s">
        <v>685</v>
      </c>
      <c r="CT52">
        <v>5</v>
      </c>
      <c r="CU52">
        <v>132</v>
      </c>
      <c r="CV52">
        <v>101</v>
      </c>
      <c r="CY52" t="s">
        <v>771</v>
      </c>
    </row>
    <row r="53" spans="1:104" x14ac:dyDescent="0.25">
      <c r="A53" t="s">
        <v>338</v>
      </c>
      <c r="B53" t="s">
        <v>339</v>
      </c>
      <c r="AH53">
        <v>10</v>
      </c>
      <c r="AI53">
        <v>312</v>
      </c>
      <c r="AJ53">
        <v>16</v>
      </c>
      <c r="AK53">
        <v>160</v>
      </c>
      <c r="AN53" t="s">
        <v>316</v>
      </c>
      <c r="BF53">
        <v>12</v>
      </c>
      <c r="BK53" t="s">
        <v>706</v>
      </c>
      <c r="CD53">
        <v>14</v>
      </c>
      <c r="CE53">
        <v>8</v>
      </c>
      <c r="CF53">
        <v>3</v>
      </c>
      <c r="CG53">
        <v>448</v>
      </c>
      <c r="CH53">
        <v>132</v>
      </c>
      <c r="CI53" t="s">
        <v>687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772</v>
      </c>
      <c r="AH54">
        <v>13</v>
      </c>
      <c r="AI54">
        <v>19</v>
      </c>
      <c r="AJ54">
        <v>41</v>
      </c>
      <c r="AM54" t="s">
        <v>698</v>
      </c>
      <c r="AN54" t="b">
        <v>0</v>
      </c>
      <c r="BF54">
        <v>13</v>
      </c>
      <c r="BG54">
        <v>18</v>
      </c>
      <c r="BH54">
        <v>75</v>
      </c>
      <c r="BK54" t="s">
        <v>705</v>
      </c>
      <c r="BL54" t="b">
        <v>0</v>
      </c>
      <c r="CD54">
        <v>5</v>
      </c>
      <c r="CE54">
        <v>17</v>
      </c>
      <c r="CF54">
        <v>18</v>
      </c>
      <c r="CI54" t="s">
        <v>692</v>
      </c>
      <c r="CT54">
        <v>5</v>
      </c>
      <c r="CU54">
        <v>232</v>
      </c>
      <c r="CV54">
        <v>101</v>
      </c>
      <c r="CY54" t="s">
        <v>773</v>
      </c>
    </row>
    <row r="55" spans="1:104" x14ac:dyDescent="0.25">
      <c r="A55" t="s">
        <v>177</v>
      </c>
      <c r="B55" t="s">
        <v>774</v>
      </c>
      <c r="AH55">
        <v>5</v>
      </c>
      <c r="AI55">
        <v>20</v>
      </c>
      <c r="AJ55">
        <v>62</v>
      </c>
      <c r="AM55" t="s">
        <v>708</v>
      </c>
      <c r="BF55">
        <v>14</v>
      </c>
      <c r="BG55">
        <v>8</v>
      </c>
      <c r="BH55">
        <v>104</v>
      </c>
      <c r="BI55">
        <v>448</v>
      </c>
      <c r="BJ55">
        <v>81</v>
      </c>
      <c r="BK55" t="s">
        <v>688</v>
      </c>
      <c r="CD55">
        <v>10</v>
      </c>
      <c r="CE55">
        <v>285</v>
      </c>
      <c r="CF55">
        <v>16</v>
      </c>
      <c r="CG55">
        <v>160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775</v>
      </c>
      <c r="AH56">
        <v>8</v>
      </c>
      <c r="AI56">
        <v>312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697</v>
      </c>
      <c r="CT56">
        <v>5</v>
      </c>
      <c r="CU56">
        <v>17</v>
      </c>
      <c r="CV56">
        <v>131</v>
      </c>
      <c r="CY56" t="s">
        <v>776</v>
      </c>
    </row>
    <row r="57" spans="1:104" x14ac:dyDescent="0.25">
      <c r="A57" t="s">
        <v>557</v>
      </c>
      <c r="B57" t="s">
        <v>777</v>
      </c>
      <c r="AH57">
        <v>14</v>
      </c>
      <c r="AI57">
        <v>8</v>
      </c>
      <c r="AJ57">
        <v>91</v>
      </c>
      <c r="AK57">
        <v>476</v>
      </c>
      <c r="AL57">
        <v>86</v>
      </c>
      <c r="AM57" t="s">
        <v>688</v>
      </c>
      <c r="BF57">
        <v>12</v>
      </c>
      <c r="BG57">
        <v>18</v>
      </c>
      <c r="BH57">
        <v>120</v>
      </c>
      <c r="BK57" t="s">
        <v>713</v>
      </c>
      <c r="CD57">
        <v>10</v>
      </c>
      <c r="CE57">
        <v>285</v>
      </c>
      <c r="CF57">
        <v>39</v>
      </c>
      <c r="CG57">
        <v>160</v>
      </c>
      <c r="CJ57" t="s">
        <v>316</v>
      </c>
      <c r="CT57">
        <v>7</v>
      </c>
      <c r="CU57">
        <v>240</v>
      </c>
      <c r="CV57">
        <v>129</v>
      </c>
      <c r="CW57">
        <v>60</v>
      </c>
    </row>
    <row r="58" spans="1:104" x14ac:dyDescent="0.25">
      <c r="A58" t="s">
        <v>559</v>
      </c>
      <c r="B58" t="s">
        <v>778</v>
      </c>
      <c r="AH58">
        <v>111</v>
      </c>
      <c r="AN58">
        <v>2</v>
      </c>
      <c r="BF58">
        <v>12</v>
      </c>
      <c r="BH58">
        <v>140</v>
      </c>
      <c r="BK58" t="s">
        <v>699</v>
      </c>
      <c r="CD58">
        <v>5</v>
      </c>
      <c r="CE58">
        <v>17</v>
      </c>
      <c r="CF58">
        <v>70</v>
      </c>
      <c r="CI58" t="s">
        <v>751</v>
      </c>
      <c r="CT58">
        <v>5</v>
      </c>
      <c r="CU58">
        <v>308</v>
      </c>
      <c r="CV58">
        <v>131</v>
      </c>
      <c r="CY58" t="s">
        <v>779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713</v>
      </c>
      <c r="BF59">
        <v>12</v>
      </c>
      <c r="BH59">
        <v>160</v>
      </c>
      <c r="BK59" t="s">
        <v>704</v>
      </c>
      <c r="CD59">
        <v>8</v>
      </c>
      <c r="CE59">
        <v>355</v>
      </c>
      <c r="CF59">
        <v>68</v>
      </c>
      <c r="CG59">
        <v>90</v>
      </c>
      <c r="CT59">
        <v>5</v>
      </c>
      <c r="CU59">
        <v>17</v>
      </c>
      <c r="CV59">
        <v>153</v>
      </c>
      <c r="CY59" t="s">
        <v>780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699</v>
      </c>
      <c r="BF60">
        <v>210</v>
      </c>
      <c r="BG60">
        <v>284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698</v>
      </c>
      <c r="CJ60" t="b">
        <v>0</v>
      </c>
      <c r="CT60">
        <v>7</v>
      </c>
      <c r="CU60">
        <v>240</v>
      </c>
      <c r="CV60">
        <v>151</v>
      </c>
      <c r="CW60">
        <v>60</v>
      </c>
    </row>
    <row r="61" spans="1:104" x14ac:dyDescent="0.25">
      <c r="A61" t="s">
        <v>566</v>
      </c>
      <c r="B61" t="s">
        <v>565</v>
      </c>
      <c r="AH61">
        <v>12</v>
      </c>
      <c r="AJ61">
        <v>147</v>
      </c>
      <c r="AM61" t="s">
        <v>704</v>
      </c>
      <c r="BF61">
        <v>6</v>
      </c>
      <c r="BG61">
        <v>284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708</v>
      </c>
      <c r="CT61">
        <v>5</v>
      </c>
      <c r="CU61">
        <v>308</v>
      </c>
      <c r="CV61">
        <v>153</v>
      </c>
      <c r="CY61" t="s">
        <v>779</v>
      </c>
    </row>
    <row r="62" spans="1:104" x14ac:dyDescent="0.25">
      <c r="A62" t="s">
        <v>568</v>
      </c>
      <c r="B62" t="s">
        <v>189</v>
      </c>
      <c r="AH62">
        <v>210</v>
      </c>
      <c r="AI62">
        <v>312</v>
      </c>
      <c r="AJ62">
        <v>105</v>
      </c>
      <c r="AK62">
        <v>160</v>
      </c>
      <c r="AN62" t="s">
        <v>316</v>
      </c>
      <c r="BF62">
        <v>24</v>
      </c>
      <c r="BG62">
        <v>481</v>
      </c>
      <c r="BH62">
        <v>57</v>
      </c>
      <c r="BI62">
        <v>90</v>
      </c>
      <c r="CD62">
        <v>8</v>
      </c>
      <c r="CE62">
        <v>190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781</v>
      </c>
      <c r="AH63">
        <v>6</v>
      </c>
      <c r="AI63">
        <v>312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448</v>
      </c>
      <c r="CH63">
        <v>81</v>
      </c>
      <c r="CI63" t="s">
        <v>688</v>
      </c>
      <c r="CT63" t="s">
        <v>554</v>
      </c>
    </row>
    <row r="64" spans="1:104" x14ac:dyDescent="0.25">
      <c r="A64" t="s">
        <v>572</v>
      </c>
      <c r="B64" t="s">
        <v>679</v>
      </c>
      <c r="AH64">
        <v>24</v>
      </c>
      <c r="AI64">
        <v>509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730</v>
      </c>
      <c r="CD65">
        <v>12</v>
      </c>
      <c r="CE65">
        <v>17</v>
      </c>
      <c r="CF65">
        <v>156</v>
      </c>
      <c r="CI65" t="s">
        <v>713</v>
      </c>
      <c r="CT65">
        <v>5</v>
      </c>
    </row>
    <row r="66" spans="1:104" x14ac:dyDescent="0.25">
      <c r="A66" t="s">
        <v>194</v>
      </c>
      <c r="B66" t="s">
        <v>681</v>
      </c>
      <c r="BF66" t="s">
        <v>334</v>
      </c>
      <c r="CD66">
        <v>12</v>
      </c>
      <c r="CF66">
        <v>176</v>
      </c>
      <c r="CI66" t="s">
        <v>699</v>
      </c>
      <c r="CT66">
        <v>5</v>
      </c>
    </row>
    <row r="67" spans="1:104" x14ac:dyDescent="0.25">
      <c r="A67" t="s">
        <v>195</v>
      </c>
      <c r="B67" t="s">
        <v>782</v>
      </c>
      <c r="BF67" s="1" t="s">
        <v>667</v>
      </c>
      <c r="BI67">
        <v>583</v>
      </c>
      <c r="BJ67">
        <v>181</v>
      </c>
      <c r="BK67" t="s">
        <v>783</v>
      </c>
      <c r="BL67">
        <v>5</v>
      </c>
      <c r="CD67">
        <v>12</v>
      </c>
      <c r="CF67">
        <v>196</v>
      </c>
      <c r="CI67" t="s">
        <v>704</v>
      </c>
      <c r="CT67">
        <v>5</v>
      </c>
    </row>
    <row r="68" spans="1:104" x14ac:dyDescent="0.25">
      <c r="A68" t="s">
        <v>576</v>
      </c>
      <c r="B68" t="s">
        <v>784</v>
      </c>
      <c r="AH68" t="s">
        <v>524</v>
      </c>
      <c r="BF68">
        <v>1</v>
      </c>
      <c r="BG68">
        <v>481</v>
      </c>
      <c r="BH68">
        <v>7</v>
      </c>
      <c r="BI68">
        <v>90</v>
      </c>
      <c r="BK68" t="s">
        <v>390</v>
      </c>
      <c r="CD68">
        <v>210</v>
      </c>
      <c r="CE68">
        <v>285</v>
      </c>
      <c r="CF68">
        <v>154</v>
      </c>
      <c r="CG68">
        <v>160</v>
      </c>
      <c r="CJ68" t="s">
        <v>316</v>
      </c>
      <c r="CT68">
        <v>5</v>
      </c>
    </row>
    <row r="69" spans="1:104" x14ac:dyDescent="0.25">
      <c r="A69" t="s">
        <v>578</v>
      </c>
      <c r="B69" t="s">
        <v>785</v>
      </c>
      <c r="AH69" s="1" t="s">
        <v>669</v>
      </c>
      <c r="AK69">
        <v>583</v>
      </c>
      <c r="AL69">
        <v>214</v>
      </c>
      <c r="AM69" t="s">
        <v>782</v>
      </c>
      <c r="AN69">
        <v>5</v>
      </c>
      <c r="BF69">
        <v>2</v>
      </c>
      <c r="BG69">
        <v>481</v>
      </c>
      <c r="BH69">
        <v>30</v>
      </c>
      <c r="BI69">
        <v>90</v>
      </c>
      <c r="BK69" t="s">
        <v>685</v>
      </c>
      <c r="CD69">
        <v>6</v>
      </c>
      <c r="CE69">
        <v>285</v>
      </c>
      <c r="CF69">
        <v>174</v>
      </c>
      <c r="CG69">
        <v>160</v>
      </c>
      <c r="CT69">
        <v>5</v>
      </c>
    </row>
    <row r="70" spans="1:104" x14ac:dyDescent="0.25">
      <c r="A70" t="s">
        <v>580</v>
      </c>
      <c r="B70" t="s">
        <v>786</v>
      </c>
      <c r="AH70">
        <v>1</v>
      </c>
      <c r="AI70">
        <v>481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448</v>
      </c>
      <c r="BJ70">
        <v>59</v>
      </c>
      <c r="BK70" t="s">
        <v>687</v>
      </c>
      <c r="CD70">
        <v>24</v>
      </c>
      <c r="CE70">
        <v>500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787</v>
      </c>
      <c r="AH71">
        <v>2</v>
      </c>
      <c r="AI71">
        <v>481</v>
      </c>
      <c r="AJ71">
        <v>30</v>
      </c>
      <c r="AK71">
        <v>90</v>
      </c>
      <c r="AM71" t="s">
        <v>685</v>
      </c>
      <c r="BF71">
        <v>5</v>
      </c>
      <c r="BG71">
        <v>18</v>
      </c>
      <c r="BH71">
        <v>19</v>
      </c>
      <c r="BK71" t="s">
        <v>690</v>
      </c>
      <c r="CT71">
        <v>5</v>
      </c>
    </row>
    <row r="72" spans="1:104" x14ac:dyDescent="0.25">
      <c r="A72" t="s">
        <v>200</v>
      </c>
      <c r="B72" t="s">
        <v>788</v>
      </c>
      <c r="AH72">
        <v>14</v>
      </c>
      <c r="AI72">
        <v>8</v>
      </c>
      <c r="AJ72">
        <v>3</v>
      </c>
      <c r="AK72">
        <v>448</v>
      </c>
      <c r="AL72">
        <v>93</v>
      </c>
      <c r="AM72" t="s">
        <v>687</v>
      </c>
      <c r="BF72">
        <v>10</v>
      </c>
      <c r="BG72">
        <v>284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789</v>
      </c>
    </row>
    <row r="73" spans="1:104" x14ac:dyDescent="0.25">
      <c r="A73" t="s">
        <v>203</v>
      </c>
      <c r="B73" t="s">
        <v>790</v>
      </c>
      <c r="AH73">
        <v>5</v>
      </c>
      <c r="AI73">
        <v>18</v>
      </c>
      <c r="AJ73">
        <v>19</v>
      </c>
      <c r="AM73" t="s">
        <v>690</v>
      </c>
      <c r="BF73">
        <v>13</v>
      </c>
      <c r="BG73">
        <v>18</v>
      </c>
      <c r="BH73">
        <v>40</v>
      </c>
      <c r="BK73" t="s">
        <v>705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791</v>
      </c>
      <c r="AH74">
        <v>10</v>
      </c>
      <c r="AI74">
        <v>284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448</v>
      </c>
      <c r="BJ74">
        <v>104</v>
      </c>
      <c r="BK74" t="s">
        <v>688</v>
      </c>
      <c r="CD74" t="s">
        <v>441</v>
      </c>
      <c r="CT74">
        <v>5</v>
      </c>
      <c r="CU74">
        <v>24</v>
      </c>
      <c r="CV74">
        <v>134</v>
      </c>
      <c r="CY74" t="s">
        <v>792</v>
      </c>
    </row>
    <row r="75" spans="1:104" x14ac:dyDescent="0.25">
      <c r="A75" t="s">
        <v>207</v>
      </c>
      <c r="B75" t="s">
        <v>793</v>
      </c>
      <c r="AH75">
        <v>13</v>
      </c>
      <c r="AI75">
        <v>18</v>
      </c>
      <c r="AJ75">
        <v>41</v>
      </c>
      <c r="AM75" t="s">
        <v>705</v>
      </c>
      <c r="AN75" t="b">
        <v>0</v>
      </c>
      <c r="BF75">
        <v>111</v>
      </c>
      <c r="BL75">
        <v>2</v>
      </c>
      <c r="CD75" s="1" t="s">
        <v>673</v>
      </c>
      <c r="CG75">
        <v>600</v>
      </c>
      <c r="CH75">
        <v>227</v>
      </c>
      <c r="CI75" t="s">
        <v>794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795</v>
      </c>
      <c r="AH76">
        <v>5</v>
      </c>
      <c r="AI76">
        <v>18</v>
      </c>
      <c r="AJ76">
        <v>69</v>
      </c>
      <c r="AM76" t="s">
        <v>796</v>
      </c>
      <c r="BF76">
        <v>12</v>
      </c>
      <c r="BG76">
        <v>18</v>
      </c>
      <c r="BH76">
        <v>86</v>
      </c>
      <c r="BK76" t="s">
        <v>713</v>
      </c>
      <c r="CD76">
        <v>1</v>
      </c>
      <c r="CE76">
        <v>500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797</v>
      </c>
      <c r="AH77">
        <v>7</v>
      </c>
      <c r="AI77">
        <v>284</v>
      </c>
      <c r="AJ77">
        <v>66</v>
      </c>
      <c r="AK77">
        <v>69</v>
      </c>
      <c r="BF77">
        <v>12</v>
      </c>
      <c r="BH77">
        <v>106</v>
      </c>
      <c r="BK77" t="s">
        <v>699</v>
      </c>
      <c r="CD77">
        <v>2</v>
      </c>
      <c r="CE77">
        <v>500</v>
      </c>
      <c r="CF77">
        <v>30</v>
      </c>
      <c r="CG77">
        <v>90</v>
      </c>
      <c r="CI77" t="s">
        <v>685</v>
      </c>
      <c r="CT77" t="s">
        <v>376</v>
      </c>
    </row>
    <row r="78" spans="1:104" x14ac:dyDescent="0.25">
      <c r="A78" t="s">
        <v>219</v>
      </c>
      <c r="B78" t="s">
        <v>682</v>
      </c>
      <c r="AH78">
        <v>14</v>
      </c>
      <c r="AI78">
        <v>8</v>
      </c>
      <c r="AJ78">
        <v>102</v>
      </c>
      <c r="AK78">
        <v>448</v>
      </c>
      <c r="AL78">
        <v>105</v>
      </c>
      <c r="AM78" t="s">
        <v>688</v>
      </c>
      <c r="BF78">
        <v>12</v>
      </c>
      <c r="BH78">
        <v>126</v>
      </c>
      <c r="BK78" t="s">
        <v>704</v>
      </c>
      <c r="CD78">
        <v>14</v>
      </c>
      <c r="CE78">
        <v>8</v>
      </c>
      <c r="CF78">
        <v>3</v>
      </c>
      <c r="CG78">
        <v>448</v>
      </c>
      <c r="CH78">
        <v>132</v>
      </c>
      <c r="CI78" t="s">
        <v>687</v>
      </c>
      <c r="CT78">
        <v>5</v>
      </c>
      <c r="CZ78" t="s">
        <v>376</v>
      </c>
    </row>
    <row r="79" spans="1:104" x14ac:dyDescent="0.25">
      <c r="A79" t="s">
        <v>220</v>
      </c>
      <c r="B79" t="s">
        <v>767</v>
      </c>
      <c r="AH79">
        <v>5</v>
      </c>
      <c r="AN79">
        <v>1</v>
      </c>
      <c r="BF79">
        <v>210</v>
      </c>
      <c r="BG79">
        <v>284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692</v>
      </c>
      <c r="CT79">
        <v>5</v>
      </c>
    </row>
    <row r="80" spans="1:104" x14ac:dyDescent="0.25">
      <c r="A80" t="s">
        <v>221</v>
      </c>
      <c r="B80" t="s">
        <v>737</v>
      </c>
      <c r="AH80">
        <v>5</v>
      </c>
      <c r="AI80">
        <v>18</v>
      </c>
      <c r="AJ80">
        <v>118</v>
      </c>
      <c r="AM80" t="s">
        <v>713</v>
      </c>
      <c r="BF80">
        <v>6</v>
      </c>
      <c r="BG80">
        <v>284</v>
      </c>
      <c r="BH80">
        <v>104</v>
      </c>
      <c r="BI80">
        <v>160</v>
      </c>
      <c r="CD80">
        <v>10</v>
      </c>
      <c r="CE80">
        <v>285</v>
      </c>
      <c r="CF80">
        <v>16</v>
      </c>
      <c r="CG80">
        <v>160</v>
      </c>
      <c r="CT80">
        <v>5</v>
      </c>
    </row>
    <row r="81" spans="1:104" x14ac:dyDescent="0.25">
      <c r="A81" t="s">
        <v>604</v>
      </c>
      <c r="B81" t="s">
        <v>794</v>
      </c>
      <c r="AH81">
        <v>10</v>
      </c>
      <c r="AI81">
        <v>284</v>
      </c>
      <c r="AJ81">
        <v>116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798</v>
      </c>
      <c r="BL81" t="b">
        <v>0</v>
      </c>
      <c r="CD81">
        <v>5</v>
      </c>
      <c r="CE81">
        <v>17</v>
      </c>
      <c r="CF81">
        <v>41</v>
      </c>
      <c r="CI81" t="s">
        <v>697</v>
      </c>
      <c r="CT81">
        <v>5</v>
      </c>
    </row>
    <row r="82" spans="1:104" x14ac:dyDescent="0.25">
      <c r="A82" t="s">
        <v>606</v>
      </c>
      <c r="B82" t="s">
        <v>607</v>
      </c>
      <c r="AH82">
        <v>205</v>
      </c>
      <c r="AI82">
        <v>18</v>
      </c>
      <c r="AJ82">
        <v>138</v>
      </c>
      <c r="AM82" t="s">
        <v>699</v>
      </c>
      <c r="BF82">
        <v>24</v>
      </c>
      <c r="BG82">
        <v>481</v>
      </c>
      <c r="BH82">
        <v>57</v>
      </c>
      <c r="BI82">
        <v>90</v>
      </c>
      <c r="CD82">
        <v>10</v>
      </c>
      <c r="CE82">
        <v>285</v>
      </c>
      <c r="CF82">
        <v>39</v>
      </c>
      <c r="CG82">
        <v>160</v>
      </c>
      <c r="CT82">
        <v>5</v>
      </c>
    </row>
    <row r="83" spans="1:104" x14ac:dyDescent="0.25">
      <c r="A83" t="s">
        <v>608</v>
      </c>
      <c r="B83" t="s">
        <v>799</v>
      </c>
      <c r="AH83">
        <v>206</v>
      </c>
      <c r="AI83">
        <v>284</v>
      </c>
      <c r="AJ83">
        <v>136</v>
      </c>
      <c r="AK83">
        <v>160</v>
      </c>
      <c r="CD83">
        <v>5</v>
      </c>
      <c r="CE83">
        <v>17</v>
      </c>
      <c r="CF83">
        <v>70</v>
      </c>
      <c r="CI83" t="s">
        <v>751</v>
      </c>
      <c r="CT83">
        <v>5</v>
      </c>
    </row>
    <row r="84" spans="1:104" x14ac:dyDescent="0.25">
      <c r="A84" t="s">
        <v>303</v>
      </c>
      <c r="B84" t="s">
        <v>800</v>
      </c>
      <c r="AH84">
        <v>205</v>
      </c>
      <c r="AI84">
        <v>18</v>
      </c>
      <c r="AJ84">
        <v>158</v>
      </c>
      <c r="AM84" t="s">
        <v>704</v>
      </c>
      <c r="CD84">
        <v>8</v>
      </c>
      <c r="CE84">
        <v>355</v>
      </c>
      <c r="CF84">
        <v>68</v>
      </c>
      <c r="CG84">
        <v>90</v>
      </c>
      <c r="CT84">
        <v>5</v>
      </c>
    </row>
    <row r="85" spans="1:104" x14ac:dyDescent="0.25">
      <c r="A85" t="s">
        <v>467</v>
      </c>
      <c r="B85" t="s">
        <v>801</v>
      </c>
      <c r="AH85">
        <v>13</v>
      </c>
      <c r="AI85">
        <v>18</v>
      </c>
      <c r="AJ85">
        <v>181</v>
      </c>
      <c r="AM85" t="s">
        <v>720</v>
      </c>
      <c r="AN85" t="b">
        <v>0</v>
      </c>
      <c r="CD85">
        <v>13</v>
      </c>
      <c r="CE85">
        <v>17</v>
      </c>
      <c r="CF85">
        <v>90</v>
      </c>
      <c r="CI85" t="s">
        <v>698</v>
      </c>
      <c r="CJ85" t="b">
        <v>0</v>
      </c>
      <c r="CT85">
        <v>5</v>
      </c>
    </row>
    <row r="86" spans="1:104" x14ac:dyDescent="0.25">
      <c r="A86" t="s">
        <v>228</v>
      </c>
      <c r="B86" t="s">
        <v>802</v>
      </c>
      <c r="AH86">
        <v>13</v>
      </c>
      <c r="AI86">
        <v>284</v>
      </c>
      <c r="AJ86">
        <v>181</v>
      </c>
      <c r="AM86" t="s">
        <v>722</v>
      </c>
      <c r="AN86" t="b">
        <v>0</v>
      </c>
      <c r="BF86" t="s">
        <v>230</v>
      </c>
      <c r="BL86">
        <v>5</v>
      </c>
      <c r="CD86">
        <v>5</v>
      </c>
      <c r="CE86">
        <v>17</v>
      </c>
      <c r="CF86">
        <v>114</v>
      </c>
      <c r="CI86" t="s">
        <v>708</v>
      </c>
      <c r="CT86">
        <v>5</v>
      </c>
    </row>
    <row r="87" spans="1:104" x14ac:dyDescent="0.25">
      <c r="A87" t="s">
        <v>231</v>
      </c>
      <c r="B87" t="s">
        <v>803</v>
      </c>
      <c r="AH87">
        <v>24</v>
      </c>
      <c r="AI87">
        <v>481</v>
      </c>
      <c r="AJ87">
        <v>60</v>
      </c>
      <c r="AK87">
        <v>90</v>
      </c>
      <c r="BF87" s="1" t="s">
        <v>668</v>
      </c>
      <c r="BI87">
        <v>583</v>
      </c>
      <c r="BJ87">
        <v>241</v>
      </c>
      <c r="BK87" t="s">
        <v>788</v>
      </c>
      <c r="BL87">
        <v>5</v>
      </c>
      <c r="CD87">
        <v>8</v>
      </c>
      <c r="CE87">
        <v>285</v>
      </c>
      <c r="CF87">
        <v>112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804</v>
      </c>
      <c r="BF88">
        <v>1</v>
      </c>
      <c r="BG88">
        <v>481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140</v>
      </c>
      <c r="CG88">
        <v>448</v>
      </c>
      <c r="CH88">
        <v>81</v>
      </c>
      <c r="CI88" t="s">
        <v>688</v>
      </c>
      <c r="CT88">
        <v>5</v>
      </c>
      <c r="CU88">
        <v>26</v>
      </c>
      <c r="CV88">
        <v>108</v>
      </c>
      <c r="CY88" t="s">
        <v>805</v>
      </c>
    </row>
    <row r="89" spans="1:104" x14ac:dyDescent="0.25">
      <c r="A89" t="s">
        <v>299</v>
      </c>
      <c r="B89" t="s">
        <v>806</v>
      </c>
      <c r="BF89">
        <v>2</v>
      </c>
      <c r="BG89">
        <v>481</v>
      </c>
      <c r="BH89">
        <v>30</v>
      </c>
      <c r="BI89">
        <v>90</v>
      </c>
      <c r="BK89" t="s">
        <v>685</v>
      </c>
      <c r="CD89">
        <v>111</v>
      </c>
      <c r="CJ89">
        <v>2</v>
      </c>
      <c r="CT89">
        <v>8</v>
      </c>
      <c r="CU89">
        <v>138</v>
      </c>
      <c r="CV89">
        <v>106</v>
      </c>
      <c r="CW89">
        <v>60</v>
      </c>
    </row>
    <row r="90" spans="1:104" x14ac:dyDescent="0.25">
      <c r="A90" t="s">
        <v>235</v>
      </c>
      <c r="B90" t="s">
        <v>807</v>
      </c>
      <c r="BF90">
        <v>14</v>
      </c>
      <c r="BG90">
        <v>8</v>
      </c>
      <c r="BH90">
        <v>3</v>
      </c>
      <c r="BI90">
        <v>448</v>
      </c>
      <c r="BJ90">
        <v>86</v>
      </c>
      <c r="BK90" t="s">
        <v>687</v>
      </c>
      <c r="CD90">
        <v>12</v>
      </c>
      <c r="CE90">
        <v>17</v>
      </c>
      <c r="CF90">
        <v>156</v>
      </c>
      <c r="CI90" t="s">
        <v>713</v>
      </c>
    </row>
    <row r="91" spans="1:104" x14ac:dyDescent="0.25">
      <c r="A91" t="s">
        <v>237</v>
      </c>
      <c r="B91" t="s">
        <v>808</v>
      </c>
      <c r="BF91">
        <v>5</v>
      </c>
      <c r="BG91">
        <v>18</v>
      </c>
      <c r="BH91">
        <v>19</v>
      </c>
      <c r="BK91" t="s">
        <v>690</v>
      </c>
      <c r="CD91">
        <v>12</v>
      </c>
      <c r="CF91">
        <v>176</v>
      </c>
      <c r="CI91" t="s">
        <v>699</v>
      </c>
      <c r="CT91" t="s">
        <v>379</v>
      </c>
    </row>
    <row r="92" spans="1:104" x14ac:dyDescent="0.25">
      <c r="A92" t="s">
        <v>239</v>
      </c>
      <c r="B92" t="s">
        <v>809</v>
      </c>
      <c r="BF92">
        <v>10</v>
      </c>
      <c r="BG92">
        <v>284</v>
      </c>
      <c r="BH92">
        <v>16</v>
      </c>
      <c r="BI92">
        <v>160</v>
      </c>
      <c r="BL92" t="s">
        <v>316</v>
      </c>
      <c r="CD92">
        <v>12</v>
      </c>
      <c r="CF92">
        <v>196</v>
      </c>
      <c r="CI92" t="s">
        <v>704</v>
      </c>
      <c r="CT92">
        <v>5</v>
      </c>
      <c r="CZ92" t="s">
        <v>379</v>
      </c>
    </row>
    <row r="93" spans="1:104" x14ac:dyDescent="0.25">
      <c r="A93" t="s">
        <v>485</v>
      </c>
      <c r="B93" t="s">
        <v>486</v>
      </c>
      <c r="BF93">
        <v>5</v>
      </c>
      <c r="BG93">
        <v>18</v>
      </c>
      <c r="BH93">
        <v>43</v>
      </c>
      <c r="BK93" t="s">
        <v>810</v>
      </c>
      <c r="CD93">
        <v>210</v>
      </c>
      <c r="CE93">
        <v>285</v>
      </c>
      <c r="CF93">
        <v>154</v>
      </c>
      <c r="CG93">
        <v>160</v>
      </c>
      <c r="CT93">
        <v>5</v>
      </c>
    </row>
    <row r="94" spans="1:104" x14ac:dyDescent="0.25">
      <c r="A94" t="s">
        <v>242</v>
      </c>
      <c r="B94" t="s">
        <v>243</v>
      </c>
      <c r="BF94">
        <v>10</v>
      </c>
      <c r="BG94">
        <v>284</v>
      </c>
      <c r="BH94">
        <v>40</v>
      </c>
      <c r="BI94">
        <v>160</v>
      </c>
      <c r="BL94" t="s">
        <v>316</v>
      </c>
      <c r="CD94">
        <v>6</v>
      </c>
      <c r="CE94">
        <v>285</v>
      </c>
      <c r="CF94">
        <v>174</v>
      </c>
      <c r="CG94">
        <v>160</v>
      </c>
      <c r="CT94">
        <v>5</v>
      </c>
    </row>
    <row r="95" spans="1:104" x14ac:dyDescent="0.25">
      <c r="A95" t="s">
        <v>244</v>
      </c>
      <c r="B95" t="s">
        <v>811</v>
      </c>
      <c r="BF95">
        <v>13</v>
      </c>
      <c r="BG95">
        <v>18</v>
      </c>
      <c r="BH95">
        <v>66</v>
      </c>
      <c r="BK95" t="s">
        <v>698</v>
      </c>
      <c r="BL95" t="b">
        <v>0</v>
      </c>
      <c r="CD95">
        <v>24</v>
      </c>
      <c r="CE95">
        <v>500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812</v>
      </c>
      <c r="BF96">
        <v>14</v>
      </c>
      <c r="BG96">
        <v>8</v>
      </c>
      <c r="BH96">
        <v>96</v>
      </c>
      <c r="BI96">
        <v>448</v>
      </c>
      <c r="BJ96">
        <v>135</v>
      </c>
      <c r="BK96" t="s">
        <v>688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813</v>
      </c>
      <c r="BF98">
        <v>12</v>
      </c>
      <c r="BG98">
        <v>18</v>
      </c>
      <c r="BH98">
        <v>112</v>
      </c>
      <c r="BK98" t="s">
        <v>713</v>
      </c>
      <c r="CT98">
        <v>5</v>
      </c>
    </row>
    <row r="99" spans="1:104" x14ac:dyDescent="0.25">
      <c r="A99" t="s">
        <v>252</v>
      </c>
      <c r="B99" t="s">
        <v>814</v>
      </c>
      <c r="BF99">
        <v>12</v>
      </c>
      <c r="BH99">
        <v>132</v>
      </c>
      <c r="BK99" t="s">
        <v>699</v>
      </c>
      <c r="CD99" t="s">
        <v>357</v>
      </c>
      <c r="CT99">
        <v>5</v>
      </c>
    </row>
    <row r="100" spans="1:104" x14ac:dyDescent="0.25">
      <c r="A100" t="s">
        <v>511</v>
      </c>
      <c r="B100" t="s">
        <v>815</v>
      </c>
      <c r="BF100">
        <v>12</v>
      </c>
      <c r="BH100">
        <v>152</v>
      </c>
      <c r="BK100" t="s">
        <v>704</v>
      </c>
      <c r="CD100" s="1" t="s">
        <v>674</v>
      </c>
      <c r="CG100">
        <v>655</v>
      </c>
      <c r="CH100">
        <v>281</v>
      </c>
      <c r="CI100" t="s">
        <v>816</v>
      </c>
      <c r="CJ100">
        <v>5</v>
      </c>
      <c r="CT100">
        <v>5</v>
      </c>
      <c r="CU100">
        <v>23</v>
      </c>
      <c r="CV100">
        <v>131</v>
      </c>
      <c r="CY100" t="s">
        <v>817</v>
      </c>
    </row>
    <row r="101" spans="1:104" x14ac:dyDescent="0.25">
      <c r="A101" t="s">
        <v>513</v>
      </c>
      <c r="B101" t="s">
        <v>818</v>
      </c>
      <c r="BF101">
        <v>210</v>
      </c>
      <c r="BG101">
        <v>284</v>
      </c>
      <c r="BH101">
        <v>110</v>
      </c>
      <c r="BI101">
        <v>160</v>
      </c>
      <c r="BL101" t="s">
        <v>316</v>
      </c>
      <c r="CD101">
        <v>1</v>
      </c>
      <c r="CE101">
        <v>553</v>
      </c>
      <c r="CF101">
        <v>7</v>
      </c>
      <c r="CG101">
        <v>90</v>
      </c>
      <c r="CI101" t="s">
        <v>390</v>
      </c>
      <c r="CT101">
        <v>7</v>
      </c>
      <c r="CU101">
        <v>180</v>
      </c>
      <c r="CV101">
        <v>128</v>
      </c>
      <c r="CW101">
        <v>60</v>
      </c>
    </row>
    <row r="102" spans="1:104" x14ac:dyDescent="0.25">
      <c r="A102" t="s">
        <v>515</v>
      </c>
      <c r="B102" t="s">
        <v>760</v>
      </c>
      <c r="BF102">
        <v>6</v>
      </c>
      <c r="BG102">
        <v>284</v>
      </c>
      <c r="BH102">
        <v>130</v>
      </c>
      <c r="BI102">
        <v>160</v>
      </c>
      <c r="CD102">
        <v>2</v>
      </c>
      <c r="CE102">
        <v>553</v>
      </c>
      <c r="CF102">
        <v>30</v>
      </c>
      <c r="CG102">
        <v>90</v>
      </c>
      <c r="CI102" t="s">
        <v>685</v>
      </c>
      <c r="CT102">
        <v>5</v>
      </c>
      <c r="CU102">
        <v>25</v>
      </c>
      <c r="CV102">
        <v>108</v>
      </c>
      <c r="CY102" t="s">
        <v>819</v>
      </c>
    </row>
    <row r="103" spans="1:104" x14ac:dyDescent="0.25">
      <c r="A103" t="s">
        <v>516</v>
      </c>
      <c r="B103" t="s">
        <v>820</v>
      </c>
      <c r="BF103">
        <v>13</v>
      </c>
      <c r="BG103">
        <v>18</v>
      </c>
      <c r="BH103">
        <v>174</v>
      </c>
      <c r="BK103" t="s">
        <v>821</v>
      </c>
      <c r="BL103" t="b">
        <v>0</v>
      </c>
      <c r="CD103">
        <v>14</v>
      </c>
      <c r="CE103">
        <v>8</v>
      </c>
      <c r="CF103">
        <v>3</v>
      </c>
      <c r="CG103">
        <v>520</v>
      </c>
      <c r="CH103">
        <v>186</v>
      </c>
      <c r="CI103" t="s">
        <v>687</v>
      </c>
      <c r="CT103">
        <v>8</v>
      </c>
      <c r="CU103">
        <v>180</v>
      </c>
      <c r="CV103">
        <v>105</v>
      </c>
      <c r="CW103">
        <v>60</v>
      </c>
    </row>
    <row r="104" spans="1:104" x14ac:dyDescent="0.25">
      <c r="A104" t="s">
        <v>519</v>
      </c>
      <c r="B104" t="s">
        <v>822</v>
      </c>
      <c r="BF104">
        <v>13</v>
      </c>
      <c r="BK104" t="s">
        <v>823</v>
      </c>
      <c r="BL104" t="b">
        <v>0</v>
      </c>
      <c r="CD104">
        <v>5</v>
      </c>
      <c r="CE104">
        <v>17</v>
      </c>
      <c r="CF104">
        <v>18</v>
      </c>
      <c r="CI104" t="s">
        <v>692</v>
      </c>
    </row>
    <row r="105" spans="1:104" x14ac:dyDescent="0.25">
      <c r="A105" t="s">
        <v>534</v>
      </c>
      <c r="B105" t="s">
        <v>824</v>
      </c>
      <c r="BF105">
        <v>13</v>
      </c>
      <c r="BK105" t="s">
        <v>720</v>
      </c>
      <c r="BL105" t="b">
        <v>0</v>
      </c>
      <c r="CD105">
        <v>10</v>
      </c>
      <c r="CE105">
        <v>324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825</v>
      </c>
      <c r="BF106">
        <v>24</v>
      </c>
      <c r="BG106">
        <v>481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697</v>
      </c>
      <c r="CT106">
        <v>5</v>
      </c>
      <c r="CZ106" t="s">
        <v>382</v>
      </c>
    </row>
    <row r="107" spans="1:104" x14ac:dyDescent="0.25">
      <c r="A107" t="s">
        <v>538</v>
      </c>
      <c r="B107" t="s">
        <v>684</v>
      </c>
      <c r="CD107">
        <v>10</v>
      </c>
      <c r="CE107">
        <v>324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826</v>
      </c>
      <c r="CD108">
        <v>5</v>
      </c>
      <c r="CE108">
        <v>17</v>
      </c>
      <c r="CF108">
        <v>68</v>
      </c>
      <c r="CI108" t="s">
        <v>751</v>
      </c>
      <c r="CT108">
        <v>5</v>
      </c>
    </row>
    <row r="109" spans="1:104" x14ac:dyDescent="0.25">
      <c r="A109" t="s">
        <v>60</v>
      </c>
      <c r="B109" t="s">
        <v>827</v>
      </c>
      <c r="CD109">
        <v>8</v>
      </c>
      <c r="CE109">
        <v>363</v>
      </c>
      <c r="CF109">
        <v>66</v>
      </c>
      <c r="CG109">
        <v>152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828</v>
      </c>
      <c r="CT110">
        <v>5</v>
      </c>
    </row>
    <row r="111" spans="1:104" x14ac:dyDescent="0.25">
      <c r="A111" t="s">
        <v>434</v>
      </c>
      <c r="B111" t="s">
        <v>829</v>
      </c>
      <c r="CD111">
        <v>8</v>
      </c>
      <c r="CE111">
        <v>363</v>
      </c>
      <c r="CF111">
        <v>93</v>
      </c>
      <c r="CG111">
        <v>152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830</v>
      </c>
      <c r="CT112">
        <v>5</v>
      </c>
    </row>
    <row r="113" spans="1:104" x14ac:dyDescent="0.25">
      <c r="A113" t="s">
        <v>539</v>
      </c>
      <c r="B113" t="s">
        <v>831</v>
      </c>
      <c r="CD113">
        <v>8</v>
      </c>
      <c r="CE113">
        <v>363</v>
      </c>
      <c r="CF113">
        <v>117</v>
      </c>
      <c r="CG113">
        <v>152</v>
      </c>
      <c r="CT113">
        <v>5</v>
      </c>
    </row>
    <row r="114" spans="1:104" x14ac:dyDescent="0.25">
      <c r="A114" t="s">
        <v>541</v>
      </c>
      <c r="B114" t="s">
        <v>832</v>
      </c>
      <c r="CD114">
        <v>13</v>
      </c>
      <c r="CE114">
        <v>17</v>
      </c>
      <c r="CF114">
        <v>143</v>
      </c>
      <c r="CI114" t="s">
        <v>698</v>
      </c>
      <c r="CJ114" t="b">
        <v>0</v>
      </c>
      <c r="CT114">
        <v>5</v>
      </c>
    </row>
    <row r="115" spans="1:104" x14ac:dyDescent="0.25">
      <c r="A115" t="s">
        <v>543</v>
      </c>
      <c r="B115" t="s">
        <v>833</v>
      </c>
      <c r="CD115">
        <v>5</v>
      </c>
      <c r="CE115">
        <v>17</v>
      </c>
      <c r="CF115">
        <v>168</v>
      </c>
      <c r="CI115" t="s">
        <v>708</v>
      </c>
      <c r="CT115">
        <v>5</v>
      </c>
    </row>
    <row r="116" spans="1:104" x14ac:dyDescent="0.25">
      <c r="A116" t="s">
        <v>544</v>
      </c>
      <c r="B116" t="s">
        <v>834</v>
      </c>
      <c r="CD116">
        <v>8</v>
      </c>
      <c r="CE116">
        <v>188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548</v>
      </c>
      <c r="CD117">
        <v>14</v>
      </c>
      <c r="CE117">
        <v>8</v>
      </c>
      <c r="CF117">
        <v>195</v>
      </c>
      <c r="CG117">
        <v>520</v>
      </c>
      <c r="CH117">
        <v>81</v>
      </c>
      <c r="CI117" t="s">
        <v>688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835</v>
      </c>
      <c r="CD118">
        <v>111</v>
      </c>
      <c r="CJ118">
        <v>2</v>
      </c>
    </row>
    <row r="119" spans="1:104" x14ac:dyDescent="0.25">
      <c r="A119" t="s">
        <v>562</v>
      </c>
      <c r="B119" t="s">
        <v>836</v>
      </c>
      <c r="CD119">
        <v>12</v>
      </c>
      <c r="CE119">
        <v>17</v>
      </c>
      <c r="CF119">
        <v>211</v>
      </c>
      <c r="CI119" t="s">
        <v>713</v>
      </c>
      <c r="CT119" t="s">
        <v>332</v>
      </c>
    </row>
    <row r="120" spans="1:104" x14ac:dyDescent="0.25">
      <c r="A120" t="s">
        <v>366</v>
      </c>
      <c r="B120" t="s">
        <v>837</v>
      </c>
      <c r="CD120">
        <v>12</v>
      </c>
      <c r="CF120">
        <v>231</v>
      </c>
      <c r="CI120" t="s">
        <v>699</v>
      </c>
      <c r="CT120">
        <v>5</v>
      </c>
      <c r="CZ120" t="s">
        <v>332</v>
      </c>
    </row>
    <row r="121" spans="1:104" x14ac:dyDescent="0.25">
      <c r="A121" t="s">
        <v>368</v>
      </c>
      <c r="B121" t="s">
        <v>838</v>
      </c>
      <c r="CD121">
        <v>12</v>
      </c>
      <c r="CF121">
        <v>251</v>
      </c>
      <c r="CI121" t="s">
        <v>704</v>
      </c>
      <c r="CT121">
        <v>5</v>
      </c>
    </row>
    <row r="122" spans="1:104" x14ac:dyDescent="0.25">
      <c r="A122" t="s">
        <v>370</v>
      </c>
      <c r="B122" t="s">
        <v>839</v>
      </c>
      <c r="CD122">
        <v>210</v>
      </c>
      <c r="CE122">
        <v>324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324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735</v>
      </c>
      <c r="CD124">
        <v>24</v>
      </c>
      <c r="CE124">
        <v>553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840</v>
      </c>
      <c r="CT125">
        <v>5</v>
      </c>
    </row>
    <row r="126" spans="1:104" x14ac:dyDescent="0.25">
      <c r="A126" t="s">
        <v>590</v>
      </c>
      <c r="B126" t="s">
        <v>841</v>
      </c>
      <c r="CT126">
        <v>5</v>
      </c>
    </row>
    <row r="127" spans="1:104" x14ac:dyDescent="0.25">
      <c r="A127" t="s">
        <v>592</v>
      </c>
      <c r="B127" t="s">
        <v>842</v>
      </c>
      <c r="CT127">
        <v>5</v>
      </c>
    </row>
    <row r="128" spans="1:104" x14ac:dyDescent="0.25">
      <c r="A128" t="s">
        <v>594</v>
      </c>
      <c r="B128" t="s">
        <v>842</v>
      </c>
      <c r="CT128">
        <v>5</v>
      </c>
    </row>
    <row r="129" spans="1:104" x14ac:dyDescent="0.25">
      <c r="A129" t="s">
        <v>596</v>
      </c>
      <c r="B129" t="s">
        <v>843</v>
      </c>
      <c r="CT129">
        <v>5</v>
      </c>
    </row>
    <row r="130" spans="1:104" x14ac:dyDescent="0.25">
      <c r="A130" t="s">
        <v>277</v>
      </c>
      <c r="B130" t="s">
        <v>844</v>
      </c>
      <c r="CT130">
        <v>5</v>
      </c>
      <c r="CU130">
        <v>23</v>
      </c>
      <c r="CV130">
        <v>107</v>
      </c>
      <c r="CY130" t="s">
        <v>845</v>
      </c>
    </row>
    <row r="131" spans="1:104" x14ac:dyDescent="0.25">
      <c r="A131" t="s">
        <v>279</v>
      </c>
      <c r="B131" t="s">
        <v>846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847</v>
      </c>
    </row>
    <row r="133" spans="1:104" x14ac:dyDescent="0.25">
      <c r="A133" t="s">
        <v>283</v>
      </c>
      <c r="B133" t="s">
        <v>848</v>
      </c>
    </row>
    <row r="134" spans="1:104" x14ac:dyDescent="0.25">
      <c r="A134" t="s">
        <v>285</v>
      </c>
      <c r="B134" t="s">
        <v>849</v>
      </c>
      <c r="CT134" t="s">
        <v>287</v>
      </c>
    </row>
    <row r="135" spans="1:104" x14ac:dyDescent="0.25">
      <c r="A135" t="s">
        <v>288</v>
      </c>
      <c r="B135" t="s">
        <v>850</v>
      </c>
      <c r="CT135" t="s">
        <v>507</v>
      </c>
    </row>
    <row r="136" spans="1:104" x14ac:dyDescent="0.25">
      <c r="A136" t="s">
        <v>290</v>
      </c>
      <c r="B136" t="s">
        <v>851</v>
      </c>
      <c r="CT136" t="str">
        <f>mg01s.RandUniform</f>
        <v>Uniforme</v>
      </c>
      <c r="CU136" t="s">
        <v>551</v>
      </c>
    </row>
    <row r="137" spans="1:104" x14ac:dyDescent="0.25">
      <c r="A137" t="s">
        <v>292</v>
      </c>
      <c r="B137" t="s">
        <v>310</v>
      </c>
      <c r="CT137" t="str">
        <f>mg01s.RandNormal</f>
        <v>Normale</v>
      </c>
      <c r="CU137" t="s">
        <v>554</v>
      </c>
    </row>
    <row r="138" spans="1:104" x14ac:dyDescent="0.25">
      <c r="A138" t="s">
        <v>609</v>
      </c>
      <c r="B138" t="s">
        <v>852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853</v>
      </c>
      <c r="CT139" t="str">
        <f>mg01s.RandBinomial</f>
        <v>Binomiale</v>
      </c>
      <c r="CU139" t="s">
        <v>379</v>
      </c>
    </row>
    <row r="140" spans="1:104" x14ac:dyDescent="0.25">
      <c r="A140" t="s">
        <v>613</v>
      </c>
      <c r="B140" t="s">
        <v>854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839</v>
      </c>
      <c r="CT141" t="str">
        <f>mg01s.RandPatterned</f>
        <v>Périodique</v>
      </c>
      <c r="CU141" t="s">
        <v>599</v>
      </c>
    </row>
    <row r="142" spans="1:104" x14ac:dyDescent="0.25">
      <c r="A142" t="s">
        <v>92</v>
      </c>
      <c r="B142" t="s">
        <v>683</v>
      </c>
      <c r="CT142" t="str">
        <f>mg01s.RandDiscrete</f>
        <v>Discrète</v>
      </c>
      <c r="CU142" t="s">
        <v>332</v>
      </c>
    </row>
    <row r="143" spans="1:104" x14ac:dyDescent="0.25">
      <c r="A143" t="s">
        <v>304</v>
      </c>
      <c r="B143" t="s">
        <v>855</v>
      </c>
    </row>
    <row r="144" spans="1:104" x14ac:dyDescent="0.25">
      <c r="A144" t="s">
        <v>306</v>
      </c>
      <c r="B144" t="s">
        <v>856</v>
      </c>
    </row>
    <row r="145" spans="1:2" x14ac:dyDescent="0.25">
      <c r="A145" t="s">
        <v>98</v>
      </c>
      <c r="B145" t="s">
        <v>857</v>
      </c>
    </row>
    <row r="146" spans="1:2" x14ac:dyDescent="0.25">
      <c r="A146" t="s">
        <v>311</v>
      </c>
      <c r="B146" t="s">
        <v>858</v>
      </c>
    </row>
    <row r="147" spans="1:2" x14ac:dyDescent="0.25">
      <c r="A147" t="s">
        <v>313</v>
      </c>
      <c r="B147" t="s">
        <v>859</v>
      </c>
    </row>
    <row r="148" spans="1:2" x14ac:dyDescent="0.25">
      <c r="A148" t="s">
        <v>102</v>
      </c>
      <c r="B148" t="s">
        <v>860</v>
      </c>
    </row>
    <row r="149" spans="1:2" x14ac:dyDescent="0.25">
      <c r="A149" t="s">
        <v>319</v>
      </c>
      <c r="B149" t="s">
        <v>861</v>
      </c>
    </row>
    <row r="150" spans="1:2" x14ac:dyDescent="0.25">
      <c r="A150" t="s">
        <v>105</v>
      </c>
      <c r="B150" t="s">
        <v>862</v>
      </c>
    </row>
    <row r="151" spans="1:2" x14ac:dyDescent="0.25">
      <c r="A151" t="s">
        <v>323</v>
      </c>
      <c r="B151" t="s">
        <v>863</v>
      </c>
    </row>
    <row r="152" spans="1:2" x14ac:dyDescent="0.25">
      <c r="A152" t="s">
        <v>108</v>
      </c>
      <c r="B152" t="s">
        <v>864</v>
      </c>
    </row>
    <row r="153" spans="1:2" x14ac:dyDescent="0.25">
      <c r="A153" t="s">
        <v>110</v>
      </c>
      <c r="B153" t="s">
        <v>865</v>
      </c>
    </row>
    <row r="154" spans="1:2" x14ac:dyDescent="0.25">
      <c r="A154" t="s">
        <v>112</v>
      </c>
      <c r="B154" t="s">
        <v>866</v>
      </c>
    </row>
    <row r="155" spans="1:2" x14ac:dyDescent="0.25">
      <c r="A155" t="s">
        <v>336</v>
      </c>
      <c r="B155" t="s">
        <v>867</v>
      </c>
    </row>
    <row r="156" spans="1:2" x14ac:dyDescent="0.25">
      <c r="A156" t="s">
        <v>120</v>
      </c>
      <c r="B156" t="s">
        <v>868</v>
      </c>
    </row>
    <row r="157" spans="1:2" x14ac:dyDescent="0.25">
      <c r="A157" t="s">
        <v>349</v>
      </c>
      <c r="B157" t="s">
        <v>869</v>
      </c>
    </row>
    <row r="158" spans="1:2" x14ac:dyDescent="0.25">
      <c r="A158" t="s">
        <v>350</v>
      </c>
      <c r="B158" t="s">
        <v>870</v>
      </c>
    </row>
    <row r="159" spans="1:2" x14ac:dyDescent="0.25">
      <c r="A159" t="s">
        <v>438</v>
      </c>
      <c r="B159" t="s">
        <v>871</v>
      </c>
    </row>
    <row r="160" spans="1:2" x14ac:dyDescent="0.25">
      <c r="A160" t="s">
        <v>353</v>
      </c>
      <c r="B160" t="s">
        <v>872</v>
      </c>
    </row>
    <row r="161" spans="1:2" x14ac:dyDescent="0.25">
      <c r="A161" t="s">
        <v>355</v>
      </c>
      <c r="B161" t="s">
        <v>873</v>
      </c>
    </row>
    <row r="162" spans="1:2" x14ac:dyDescent="0.25">
      <c r="A162" t="s">
        <v>129</v>
      </c>
      <c r="B162" t="s">
        <v>874</v>
      </c>
    </row>
    <row r="163" spans="1:2" x14ac:dyDescent="0.25">
      <c r="A163" t="s">
        <v>363</v>
      </c>
      <c r="B163" t="s">
        <v>875</v>
      </c>
    </row>
    <row r="164" spans="1:2" x14ac:dyDescent="0.25">
      <c r="A164" t="s">
        <v>365</v>
      </c>
      <c r="B164" t="s">
        <v>876</v>
      </c>
    </row>
    <row r="165" spans="1:2" x14ac:dyDescent="0.25">
      <c r="A165" t="s">
        <v>374</v>
      </c>
      <c r="B165" t="s">
        <v>877</v>
      </c>
    </row>
    <row r="166" spans="1:2" x14ac:dyDescent="0.25">
      <c r="A166" t="s">
        <v>135</v>
      </c>
      <c r="B166" t="s">
        <v>878</v>
      </c>
    </row>
    <row r="167" spans="1:2" x14ac:dyDescent="0.25">
      <c r="A167" t="s">
        <v>137</v>
      </c>
      <c r="B167" t="s">
        <v>879</v>
      </c>
    </row>
    <row r="168" spans="1:2" x14ac:dyDescent="0.25">
      <c r="A168" t="s">
        <v>139</v>
      </c>
      <c r="B168" t="s">
        <v>880</v>
      </c>
    </row>
    <row r="169" spans="1:2" x14ac:dyDescent="0.25">
      <c r="A169" t="s">
        <v>384</v>
      </c>
      <c r="B169" t="s">
        <v>881</v>
      </c>
    </row>
    <row r="170" spans="1:2" x14ac:dyDescent="0.25">
      <c r="A170" t="s">
        <v>462</v>
      </c>
      <c r="B170" t="s">
        <v>882</v>
      </c>
    </row>
    <row r="171" spans="1:2" x14ac:dyDescent="0.25">
      <c r="A171" t="s">
        <v>464</v>
      </c>
      <c r="B171" t="s">
        <v>883</v>
      </c>
    </row>
    <row r="172" spans="1:2" x14ac:dyDescent="0.25">
      <c r="A172" t="s">
        <v>388</v>
      </c>
      <c r="B172" t="s">
        <v>884</v>
      </c>
    </row>
    <row r="173" spans="1:2" x14ac:dyDescent="0.25">
      <c r="A173" t="s">
        <v>147</v>
      </c>
      <c r="B173" t="s">
        <v>885</v>
      </c>
    </row>
    <row r="174" spans="1:2" x14ac:dyDescent="0.25">
      <c r="A174" t="s">
        <v>385</v>
      </c>
      <c r="B174" t="s">
        <v>886</v>
      </c>
    </row>
    <row r="175" spans="1:2" x14ac:dyDescent="0.25">
      <c r="A175" t="s">
        <v>151</v>
      </c>
      <c r="B175" t="s">
        <v>887</v>
      </c>
    </row>
    <row r="176" spans="1:2" x14ac:dyDescent="0.25">
      <c r="A176" t="s">
        <v>406</v>
      </c>
      <c r="B176" t="s">
        <v>888</v>
      </c>
    </row>
    <row r="177" spans="1:2" x14ac:dyDescent="0.25">
      <c r="A177" t="s">
        <v>408</v>
      </c>
      <c r="B177" t="s">
        <v>889</v>
      </c>
    </row>
    <row r="178" spans="1:2" x14ac:dyDescent="0.25">
      <c r="A178" t="s">
        <v>503</v>
      </c>
      <c r="B178" t="s">
        <v>890</v>
      </c>
    </row>
    <row r="179" spans="1:2" x14ac:dyDescent="0.25">
      <c r="A179" t="s">
        <v>410</v>
      </c>
      <c r="B179" t="s">
        <v>891</v>
      </c>
    </row>
    <row r="180" spans="1:2" x14ac:dyDescent="0.25">
      <c r="A180" t="s">
        <v>412</v>
      </c>
      <c r="B180" t="s">
        <v>892</v>
      </c>
    </row>
    <row r="181" spans="1:2" x14ac:dyDescent="0.25">
      <c r="A181" t="s">
        <v>161</v>
      </c>
      <c r="B181" t="s">
        <v>893</v>
      </c>
    </row>
    <row r="182" spans="1:2" x14ac:dyDescent="0.25">
      <c r="A182" t="s">
        <v>415</v>
      </c>
      <c r="B182" t="s">
        <v>894</v>
      </c>
    </row>
    <row r="183" spans="1:2" x14ac:dyDescent="0.25">
      <c r="A183" t="s">
        <v>173</v>
      </c>
      <c r="B183" t="s">
        <v>895</v>
      </c>
    </row>
    <row r="184" spans="1:2" x14ac:dyDescent="0.25">
      <c r="A184" t="s">
        <v>167</v>
      </c>
      <c r="B184" t="s">
        <v>896</v>
      </c>
    </row>
    <row r="185" spans="1:2" x14ac:dyDescent="0.25">
      <c r="A185" t="s">
        <v>169</v>
      </c>
      <c r="B185" t="s">
        <v>897</v>
      </c>
    </row>
    <row r="186" spans="1:2" x14ac:dyDescent="0.25">
      <c r="A186" t="s">
        <v>444</v>
      </c>
      <c r="B186" t="s">
        <v>898</v>
      </c>
    </row>
    <row r="187" spans="1:2" x14ac:dyDescent="0.25">
      <c r="A187" t="s">
        <v>18</v>
      </c>
      <c r="B187" t="s">
        <v>899</v>
      </c>
    </row>
    <row r="188" spans="1:2" x14ac:dyDescent="0.25">
      <c r="A188" t="s">
        <v>175</v>
      </c>
      <c r="B188" t="s">
        <v>900</v>
      </c>
    </row>
    <row r="189" spans="1:2" x14ac:dyDescent="0.25">
      <c r="A189" t="s">
        <v>181</v>
      </c>
      <c r="B189" t="s">
        <v>901</v>
      </c>
    </row>
    <row r="190" spans="1:2" x14ac:dyDescent="0.25">
      <c r="A190" t="s">
        <v>64</v>
      </c>
      <c r="B190" t="s">
        <v>902</v>
      </c>
    </row>
    <row r="191" spans="1:2" x14ac:dyDescent="0.25">
      <c r="A191" t="s">
        <v>185</v>
      </c>
      <c r="B191" t="s">
        <v>903</v>
      </c>
    </row>
    <row r="192" spans="1:2" x14ac:dyDescent="0.25">
      <c r="A192" t="s">
        <v>192</v>
      </c>
      <c r="B192" t="s">
        <v>904</v>
      </c>
    </row>
    <row r="193" spans="1:2" x14ac:dyDescent="0.25">
      <c r="A193" t="s">
        <v>67</v>
      </c>
      <c r="B193" t="s">
        <v>905</v>
      </c>
    </row>
    <row r="194" spans="1:2" x14ac:dyDescent="0.25">
      <c r="A194" t="s">
        <v>197</v>
      </c>
      <c r="B194" t="s">
        <v>906</v>
      </c>
    </row>
    <row r="195" spans="1:2" x14ac:dyDescent="0.25">
      <c r="A195" t="s">
        <v>199</v>
      </c>
      <c r="B195" t="s">
        <v>907</v>
      </c>
    </row>
    <row r="196" spans="1:2" x14ac:dyDescent="0.25">
      <c r="A196" t="s">
        <v>44</v>
      </c>
      <c r="B196" t="s">
        <v>908</v>
      </c>
    </row>
    <row r="197" spans="1:2" x14ac:dyDescent="0.25">
      <c r="A197" t="s">
        <v>46</v>
      </c>
      <c r="B197" t="s">
        <v>909</v>
      </c>
    </row>
    <row r="198" spans="1:2" x14ac:dyDescent="0.25">
      <c r="A198" t="s">
        <v>212</v>
      </c>
      <c r="B198" t="s">
        <v>910</v>
      </c>
    </row>
    <row r="199" spans="1:2" x14ac:dyDescent="0.25">
      <c r="A199" t="s">
        <v>215</v>
      </c>
      <c r="B199" t="s">
        <v>911</v>
      </c>
    </row>
    <row r="200" spans="1:2" x14ac:dyDescent="0.25">
      <c r="A200" t="s">
        <v>77</v>
      </c>
      <c r="B200" t="s">
        <v>912</v>
      </c>
    </row>
    <row r="201" spans="1:2" x14ac:dyDescent="0.25">
      <c r="A201" t="s">
        <v>223</v>
      </c>
      <c r="B201" t="s">
        <v>912</v>
      </c>
    </row>
    <row r="202" spans="1:2" x14ac:dyDescent="0.25">
      <c r="A202" t="s">
        <v>1</v>
      </c>
      <c r="B202" t="s">
        <v>913</v>
      </c>
    </row>
    <row r="203" spans="1:2" x14ac:dyDescent="0.25">
      <c r="A203" t="s">
        <v>225</v>
      </c>
      <c r="B203" t="s">
        <v>914</v>
      </c>
    </row>
    <row r="204" spans="1:2" x14ac:dyDescent="0.25">
      <c r="A204" t="s">
        <v>4</v>
      </c>
      <c r="B204" t="s">
        <v>915</v>
      </c>
    </row>
    <row r="205" spans="1:2" x14ac:dyDescent="0.25">
      <c r="A205" t="s">
        <v>233</v>
      </c>
      <c r="B205" t="s">
        <v>916</v>
      </c>
    </row>
    <row r="206" spans="1:2" x14ac:dyDescent="0.25">
      <c r="A206" t="s">
        <v>6</v>
      </c>
      <c r="B206" t="s">
        <v>917</v>
      </c>
    </row>
    <row r="207" spans="1:2" x14ac:dyDescent="0.25">
      <c r="A207" t="s">
        <v>241</v>
      </c>
      <c r="B207" t="s">
        <v>918</v>
      </c>
    </row>
    <row r="208" spans="1:2" x14ac:dyDescent="0.25">
      <c r="A208" t="s">
        <v>11</v>
      </c>
      <c r="B208" t="s">
        <v>919</v>
      </c>
    </row>
    <row r="209" spans="1:103" x14ac:dyDescent="0.25">
      <c r="A209" t="s">
        <v>13</v>
      </c>
      <c r="B209" t="s">
        <v>920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921</v>
      </c>
    </row>
    <row r="212" spans="1:103" x14ac:dyDescent="0.25">
      <c r="A212" t="s">
        <v>258</v>
      </c>
      <c r="B212" t="s">
        <v>922</v>
      </c>
    </row>
    <row r="213" spans="1:103" x14ac:dyDescent="0.25">
      <c r="A213" t="s">
        <v>533</v>
      </c>
      <c r="B213" t="s">
        <v>923</v>
      </c>
      <c r="BS213" t="b">
        <v>1</v>
      </c>
    </row>
    <row r="214" spans="1:103" x14ac:dyDescent="0.25">
      <c r="A214" t="s">
        <v>17</v>
      </c>
      <c r="B214" t="s">
        <v>924</v>
      </c>
    </row>
    <row r="215" spans="1:103" x14ac:dyDescent="0.25">
      <c r="A215" t="s">
        <v>265</v>
      </c>
      <c r="B215" t="s">
        <v>925</v>
      </c>
    </row>
    <row r="216" spans="1:103" x14ac:dyDescent="0.25">
      <c r="A216" t="s">
        <v>550</v>
      </c>
      <c r="B216" t="s">
        <v>926</v>
      </c>
    </row>
    <row r="217" spans="1:103" x14ac:dyDescent="0.25">
      <c r="A217" t="s">
        <v>267</v>
      </c>
      <c r="B217" t="s">
        <v>927</v>
      </c>
    </row>
    <row r="218" spans="1:103" x14ac:dyDescent="0.25">
      <c r="A218" t="s">
        <v>262</v>
      </c>
      <c r="B218" t="s">
        <v>928</v>
      </c>
    </row>
    <row r="219" spans="1:103" x14ac:dyDescent="0.25">
      <c r="A219" t="s">
        <v>272</v>
      </c>
      <c r="B219" t="s">
        <v>929</v>
      </c>
    </row>
    <row r="220" spans="1:103" x14ac:dyDescent="0.25">
      <c r="A220" t="s">
        <v>36</v>
      </c>
      <c r="B220" t="s">
        <v>930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931</v>
      </c>
      <c r="AE221" t="b">
        <v>1</v>
      </c>
    </row>
    <row r="222" spans="1:103" x14ac:dyDescent="0.25">
      <c r="A222" t="s">
        <v>269</v>
      </c>
      <c r="B222" t="s">
        <v>932</v>
      </c>
      <c r="CY222" t="b">
        <v>1</v>
      </c>
    </row>
    <row r="223" spans="1:103" x14ac:dyDescent="0.25">
      <c r="A223" t="s">
        <v>40</v>
      </c>
      <c r="B223" t="s">
        <v>933</v>
      </c>
    </row>
    <row r="224" spans="1:103" x14ac:dyDescent="0.25">
      <c r="A224" t="s">
        <v>42</v>
      </c>
      <c r="B224" t="s">
        <v>934</v>
      </c>
      <c r="CI224" t="b">
        <v>1</v>
      </c>
    </row>
    <row r="225" spans="1:2" x14ac:dyDescent="0.25">
      <c r="A225" t="s">
        <v>275</v>
      </c>
      <c r="B225" t="s">
        <v>935</v>
      </c>
    </row>
    <row r="226" spans="1:2" x14ac:dyDescent="0.25">
      <c r="A226" t="s">
        <v>73</v>
      </c>
      <c r="B226" t="s">
        <v>936</v>
      </c>
    </row>
    <row r="227" spans="1:2" x14ac:dyDescent="0.25">
      <c r="A227" t="s">
        <v>75</v>
      </c>
      <c r="B227" t="s">
        <v>937</v>
      </c>
    </row>
    <row r="228" spans="1:2" x14ac:dyDescent="0.25">
      <c r="A228" t="s">
        <v>88</v>
      </c>
      <c r="B228" t="s">
        <v>938</v>
      </c>
    </row>
    <row r="229" spans="1:2" x14ac:dyDescent="0.25">
      <c r="A229" t="s">
        <v>49</v>
      </c>
      <c r="B229" t="s">
        <v>939</v>
      </c>
    </row>
    <row r="230" spans="1:2" x14ac:dyDescent="0.25">
      <c r="A230" t="s">
        <v>51</v>
      </c>
      <c r="B230" t="s">
        <v>940</v>
      </c>
    </row>
    <row r="231" spans="1:2" x14ac:dyDescent="0.25">
      <c r="A231" t="s">
        <v>53</v>
      </c>
      <c r="B231" t="s">
        <v>941</v>
      </c>
    </row>
    <row r="232" spans="1:2" x14ac:dyDescent="0.25">
      <c r="A232" t="s">
        <v>55</v>
      </c>
      <c r="B232" t="s">
        <v>942</v>
      </c>
    </row>
    <row r="233" spans="1:2" x14ac:dyDescent="0.25">
      <c r="A233" t="s">
        <v>57</v>
      </c>
      <c r="B233" t="s">
        <v>943</v>
      </c>
    </row>
    <row r="234" spans="1:2" x14ac:dyDescent="0.25">
      <c r="A234" t="s">
        <v>59</v>
      </c>
      <c r="B234" t="s">
        <v>944</v>
      </c>
    </row>
    <row r="235" spans="1:2" x14ac:dyDescent="0.25">
      <c r="A235" t="s">
        <v>24</v>
      </c>
      <c r="B235" t="s">
        <v>945</v>
      </c>
    </row>
    <row r="236" spans="1:2" x14ac:dyDescent="0.25">
      <c r="A236" t="s">
        <v>32</v>
      </c>
      <c r="B236" t="s">
        <v>946</v>
      </c>
    </row>
    <row r="237" spans="1:2" x14ac:dyDescent="0.25">
      <c r="A237" t="s">
        <v>101</v>
      </c>
      <c r="B237" t="s">
        <v>947</v>
      </c>
    </row>
    <row r="238" spans="1:2" x14ac:dyDescent="0.25">
      <c r="A238" t="s">
        <v>159</v>
      </c>
      <c r="B238" t="s">
        <v>948</v>
      </c>
    </row>
    <row r="239" spans="1:2" x14ac:dyDescent="0.25">
      <c r="A239" t="s">
        <v>107</v>
      </c>
      <c r="B239" t="s">
        <v>949</v>
      </c>
    </row>
    <row r="240" spans="1:2" x14ac:dyDescent="0.25">
      <c r="A240" t="s">
        <v>15</v>
      </c>
      <c r="B240" t="s">
        <v>950</v>
      </c>
    </row>
    <row r="241" spans="1:2" x14ac:dyDescent="0.25">
      <c r="A241" t="s">
        <v>171</v>
      </c>
      <c r="B241" t="s">
        <v>951</v>
      </c>
    </row>
    <row r="242" spans="1:2" x14ac:dyDescent="0.25">
      <c r="A242" t="s">
        <v>117</v>
      </c>
      <c r="B242" t="s">
        <v>952</v>
      </c>
    </row>
    <row r="243" spans="1:2" x14ac:dyDescent="0.25">
      <c r="A243" t="s">
        <v>119</v>
      </c>
      <c r="B243" t="s">
        <v>953</v>
      </c>
    </row>
    <row r="244" spans="1:2" x14ac:dyDescent="0.25">
      <c r="A244" t="s">
        <v>122</v>
      </c>
      <c r="B244" t="s">
        <v>954</v>
      </c>
    </row>
    <row r="245" spans="1:2" x14ac:dyDescent="0.25">
      <c r="A245" t="s">
        <v>176</v>
      </c>
      <c r="B245" t="s">
        <v>955</v>
      </c>
    </row>
    <row r="246" spans="1:2" x14ac:dyDescent="0.25">
      <c r="A246" t="s">
        <v>126</v>
      </c>
      <c r="B246" t="s">
        <v>956</v>
      </c>
    </row>
    <row r="247" spans="1:2" x14ac:dyDescent="0.25">
      <c r="A247" t="s">
        <v>130</v>
      </c>
      <c r="B247" t="s">
        <v>957</v>
      </c>
    </row>
    <row r="248" spans="1:2" x14ac:dyDescent="0.25">
      <c r="A248" t="s">
        <v>39</v>
      </c>
      <c r="B248" t="s">
        <v>958</v>
      </c>
    </row>
    <row r="249" spans="1:2" x14ac:dyDescent="0.25">
      <c r="A249" t="s">
        <v>133</v>
      </c>
      <c r="B249" t="s">
        <v>959</v>
      </c>
    </row>
    <row r="250" spans="1:2" x14ac:dyDescent="0.25">
      <c r="A250" t="s">
        <v>69</v>
      </c>
      <c r="B250" t="s">
        <v>960</v>
      </c>
    </row>
    <row r="251" spans="1:2" x14ac:dyDescent="0.25">
      <c r="A251" t="s">
        <v>71</v>
      </c>
      <c r="B251" t="s">
        <v>961</v>
      </c>
    </row>
    <row r="252" spans="1:2" x14ac:dyDescent="0.25">
      <c r="A252" t="s">
        <v>141</v>
      </c>
      <c r="B252" t="s">
        <v>919</v>
      </c>
    </row>
    <row r="253" spans="1:2" x14ac:dyDescent="0.25">
      <c r="A253" t="s">
        <v>143</v>
      </c>
      <c r="B253" t="s">
        <v>962</v>
      </c>
    </row>
    <row r="254" spans="1:2" x14ac:dyDescent="0.25">
      <c r="A254" t="s">
        <v>145</v>
      </c>
      <c r="B254" t="s">
        <v>963</v>
      </c>
    </row>
    <row r="255" spans="1:2" x14ac:dyDescent="0.25">
      <c r="A255" t="s">
        <v>386</v>
      </c>
      <c r="B255" t="s">
        <v>964</v>
      </c>
    </row>
    <row r="256" spans="1:2" x14ac:dyDescent="0.25">
      <c r="A256" t="s">
        <v>30</v>
      </c>
      <c r="B256" t="s">
        <v>965</v>
      </c>
    </row>
    <row r="257" spans="1:2" x14ac:dyDescent="0.25">
      <c r="A257" t="s">
        <v>33</v>
      </c>
      <c r="B257" t="s">
        <v>966</v>
      </c>
    </row>
    <row r="258" spans="1:2" x14ac:dyDescent="0.25">
      <c r="A258" t="s">
        <v>153</v>
      </c>
      <c r="B258" t="s">
        <v>967</v>
      </c>
    </row>
    <row r="259" spans="1:2" x14ac:dyDescent="0.25">
      <c r="A259" t="s">
        <v>155</v>
      </c>
      <c r="B259" t="s">
        <v>968</v>
      </c>
    </row>
    <row r="260" spans="1:2" x14ac:dyDescent="0.25">
      <c r="A260" t="s">
        <v>157</v>
      </c>
      <c r="B260" t="s">
        <v>969</v>
      </c>
    </row>
    <row r="261" spans="1:2" x14ac:dyDescent="0.25">
      <c r="A261" t="s">
        <v>3</v>
      </c>
      <c r="B261" t="s">
        <v>970</v>
      </c>
    </row>
    <row r="262" spans="1:2" x14ac:dyDescent="0.25">
      <c r="A262" t="s">
        <v>78</v>
      </c>
      <c r="B262" t="s">
        <v>971</v>
      </c>
    </row>
    <row r="263" spans="1:2" x14ac:dyDescent="0.25">
      <c r="A263" t="s">
        <v>80</v>
      </c>
      <c r="B263" t="s">
        <v>972</v>
      </c>
    </row>
    <row r="264" spans="1:2" x14ac:dyDescent="0.25">
      <c r="A264" t="s">
        <v>82</v>
      </c>
      <c r="B264" t="s">
        <v>973</v>
      </c>
    </row>
    <row r="265" spans="1:2" x14ac:dyDescent="0.25">
      <c r="A265" t="s">
        <v>84</v>
      </c>
      <c r="B265" t="s">
        <v>974</v>
      </c>
    </row>
    <row r="266" spans="1:2" x14ac:dyDescent="0.25">
      <c r="A266" t="s">
        <v>86</v>
      </c>
      <c r="B266" t="s">
        <v>975</v>
      </c>
    </row>
    <row r="267" spans="1:2" x14ac:dyDescent="0.25">
      <c r="A267" t="s">
        <v>29</v>
      </c>
      <c r="B267" t="s">
        <v>976</v>
      </c>
    </row>
    <row r="268" spans="1:2" x14ac:dyDescent="0.25">
      <c r="A268" t="s">
        <v>90</v>
      </c>
      <c r="B268" t="s">
        <v>977</v>
      </c>
    </row>
    <row r="269" spans="1:2" x14ac:dyDescent="0.25">
      <c r="A269" t="s">
        <v>95</v>
      </c>
      <c r="B269" t="s">
        <v>978</v>
      </c>
    </row>
    <row r="270" spans="1:2" x14ac:dyDescent="0.25">
      <c r="A270" t="s">
        <v>2</v>
      </c>
      <c r="B270" t="s">
        <v>979</v>
      </c>
    </row>
    <row r="271" spans="1:2" x14ac:dyDescent="0.25">
      <c r="A271" t="s">
        <v>7</v>
      </c>
      <c r="B271" t="s">
        <v>980</v>
      </c>
    </row>
    <row r="273" spans="1:2" x14ac:dyDescent="0.25">
      <c r="A273" t="s">
        <v>9</v>
      </c>
      <c r="B273" t="s">
        <v>981</v>
      </c>
    </row>
    <row r="274" spans="1:2" x14ac:dyDescent="0.25">
      <c r="A274" t="s">
        <v>163</v>
      </c>
      <c r="B274" t="s">
        <v>982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843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Z278"/>
  <sheetViews>
    <sheetView tabSelected="1" topLeftCell="AG67" workbookViewId="0">
      <selection activeCell="AH83" sqref="AH83:AN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customWidth="1"/>
    <col min="40" max="40" width="8.7265625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customWidth="1"/>
    <col min="72" max="72" width="7" customWidth="1"/>
    <col min="73" max="73" width="1.453125" customWidth="1"/>
    <col min="74" max="74" width="18" bestFit="1" customWidth="1"/>
    <col min="75" max="78" width="4" bestFit="1" customWidth="1"/>
    <col min="79" max="79" width="20.453125" customWidth="1"/>
    <col min="80" max="80" width="7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455</v>
      </c>
      <c r="AF2">
        <v>4</v>
      </c>
      <c r="AH2" s="1" t="s">
        <v>656</v>
      </c>
      <c r="AK2">
        <v>515</v>
      </c>
      <c r="AL2">
        <v>223</v>
      </c>
      <c r="AM2" t="s">
        <v>456</v>
      </c>
      <c r="AN2">
        <v>5</v>
      </c>
      <c r="AP2" s="1" t="s">
        <v>657</v>
      </c>
      <c r="AS2">
        <v>546</v>
      </c>
      <c r="AT2">
        <v>312</v>
      </c>
      <c r="AU2" t="s">
        <v>457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458</v>
      </c>
      <c r="BL2">
        <v>5</v>
      </c>
      <c r="BN2" s="1" t="s">
        <v>659</v>
      </c>
      <c r="BQ2">
        <v>523</v>
      </c>
      <c r="BR2">
        <v>293</v>
      </c>
      <c r="BS2" t="s">
        <v>459</v>
      </c>
      <c r="BT2">
        <v>5</v>
      </c>
      <c r="BV2" s="1" t="s">
        <v>660</v>
      </c>
      <c r="BY2">
        <v>523</v>
      </c>
      <c r="BZ2">
        <v>195</v>
      </c>
      <c r="CA2" t="s">
        <v>460</v>
      </c>
      <c r="CB2">
        <v>5</v>
      </c>
      <c r="CD2" s="1" t="s">
        <v>661</v>
      </c>
      <c r="CG2">
        <v>523</v>
      </c>
      <c r="CH2">
        <v>203</v>
      </c>
      <c r="CI2" t="s">
        <v>216</v>
      </c>
      <c r="CJ2">
        <v>5</v>
      </c>
      <c r="CL2" s="1" t="s">
        <v>662</v>
      </c>
      <c r="CO2">
        <v>523</v>
      </c>
      <c r="CP2">
        <v>263</v>
      </c>
      <c r="CQ2" t="s">
        <v>498</v>
      </c>
      <c r="CR2">
        <v>5</v>
      </c>
      <c r="CT2" s="1" t="s">
        <v>663</v>
      </c>
      <c r="CW2">
        <v>516</v>
      </c>
      <c r="CX2">
        <v>298</v>
      </c>
      <c r="CY2" t="s">
        <v>389</v>
      </c>
      <c r="CZ2">
        <v>4</v>
      </c>
    </row>
    <row r="3" spans="1:104" x14ac:dyDescent="0.25">
      <c r="W3" t="str">
        <f>dbCorrelationTitle</f>
        <v>Correlation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397</v>
      </c>
      <c r="AH4">
        <v>2</v>
      </c>
      <c r="AI4">
        <v>412</v>
      </c>
      <c r="AJ4">
        <v>30</v>
      </c>
      <c r="AK4">
        <v>90</v>
      </c>
      <c r="AM4" t="s">
        <v>397</v>
      </c>
      <c r="AP4">
        <v>2</v>
      </c>
      <c r="AQ4">
        <v>443</v>
      </c>
      <c r="AR4">
        <v>31</v>
      </c>
      <c r="AS4">
        <v>90</v>
      </c>
      <c r="AU4" t="s">
        <v>397</v>
      </c>
      <c r="AX4">
        <v>2</v>
      </c>
      <c r="AY4">
        <v>418</v>
      </c>
      <c r="AZ4">
        <v>33</v>
      </c>
      <c r="BA4">
        <v>104</v>
      </c>
      <c r="BC4" t="s">
        <v>397</v>
      </c>
      <c r="BF4">
        <v>2</v>
      </c>
      <c r="BG4">
        <v>407</v>
      </c>
      <c r="BH4">
        <v>30</v>
      </c>
      <c r="BI4">
        <v>90</v>
      </c>
      <c r="BK4" t="s">
        <v>397</v>
      </c>
      <c r="BN4">
        <v>2</v>
      </c>
      <c r="BO4">
        <v>407</v>
      </c>
      <c r="BP4">
        <v>30</v>
      </c>
      <c r="BQ4">
        <v>90</v>
      </c>
      <c r="BS4" t="s">
        <v>397</v>
      </c>
      <c r="BV4">
        <v>2</v>
      </c>
      <c r="BW4">
        <v>407</v>
      </c>
      <c r="BX4">
        <v>30</v>
      </c>
      <c r="BY4">
        <v>90</v>
      </c>
      <c r="CA4" t="s">
        <v>397</v>
      </c>
      <c r="CD4">
        <v>2</v>
      </c>
      <c r="CE4">
        <v>407</v>
      </c>
      <c r="CF4">
        <v>30</v>
      </c>
      <c r="CG4">
        <v>90</v>
      </c>
      <c r="CI4" t="s">
        <v>397</v>
      </c>
      <c r="CL4">
        <v>2</v>
      </c>
      <c r="CM4">
        <v>407</v>
      </c>
      <c r="CN4">
        <v>30</v>
      </c>
      <c r="CO4">
        <v>90</v>
      </c>
      <c r="CQ4" t="s">
        <v>397</v>
      </c>
      <c r="CT4">
        <v>2</v>
      </c>
      <c r="CU4">
        <v>410</v>
      </c>
      <c r="CV4">
        <v>31</v>
      </c>
      <c r="CW4">
        <v>90</v>
      </c>
      <c r="CY4" t="s">
        <v>397</v>
      </c>
    </row>
    <row r="5" spans="1:104" x14ac:dyDescent="0.25">
      <c r="T5">
        <v>0</v>
      </c>
      <c r="U5" t="str">
        <f>dbAnova1Title</f>
        <v>Anova: Single Factor</v>
      </c>
      <c r="V5">
        <v>0</v>
      </c>
      <c r="W5" t="str">
        <f>dbAnova1Title</f>
        <v>Anova: Single Factor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398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399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399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622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399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399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399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399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399</v>
      </c>
      <c r="CT5">
        <v>5</v>
      </c>
      <c r="CU5">
        <v>17</v>
      </c>
      <c r="CV5">
        <v>12</v>
      </c>
      <c r="CY5" t="s">
        <v>649</v>
      </c>
    </row>
    <row r="6" spans="1:104" x14ac:dyDescent="0.25">
      <c r="T6">
        <v>1</v>
      </c>
      <c r="U6" t="str">
        <f>dbAnova2Title</f>
        <v>Anova: Two-Factor With Replication</v>
      </c>
      <c r="V6">
        <v>1</v>
      </c>
      <c r="W6" t="str">
        <f>dbAnova2Title</f>
        <v>Anova: Two-Factor With Replication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11</v>
      </c>
      <c r="AH6">
        <v>5</v>
      </c>
      <c r="AI6">
        <v>18</v>
      </c>
      <c r="AJ6">
        <v>19</v>
      </c>
      <c r="AM6" t="s">
        <v>619</v>
      </c>
      <c r="AP6">
        <v>5</v>
      </c>
      <c r="AQ6">
        <v>24</v>
      </c>
      <c r="AR6">
        <v>22</v>
      </c>
      <c r="AU6" t="s">
        <v>628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619</v>
      </c>
      <c r="BN6">
        <v>5</v>
      </c>
      <c r="BO6">
        <v>18</v>
      </c>
      <c r="BP6">
        <v>19</v>
      </c>
      <c r="BS6" t="s">
        <v>619</v>
      </c>
      <c r="BV6">
        <v>5</v>
      </c>
      <c r="BW6">
        <v>18</v>
      </c>
      <c r="BX6">
        <v>19</v>
      </c>
      <c r="CA6" t="s">
        <v>619</v>
      </c>
      <c r="CD6">
        <v>5</v>
      </c>
      <c r="CE6">
        <v>18</v>
      </c>
      <c r="CF6">
        <v>19</v>
      </c>
      <c r="CI6" t="s">
        <v>642</v>
      </c>
      <c r="CL6">
        <v>5</v>
      </c>
      <c r="CM6">
        <v>18</v>
      </c>
      <c r="CN6">
        <v>19</v>
      </c>
      <c r="CQ6" t="s">
        <v>619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Two-Factor Without Replication</v>
      </c>
      <c r="V7">
        <v>2</v>
      </c>
      <c r="W7" t="str">
        <f>dbAnova3Title</f>
        <v>Anova: Two-Factor Without Replication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650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Correlation</v>
      </c>
      <c r="V8">
        <v>3</v>
      </c>
      <c r="W8" t="str">
        <f>dbCorrelationTitle</f>
        <v>Correlation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620</v>
      </c>
      <c r="AP8">
        <v>5</v>
      </c>
      <c r="AQ8">
        <v>24</v>
      </c>
      <c r="AR8">
        <v>48</v>
      </c>
      <c r="AU8" t="s">
        <v>629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620</v>
      </c>
      <c r="BN8">
        <v>5</v>
      </c>
      <c r="BO8">
        <v>18</v>
      </c>
      <c r="BP8">
        <v>44</v>
      </c>
      <c r="BS8" t="s">
        <v>620</v>
      </c>
      <c r="BV8">
        <v>5</v>
      </c>
      <c r="BW8">
        <v>17</v>
      </c>
      <c r="BX8">
        <v>40</v>
      </c>
      <c r="CA8" t="s">
        <v>479</v>
      </c>
      <c r="CD8">
        <v>5</v>
      </c>
      <c r="CE8">
        <v>18</v>
      </c>
      <c r="CF8">
        <v>41</v>
      </c>
      <c r="CI8" t="s">
        <v>643</v>
      </c>
      <c r="CL8">
        <v>13</v>
      </c>
      <c r="CM8">
        <v>18</v>
      </c>
      <c r="CN8">
        <v>39</v>
      </c>
      <c r="CQ8" t="s">
        <v>480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Covariance</v>
      </c>
      <c r="V9">
        <v>4</v>
      </c>
      <c r="W9" t="str">
        <f>dbCovarianceTitle</f>
        <v>Covariance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624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320</v>
      </c>
      <c r="CT9">
        <v>5</v>
      </c>
      <c r="CU9">
        <v>17</v>
      </c>
      <c r="CV9">
        <v>63</v>
      </c>
      <c r="CY9" t="s">
        <v>321</v>
      </c>
    </row>
    <row r="10" spans="1:104" x14ac:dyDescent="0.25">
      <c r="A10" t="s">
        <v>505</v>
      </c>
      <c r="B10" t="s">
        <v>300</v>
      </c>
      <c r="T10">
        <v>5</v>
      </c>
      <c r="U10" t="str">
        <f>dbDescripTitle</f>
        <v>Descriptive Statistics</v>
      </c>
      <c r="V10">
        <v>5</v>
      </c>
      <c r="W10" t="str">
        <f>dbDescripTitle</f>
        <v>Descriptive Statistics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506</v>
      </c>
      <c r="AP10">
        <v>13</v>
      </c>
      <c r="AQ10">
        <v>25</v>
      </c>
      <c r="AR10">
        <v>75</v>
      </c>
      <c r="AU10" t="s">
        <v>480</v>
      </c>
      <c r="AV10" t="b">
        <v>0</v>
      </c>
      <c r="AX10">
        <v>12</v>
      </c>
      <c r="AZ10">
        <v>130</v>
      </c>
      <c r="BC10" t="s">
        <v>625</v>
      </c>
      <c r="BF10">
        <v>12</v>
      </c>
      <c r="BG10">
        <v>220</v>
      </c>
      <c r="BH10">
        <v>40</v>
      </c>
      <c r="BK10" t="s">
        <v>506</v>
      </c>
      <c r="BN10">
        <v>12</v>
      </c>
      <c r="BO10">
        <v>220</v>
      </c>
      <c r="BP10">
        <v>40</v>
      </c>
      <c r="BS10" t="s">
        <v>506</v>
      </c>
      <c r="BV10">
        <v>13</v>
      </c>
      <c r="BW10">
        <v>17</v>
      </c>
      <c r="BX10">
        <v>60</v>
      </c>
      <c r="CA10" t="s">
        <v>480</v>
      </c>
      <c r="CB10" t="b">
        <v>0</v>
      </c>
      <c r="CD10">
        <v>13</v>
      </c>
      <c r="CE10">
        <v>18</v>
      </c>
      <c r="CF10">
        <v>64</v>
      </c>
      <c r="CI10" t="s">
        <v>480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26</v>
      </c>
      <c r="T11">
        <v>6</v>
      </c>
      <c r="U11" t="str">
        <f>dbExponentTitle</f>
        <v>Exponential Smoothing</v>
      </c>
      <c r="V11">
        <v>6</v>
      </c>
      <c r="W11" t="str">
        <f>dbExponentTitle</f>
        <v>Exponential Smoothing</v>
      </c>
      <c r="X11" t="s">
        <v>452</v>
      </c>
      <c r="Y11" s="1" t="s">
        <v>660</v>
      </c>
      <c r="AH11">
        <v>12</v>
      </c>
      <c r="AM11" t="s">
        <v>509</v>
      </c>
      <c r="AP11">
        <v>13</v>
      </c>
      <c r="AQ11">
        <v>197</v>
      </c>
      <c r="AR11">
        <v>75</v>
      </c>
      <c r="AU11" t="s">
        <v>630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509</v>
      </c>
      <c r="BN11">
        <v>12</v>
      </c>
      <c r="BS11" t="s">
        <v>509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622</v>
      </c>
      <c r="CD11">
        <v>5</v>
      </c>
      <c r="CE11">
        <v>18</v>
      </c>
      <c r="CF11">
        <v>85</v>
      </c>
      <c r="CI11" t="s">
        <v>326</v>
      </c>
      <c r="CL11">
        <v>12</v>
      </c>
      <c r="CM11">
        <v>18</v>
      </c>
      <c r="CN11">
        <v>82</v>
      </c>
      <c r="CQ11" t="s">
        <v>327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651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 Two-Sample for Variances</v>
      </c>
      <c r="V12">
        <v>7</v>
      </c>
      <c r="W12" t="str">
        <f>dbFTestTitle</f>
        <v>F-Test Two-Sample for Variances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621</v>
      </c>
      <c r="AN12" t="b">
        <v>0</v>
      </c>
      <c r="AP12">
        <v>113</v>
      </c>
      <c r="AQ12">
        <v>25</v>
      </c>
      <c r="AR12">
        <v>93</v>
      </c>
      <c r="AU12" t="s">
        <v>631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621</v>
      </c>
      <c r="BL12" t="b">
        <v>0</v>
      </c>
      <c r="BN12">
        <v>13</v>
      </c>
      <c r="BO12">
        <v>18</v>
      </c>
      <c r="BP12">
        <v>75</v>
      </c>
      <c r="BS12" t="s">
        <v>621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331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 Analysis</v>
      </c>
      <c r="V13">
        <v>8</v>
      </c>
      <c r="W13" t="str">
        <f>dbFourierTitle</f>
        <v>Fourier Analysis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326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622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622</v>
      </c>
      <c r="BV13">
        <v>5</v>
      </c>
      <c r="BW13">
        <v>17</v>
      </c>
      <c r="BX13">
        <v>99</v>
      </c>
      <c r="CA13" t="s">
        <v>623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622</v>
      </c>
      <c r="CL13">
        <v>5</v>
      </c>
      <c r="CM13">
        <v>42</v>
      </c>
      <c r="CN13">
        <v>103</v>
      </c>
      <c r="CQ13" t="s">
        <v>403</v>
      </c>
      <c r="CT13">
        <v>5</v>
      </c>
    </row>
    <row r="14" spans="1:104" x14ac:dyDescent="0.25">
      <c r="A14" t="s">
        <v>404</v>
      </c>
      <c r="B14" t="s">
        <v>405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Moving Average</v>
      </c>
      <c r="V15">
        <v>10</v>
      </c>
      <c r="W15" t="str">
        <f>dbMovingTitle</f>
        <v>Moving Average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622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622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623</v>
      </c>
      <c r="BN15">
        <v>12</v>
      </c>
      <c r="BO15">
        <v>18</v>
      </c>
      <c r="BP15">
        <v>127</v>
      </c>
      <c r="BS15" t="s">
        <v>623</v>
      </c>
      <c r="BV15">
        <v>205</v>
      </c>
      <c r="BW15">
        <v>17</v>
      </c>
      <c r="BX15">
        <v>119</v>
      </c>
      <c r="CA15" t="s">
        <v>624</v>
      </c>
      <c r="CD15">
        <v>12</v>
      </c>
      <c r="CE15">
        <v>18</v>
      </c>
      <c r="CF15">
        <v>132</v>
      </c>
      <c r="CI15" t="s">
        <v>623</v>
      </c>
      <c r="CL15">
        <v>5</v>
      </c>
      <c r="CM15">
        <v>42</v>
      </c>
      <c r="CN15">
        <v>146</v>
      </c>
      <c r="CQ15" t="s">
        <v>648</v>
      </c>
      <c r="CT15">
        <v>5</v>
      </c>
    </row>
    <row r="16" spans="1:104" x14ac:dyDescent="0.25">
      <c r="A16" t="s">
        <v>526</v>
      </c>
      <c r="B16" t="s">
        <v>527</v>
      </c>
      <c r="T16">
        <v>11</v>
      </c>
      <c r="U16" t="str">
        <f>dbRandomTitle</f>
        <v>Random Number Generation</v>
      </c>
      <c r="V16">
        <v>11</v>
      </c>
      <c r="W16" t="str">
        <f>dbRandomTitle</f>
        <v>Random Number Generation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624</v>
      </c>
      <c r="BN16">
        <v>12</v>
      </c>
      <c r="BP16">
        <v>147</v>
      </c>
      <c r="BS16" t="s">
        <v>624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624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529</v>
      </c>
      <c r="T17">
        <v>12</v>
      </c>
      <c r="U17" t="str">
        <f>dbRankPerTitle</f>
        <v>Rank and Percentile</v>
      </c>
      <c r="V17">
        <v>12</v>
      </c>
      <c r="W17" t="str">
        <f>dbRankPerTitle</f>
        <v>Rank and Percentile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623</v>
      </c>
      <c r="AP17">
        <v>12</v>
      </c>
      <c r="AQ17">
        <v>24</v>
      </c>
      <c r="AR17">
        <v>142</v>
      </c>
      <c r="AU17" t="s">
        <v>623</v>
      </c>
      <c r="BF17">
        <v>12</v>
      </c>
      <c r="BH17">
        <v>160</v>
      </c>
      <c r="BK17" t="s">
        <v>625</v>
      </c>
      <c r="BN17">
        <v>12</v>
      </c>
      <c r="BP17">
        <v>167</v>
      </c>
      <c r="BS17" t="s">
        <v>625</v>
      </c>
      <c r="BV17">
        <v>205</v>
      </c>
      <c r="BW17">
        <v>17</v>
      </c>
      <c r="BX17">
        <v>139</v>
      </c>
      <c r="CA17" t="s">
        <v>625</v>
      </c>
      <c r="CD17">
        <v>12</v>
      </c>
      <c r="CF17">
        <v>172</v>
      </c>
      <c r="CI17" t="s">
        <v>625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622</v>
      </c>
      <c r="CT17">
        <v>5</v>
      </c>
    </row>
    <row r="18" spans="1:104" x14ac:dyDescent="0.25">
      <c r="A18" t="s">
        <v>531</v>
      </c>
      <c r="B18" t="s">
        <v>351</v>
      </c>
      <c r="T18">
        <v>13</v>
      </c>
      <c r="U18" t="str">
        <f>dbRegressionTitle</f>
        <v>Regression</v>
      </c>
      <c r="V18">
        <v>13</v>
      </c>
      <c r="W18" t="str">
        <f>dbRegressionTitle</f>
        <v>Regression</v>
      </c>
      <c r="X18" t="s">
        <v>448</v>
      </c>
      <c r="Y18" s="1" t="s">
        <v>657</v>
      </c>
      <c r="AH18">
        <v>12</v>
      </c>
      <c r="AJ18">
        <v>169</v>
      </c>
      <c r="AM18" t="s">
        <v>624</v>
      </c>
      <c r="AP18">
        <v>12</v>
      </c>
      <c r="AR18">
        <v>162</v>
      </c>
      <c r="AU18" t="s">
        <v>624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626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125</v>
      </c>
      <c r="T19">
        <v>14</v>
      </c>
      <c r="U19" t="str">
        <f>dbSamplingTitle</f>
        <v>Sampling</v>
      </c>
      <c r="V19">
        <v>14</v>
      </c>
      <c r="W19" t="str">
        <f>dbSamplingTitle</f>
        <v>Sampling</v>
      </c>
      <c r="X19" t="s">
        <v>585</v>
      </c>
      <c r="Y19" s="1" t="s">
        <v>662</v>
      </c>
      <c r="AH19">
        <v>12</v>
      </c>
      <c r="AJ19">
        <v>189</v>
      </c>
      <c r="AM19" t="s">
        <v>625</v>
      </c>
      <c r="AP19">
        <v>12</v>
      </c>
      <c r="AR19">
        <v>182</v>
      </c>
      <c r="AU19" t="s">
        <v>625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627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623</v>
      </c>
      <c r="CT19">
        <v>5</v>
      </c>
    </row>
    <row r="20" spans="1:104" x14ac:dyDescent="0.25">
      <c r="A20" t="s">
        <v>343</v>
      </c>
      <c r="B20" t="s">
        <v>455</v>
      </c>
      <c r="T20">
        <v>15</v>
      </c>
      <c r="U20" t="str">
        <f>dbTTest1Title</f>
        <v>t-Test: Paired Two Sample for Means</v>
      </c>
      <c r="V20">
        <v>15</v>
      </c>
      <c r="W20" t="str">
        <f>dbTTest1Title</f>
        <v>t-Test: Paired Two Sample for Means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345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624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t-Test: Two-Sample Assuming Equal Variances</v>
      </c>
      <c r="V21">
        <v>16</v>
      </c>
      <c r="W21" t="str">
        <f>dbTTest2Title</f>
        <v>t-Test: Two-Sample Assuming Equal Variances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639</v>
      </c>
      <c r="BT21" t="b">
        <v>0</v>
      </c>
      <c r="CL21">
        <v>12</v>
      </c>
      <c r="CN21">
        <v>230</v>
      </c>
      <c r="CQ21" t="s">
        <v>625</v>
      </c>
      <c r="CT21">
        <v>5</v>
      </c>
    </row>
    <row r="22" spans="1:104" x14ac:dyDescent="0.25">
      <c r="A22" t="s">
        <v>440</v>
      </c>
      <c r="B22" t="s">
        <v>456</v>
      </c>
      <c r="T22">
        <v>17</v>
      </c>
      <c r="U22" t="str">
        <f>dbTTest3Title</f>
        <v>t-Test: Two-Sample Assuming Unequal Variances</v>
      </c>
      <c r="V22">
        <v>17</v>
      </c>
      <c r="W22" t="str">
        <f>dbTTest3Title</f>
        <v>t-Test: Two-Sample Assuming Unequal Variances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442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652</v>
      </c>
    </row>
    <row r="23" spans="1:104" x14ac:dyDescent="0.25">
      <c r="A23" t="s">
        <v>443</v>
      </c>
      <c r="B23" t="s">
        <v>356</v>
      </c>
      <c r="T23">
        <v>18</v>
      </c>
      <c r="U23" t="str">
        <f>dbZTestTitle</f>
        <v>z-Test: Two Sample for Means</v>
      </c>
      <c r="V23">
        <v>18</v>
      </c>
      <c r="W23" t="str">
        <f>dbZTestTitle</f>
        <v>z-Test: Two Sample for Means</v>
      </c>
      <c r="X23" t="s">
        <v>357</v>
      </c>
      <c r="Y23" s="1" t="s">
        <v>674</v>
      </c>
      <c r="AP23">
        <v>13</v>
      </c>
      <c r="AR23">
        <v>216</v>
      </c>
      <c r="AU23" t="s">
        <v>358</v>
      </c>
      <c r="AV23" t="b">
        <v>0</v>
      </c>
      <c r="BF23" s="1" t="s">
        <v>666</v>
      </c>
      <c r="BI23">
        <v>523</v>
      </c>
      <c r="BJ23">
        <v>191</v>
      </c>
      <c r="BK23" t="s">
        <v>359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361</v>
      </c>
      <c r="X24" t="s">
        <v>551</v>
      </c>
      <c r="AP24">
        <v>13</v>
      </c>
      <c r="AR24">
        <v>231</v>
      </c>
      <c r="AU24" t="s">
        <v>632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640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653</v>
      </c>
    </row>
    <row r="25" spans="1:104" x14ac:dyDescent="0.25">
      <c r="A25" t="s">
        <v>552</v>
      </c>
      <c r="B25" t="s">
        <v>553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633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397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555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574</v>
      </c>
      <c r="X26" t="s">
        <v>376</v>
      </c>
      <c r="AH26" s="1" t="s">
        <v>664</v>
      </c>
      <c r="AK26">
        <v>509</v>
      </c>
      <c r="AL26">
        <v>187</v>
      </c>
      <c r="AM26" t="s">
        <v>356</v>
      </c>
      <c r="AN26">
        <v>5</v>
      </c>
      <c r="AP26">
        <v>13</v>
      </c>
      <c r="AR26">
        <v>231</v>
      </c>
      <c r="AU26" t="s">
        <v>634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399</v>
      </c>
      <c r="BN26">
        <v>113</v>
      </c>
      <c r="BO26">
        <v>18</v>
      </c>
      <c r="BP26">
        <v>247</v>
      </c>
      <c r="BS26" t="s">
        <v>641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622</v>
      </c>
    </row>
    <row r="27" spans="1:104" x14ac:dyDescent="0.25">
      <c r="A27" t="s">
        <v>377</v>
      </c>
      <c r="B27" t="s">
        <v>378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635</v>
      </c>
      <c r="BF27">
        <v>5</v>
      </c>
      <c r="BG27">
        <v>18</v>
      </c>
      <c r="BH27">
        <v>19</v>
      </c>
      <c r="BK27" t="s">
        <v>619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397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381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397</v>
      </c>
      <c r="AP28">
        <v>13</v>
      </c>
      <c r="AR28">
        <v>270</v>
      </c>
      <c r="AU28" t="s">
        <v>636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399</v>
      </c>
      <c r="CT28">
        <v>12</v>
      </c>
      <c r="CU28">
        <v>17</v>
      </c>
      <c r="CV28">
        <v>225</v>
      </c>
      <c r="CY28" t="s">
        <v>623</v>
      </c>
    </row>
    <row r="29" spans="1:104" x14ac:dyDescent="0.25">
      <c r="A29" t="s">
        <v>383</v>
      </c>
      <c r="B29" t="s">
        <v>598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399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620</v>
      </c>
      <c r="CD29">
        <v>5</v>
      </c>
      <c r="CE29">
        <v>17</v>
      </c>
      <c r="CF29">
        <v>18</v>
      </c>
      <c r="CI29" t="s">
        <v>642</v>
      </c>
      <c r="CT29">
        <v>12</v>
      </c>
      <c r="CV29">
        <v>245</v>
      </c>
      <c r="CY29" t="s">
        <v>624</v>
      </c>
    </row>
    <row r="30" spans="1:104" x14ac:dyDescent="0.25">
      <c r="A30" t="s">
        <v>600</v>
      </c>
      <c r="B30" t="s">
        <v>601</v>
      </c>
      <c r="X30" t="s">
        <v>332</v>
      </c>
      <c r="AH30">
        <v>5</v>
      </c>
      <c r="AI30">
        <v>20</v>
      </c>
      <c r="AJ30">
        <v>19</v>
      </c>
      <c r="AM30" t="s">
        <v>619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625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506</v>
      </c>
      <c r="CD31">
        <v>5</v>
      </c>
      <c r="CE31">
        <v>17</v>
      </c>
      <c r="CF31">
        <v>41</v>
      </c>
      <c r="CI31" t="s">
        <v>643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94</v>
      </c>
      <c r="AH32">
        <v>5</v>
      </c>
      <c r="AI32">
        <v>20</v>
      </c>
      <c r="AJ32">
        <v>45</v>
      </c>
      <c r="AM32" t="s">
        <v>301</v>
      </c>
      <c r="BF32">
        <v>12</v>
      </c>
      <c r="BK32" t="s">
        <v>509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621</v>
      </c>
      <c r="BL33" t="b">
        <v>0</v>
      </c>
      <c r="CD33">
        <v>5</v>
      </c>
      <c r="CE33">
        <v>17</v>
      </c>
      <c r="CF33">
        <v>70</v>
      </c>
      <c r="CI33" t="s">
        <v>644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326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622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480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622</v>
      </c>
      <c r="BF36">
        <v>12</v>
      </c>
      <c r="BG36">
        <v>18</v>
      </c>
      <c r="BH36">
        <v>120</v>
      </c>
      <c r="BK36" t="s">
        <v>623</v>
      </c>
      <c r="CD36">
        <v>5</v>
      </c>
      <c r="CE36">
        <v>17</v>
      </c>
      <c r="CF36">
        <v>114</v>
      </c>
      <c r="CI36" t="s">
        <v>326</v>
      </c>
      <c r="CT36">
        <v>5</v>
      </c>
      <c r="CZ36" t="s">
        <v>551</v>
      </c>
    </row>
    <row r="37" spans="1:104" x14ac:dyDescent="0.25">
      <c r="A37" t="s">
        <v>473</v>
      </c>
      <c r="B37" t="s">
        <v>474</v>
      </c>
      <c r="AH37">
        <v>111</v>
      </c>
      <c r="AN37">
        <v>2</v>
      </c>
      <c r="BF37">
        <v>12</v>
      </c>
      <c r="BH37">
        <v>140</v>
      </c>
      <c r="BK37" t="s">
        <v>624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487</v>
      </c>
      <c r="AH38">
        <v>12</v>
      </c>
      <c r="AI38">
        <v>20</v>
      </c>
      <c r="AJ38">
        <v>115</v>
      </c>
      <c r="AM38" t="s">
        <v>623</v>
      </c>
      <c r="BF38">
        <v>12</v>
      </c>
      <c r="BH38">
        <v>160</v>
      </c>
      <c r="BK38" t="s">
        <v>625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622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624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491</v>
      </c>
      <c r="AH40">
        <v>12</v>
      </c>
      <c r="AJ40">
        <v>155</v>
      </c>
      <c r="AM40" t="s">
        <v>625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623</v>
      </c>
      <c r="CT40">
        <v>5</v>
      </c>
    </row>
    <row r="41" spans="1:104" x14ac:dyDescent="0.25">
      <c r="A41" t="s">
        <v>492</v>
      </c>
      <c r="B41" t="s">
        <v>493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624</v>
      </c>
      <c r="CT41">
        <v>5</v>
      </c>
    </row>
    <row r="42" spans="1:104" x14ac:dyDescent="0.25">
      <c r="A42" t="s">
        <v>494</v>
      </c>
      <c r="B42" t="s">
        <v>495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625</v>
      </c>
      <c r="CT42">
        <v>5</v>
      </c>
    </row>
    <row r="43" spans="1:104" x14ac:dyDescent="0.25">
      <c r="A43" t="s">
        <v>496</v>
      </c>
      <c r="B43" t="s">
        <v>497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401</v>
      </c>
      <c r="BF44" s="1" t="s">
        <v>670</v>
      </c>
      <c r="BI44">
        <v>523</v>
      </c>
      <c r="BJ44">
        <v>191</v>
      </c>
      <c r="BK44" t="s">
        <v>402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174</v>
      </c>
    </row>
    <row r="45" spans="1:104" x14ac:dyDescent="0.25">
      <c r="A45" t="s">
        <v>422</v>
      </c>
      <c r="B45" t="s">
        <v>423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425</v>
      </c>
      <c r="BF46">
        <v>2</v>
      </c>
      <c r="BG46">
        <v>407</v>
      </c>
      <c r="BH46">
        <v>30</v>
      </c>
      <c r="BI46">
        <v>90</v>
      </c>
      <c r="BK46" t="s">
        <v>397</v>
      </c>
      <c r="CT46">
        <v>5</v>
      </c>
      <c r="CU46">
        <v>184</v>
      </c>
      <c r="CV46">
        <v>114</v>
      </c>
      <c r="CY46" t="s">
        <v>426</v>
      </c>
    </row>
    <row r="47" spans="1:104" x14ac:dyDescent="0.25">
      <c r="A47" t="s">
        <v>427</v>
      </c>
      <c r="B47" t="s">
        <v>428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399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430</v>
      </c>
      <c r="AH48" s="1" t="s">
        <v>665</v>
      </c>
      <c r="AK48">
        <v>523</v>
      </c>
      <c r="AL48">
        <v>185</v>
      </c>
      <c r="AM48" t="s">
        <v>361</v>
      </c>
      <c r="AN48">
        <v>5</v>
      </c>
      <c r="BF48">
        <v>5</v>
      </c>
      <c r="BG48">
        <v>18</v>
      </c>
      <c r="BH48">
        <v>19</v>
      </c>
      <c r="BK48" t="s">
        <v>619</v>
      </c>
    </row>
    <row r="49" spans="1:104" x14ac:dyDescent="0.25">
      <c r="A49" t="s">
        <v>431</v>
      </c>
      <c r="B49" t="s">
        <v>459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433</v>
      </c>
      <c r="AH50">
        <v>2</v>
      </c>
      <c r="AI50">
        <v>407</v>
      </c>
      <c r="AJ50">
        <v>30</v>
      </c>
      <c r="AK50">
        <v>90</v>
      </c>
      <c r="AM50" t="s">
        <v>397</v>
      </c>
      <c r="BF50">
        <v>5</v>
      </c>
      <c r="BG50">
        <v>18</v>
      </c>
      <c r="BH50">
        <v>44</v>
      </c>
      <c r="BK50" t="s">
        <v>620</v>
      </c>
      <c r="CD50" s="1" t="s">
        <v>672</v>
      </c>
      <c r="CG50">
        <v>550</v>
      </c>
      <c r="CH50">
        <v>227</v>
      </c>
      <c r="CI50" t="s">
        <v>20</v>
      </c>
      <c r="CJ50">
        <v>5</v>
      </c>
      <c r="CT50">
        <v>5</v>
      </c>
      <c r="CU50">
        <v>17</v>
      </c>
      <c r="CV50">
        <v>101</v>
      </c>
      <c r="CY50" t="s">
        <v>21</v>
      </c>
      <c r="CZ50" t="s">
        <v>599</v>
      </c>
    </row>
    <row r="51" spans="1:104" x14ac:dyDescent="0.25">
      <c r="A51" t="s">
        <v>439</v>
      </c>
      <c r="B51" t="s">
        <v>418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399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420</v>
      </c>
      <c r="AH52">
        <v>5</v>
      </c>
      <c r="AI52">
        <v>18</v>
      </c>
      <c r="AJ52">
        <v>19</v>
      </c>
      <c r="AM52" t="s">
        <v>619</v>
      </c>
      <c r="BF52">
        <v>12</v>
      </c>
      <c r="BG52">
        <v>220</v>
      </c>
      <c r="BH52">
        <v>40</v>
      </c>
      <c r="BK52" t="s">
        <v>506</v>
      </c>
      <c r="CD52">
        <v>2</v>
      </c>
      <c r="CE52">
        <v>440</v>
      </c>
      <c r="CF52">
        <v>30</v>
      </c>
      <c r="CG52">
        <v>90</v>
      </c>
      <c r="CI52" t="s">
        <v>397</v>
      </c>
      <c r="CT52">
        <v>5</v>
      </c>
      <c r="CU52">
        <v>132</v>
      </c>
      <c r="CV52">
        <v>101</v>
      </c>
      <c r="CY52" t="s">
        <v>421</v>
      </c>
    </row>
    <row r="53" spans="1:104" x14ac:dyDescent="0.25">
      <c r="A53" t="s">
        <v>338</v>
      </c>
      <c r="B53" t="s">
        <v>339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509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399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341</v>
      </c>
      <c r="AH54">
        <v>13</v>
      </c>
      <c r="AI54">
        <v>19</v>
      </c>
      <c r="AJ54">
        <v>41</v>
      </c>
      <c r="AM54" t="s">
        <v>480</v>
      </c>
      <c r="AN54" t="b">
        <v>0</v>
      </c>
      <c r="BF54">
        <v>13</v>
      </c>
      <c r="BG54">
        <v>18</v>
      </c>
      <c r="BH54">
        <v>75</v>
      </c>
      <c r="BK54" t="s">
        <v>621</v>
      </c>
      <c r="BL54" t="b">
        <v>0</v>
      </c>
      <c r="CD54">
        <v>5</v>
      </c>
      <c r="CE54">
        <v>17</v>
      </c>
      <c r="CF54">
        <v>18</v>
      </c>
      <c r="CI54" t="s">
        <v>642</v>
      </c>
      <c r="CT54">
        <v>5</v>
      </c>
      <c r="CU54">
        <v>232</v>
      </c>
      <c r="CV54">
        <v>101</v>
      </c>
      <c r="CY54" t="s">
        <v>342</v>
      </c>
    </row>
    <row r="55" spans="1:104" x14ac:dyDescent="0.25">
      <c r="A55" t="s">
        <v>177</v>
      </c>
      <c r="B55" t="s">
        <v>178</v>
      </c>
      <c r="AH55">
        <v>5</v>
      </c>
      <c r="AI55">
        <v>20</v>
      </c>
      <c r="AJ55">
        <v>62</v>
      </c>
      <c r="AM55" t="s">
        <v>326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622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180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643</v>
      </c>
      <c r="CT56">
        <v>5</v>
      </c>
      <c r="CU56">
        <v>17</v>
      </c>
      <c r="CV56">
        <v>131</v>
      </c>
      <c r="CY56" t="s">
        <v>556</v>
      </c>
    </row>
    <row r="57" spans="1:104" x14ac:dyDescent="0.25">
      <c r="A57" t="s">
        <v>557</v>
      </c>
      <c r="B57" t="s">
        <v>558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622</v>
      </c>
      <c r="BF57">
        <v>12</v>
      </c>
      <c r="BG57">
        <v>18</v>
      </c>
      <c r="BH57">
        <v>120</v>
      </c>
      <c r="BK57" t="s">
        <v>623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186</v>
      </c>
      <c r="AH58">
        <v>111</v>
      </c>
      <c r="AN58">
        <v>2</v>
      </c>
      <c r="BF58">
        <v>12</v>
      </c>
      <c r="BH58">
        <v>140</v>
      </c>
      <c r="BK58" t="s">
        <v>624</v>
      </c>
      <c r="CD58">
        <v>5</v>
      </c>
      <c r="CE58">
        <v>17</v>
      </c>
      <c r="CF58">
        <v>70</v>
      </c>
      <c r="CI58" t="s">
        <v>644</v>
      </c>
      <c r="CT58">
        <v>5</v>
      </c>
      <c r="CU58">
        <v>288</v>
      </c>
      <c r="CV58">
        <v>131</v>
      </c>
      <c r="CY58" t="s">
        <v>187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623</v>
      </c>
      <c r="BF59">
        <v>12</v>
      </c>
      <c r="BH59">
        <v>160</v>
      </c>
      <c r="BK59" t="s">
        <v>625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190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624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480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567</v>
      </c>
      <c r="AH61">
        <v>12</v>
      </c>
      <c r="AJ61">
        <v>147</v>
      </c>
      <c r="AM61" t="s">
        <v>625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326</v>
      </c>
      <c r="CT61">
        <v>5</v>
      </c>
      <c r="CU61">
        <v>288</v>
      </c>
      <c r="CV61">
        <v>153</v>
      </c>
      <c r="CY61" t="s">
        <v>187</v>
      </c>
    </row>
    <row r="62" spans="1:104" x14ac:dyDescent="0.25">
      <c r="A62" t="s">
        <v>568</v>
      </c>
      <c r="B62" t="s">
        <v>569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571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622</v>
      </c>
      <c r="CT63" t="s">
        <v>554</v>
      </c>
    </row>
    <row r="64" spans="1:104" x14ac:dyDescent="0.25">
      <c r="A64" t="s">
        <v>572</v>
      </c>
      <c r="B64" t="s">
        <v>458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359</v>
      </c>
      <c r="CD65">
        <v>12</v>
      </c>
      <c r="CE65">
        <v>17</v>
      </c>
      <c r="CF65">
        <v>156</v>
      </c>
      <c r="CI65" t="s">
        <v>623</v>
      </c>
      <c r="CT65">
        <v>5</v>
      </c>
    </row>
    <row r="66" spans="1:104" x14ac:dyDescent="0.25">
      <c r="A66" t="s">
        <v>194</v>
      </c>
      <c r="B66" t="s">
        <v>460</v>
      </c>
      <c r="BF66" t="s">
        <v>334</v>
      </c>
      <c r="CD66">
        <v>12</v>
      </c>
      <c r="CF66">
        <v>176</v>
      </c>
      <c r="CI66" t="s">
        <v>624</v>
      </c>
      <c r="CT66">
        <v>5</v>
      </c>
    </row>
    <row r="67" spans="1:104" x14ac:dyDescent="0.25">
      <c r="A67" t="s">
        <v>195</v>
      </c>
      <c r="B67" t="s">
        <v>196</v>
      </c>
      <c r="BF67" s="1" t="s">
        <v>667</v>
      </c>
      <c r="BI67">
        <v>523</v>
      </c>
      <c r="BJ67">
        <v>181</v>
      </c>
      <c r="BK67" t="s">
        <v>575</v>
      </c>
      <c r="BL67">
        <v>5</v>
      </c>
      <c r="CD67">
        <v>12</v>
      </c>
      <c r="CF67">
        <v>196</v>
      </c>
      <c r="CI67" t="s">
        <v>625</v>
      </c>
      <c r="CT67">
        <v>5</v>
      </c>
    </row>
    <row r="68" spans="1:104" x14ac:dyDescent="0.25">
      <c r="A68" t="s">
        <v>576</v>
      </c>
      <c r="B68" t="s">
        <v>577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579</v>
      </c>
      <c r="AH69" s="1" t="s">
        <v>669</v>
      </c>
      <c r="AK69">
        <v>523</v>
      </c>
      <c r="AL69">
        <v>205</v>
      </c>
      <c r="AM69" t="s">
        <v>196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397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581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399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583</v>
      </c>
      <c r="AH71">
        <v>2</v>
      </c>
      <c r="AI71">
        <v>407</v>
      </c>
      <c r="AJ71">
        <v>30</v>
      </c>
      <c r="AK71">
        <v>90</v>
      </c>
      <c r="AM71" t="s">
        <v>397</v>
      </c>
      <c r="BF71">
        <v>5</v>
      </c>
      <c r="BG71">
        <v>18</v>
      </c>
      <c r="BH71">
        <v>19</v>
      </c>
      <c r="BK71" t="s">
        <v>619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399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202</v>
      </c>
    </row>
    <row r="73" spans="1:104" x14ac:dyDescent="0.25">
      <c r="A73" t="s">
        <v>203</v>
      </c>
      <c r="B73" t="s">
        <v>204</v>
      </c>
      <c r="AH73">
        <v>5</v>
      </c>
      <c r="AI73">
        <v>18</v>
      </c>
      <c r="AJ73">
        <v>19</v>
      </c>
      <c r="AM73" t="s">
        <v>619</v>
      </c>
      <c r="BF73">
        <v>13</v>
      </c>
      <c r="BG73">
        <v>18</v>
      </c>
      <c r="BH73">
        <v>40</v>
      </c>
      <c r="BK73" t="s">
        <v>621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206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622</v>
      </c>
      <c r="CD74" t="s">
        <v>441</v>
      </c>
      <c r="CT74">
        <v>5</v>
      </c>
      <c r="CU74">
        <v>24</v>
      </c>
      <c r="CV74">
        <v>134</v>
      </c>
      <c r="CY74" t="s">
        <v>27</v>
      </c>
    </row>
    <row r="75" spans="1:104" x14ac:dyDescent="0.25">
      <c r="A75" t="s">
        <v>207</v>
      </c>
      <c r="B75" t="s">
        <v>208</v>
      </c>
      <c r="AH75">
        <v>13</v>
      </c>
      <c r="AI75">
        <v>18</v>
      </c>
      <c r="AJ75">
        <v>41</v>
      </c>
      <c r="AM75" t="s">
        <v>621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209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499</v>
      </c>
      <c r="AH76">
        <v>5</v>
      </c>
      <c r="AI76">
        <v>18</v>
      </c>
      <c r="AJ76">
        <v>69</v>
      </c>
      <c r="AM76" t="s">
        <v>500</v>
      </c>
      <c r="BF76">
        <v>12</v>
      </c>
      <c r="BG76">
        <v>18</v>
      </c>
      <c r="BH76">
        <v>86</v>
      </c>
      <c r="BK76" t="s">
        <v>623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624</v>
      </c>
      <c r="CD77">
        <v>2</v>
      </c>
      <c r="CE77">
        <v>440</v>
      </c>
      <c r="CF77">
        <v>30</v>
      </c>
      <c r="CG77">
        <v>90</v>
      </c>
      <c r="CI77" t="s">
        <v>397</v>
      </c>
      <c r="CT77" t="s">
        <v>376</v>
      </c>
    </row>
    <row r="78" spans="1:104" x14ac:dyDescent="0.25">
      <c r="A78" t="s">
        <v>219</v>
      </c>
      <c r="B78" t="s">
        <v>216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622</v>
      </c>
      <c r="BF78">
        <v>12</v>
      </c>
      <c r="BH78">
        <v>126</v>
      </c>
      <c r="BK78" t="s">
        <v>625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399</v>
      </c>
      <c r="CT78">
        <v>5</v>
      </c>
      <c r="CZ78" t="s">
        <v>376</v>
      </c>
    </row>
    <row r="79" spans="1:104" x14ac:dyDescent="0.25">
      <c r="A79" t="s">
        <v>220</v>
      </c>
      <c r="B79" t="s">
        <v>20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642</v>
      </c>
      <c r="CT79">
        <v>5</v>
      </c>
    </row>
    <row r="80" spans="1:104" x14ac:dyDescent="0.25">
      <c r="A80" t="s">
        <v>221</v>
      </c>
      <c r="B80" t="s">
        <v>555</v>
      </c>
      <c r="AH80">
        <v>5</v>
      </c>
      <c r="AI80">
        <v>18</v>
      </c>
      <c r="AJ80">
        <v>112</v>
      </c>
      <c r="AM80" t="s">
        <v>623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209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605</v>
      </c>
      <c r="BL81" t="b">
        <v>0</v>
      </c>
      <c r="CD81">
        <v>5</v>
      </c>
      <c r="CE81">
        <v>17</v>
      </c>
      <c r="CF81">
        <v>41</v>
      </c>
      <c r="CI81" t="s">
        <v>643</v>
      </c>
      <c r="CT81">
        <v>5</v>
      </c>
    </row>
    <row r="82" spans="1:104" x14ac:dyDescent="0.25">
      <c r="A82" t="s">
        <v>606</v>
      </c>
      <c r="B82" t="s">
        <v>607</v>
      </c>
      <c r="AH82">
        <v>205</v>
      </c>
      <c r="AI82">
        <v>18</v>
      </c>
      <c r="AJ82">
        <v>132</v>
      </c>
      <c r="AM82" t="s">
        <v>624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302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644</v>
      </c>
      <c r="CT83">
        <v>5</v>
      </c>
    </row>
    <row r="84" spans="1:104" x14ac:dyDescent="0.25">
      <c r="A84" t="s">
        <v>303</v>
      </c>
      <c r="B84" t="s">
        <v>466</v>
      </c>
      <c r="AH84">
        <v>205</v>
      </c>
      <c r="AI84">
        <v>18</v>
      </c>
      <c r="AJ84">
        <v>152</v>
      </c>
      <c r="AM84" t="s">
        <v>625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227</v>
      </c>
      <c r="AH85">
        <v>13</v>
      </c>
      <c r="AI85">
        <v>18</v>
      </c>
      <c r="AJ85">
        <v>175</v>
      </c>
      <c r="AM85" t="s">
        <v>626</v>
      </c>
      <c r="AN85" t="b">
        <v>0</v>
      </c>
      <c r="CD85">
        <v>13</v>
      </c>
      <c r="CE85">
        <v>18</v>
      </c>
      <c r="CF85">
        <v>87</v>
      </c>
      <c r="CI85" t="s">
        <v>480</v>
      </c>
      <c r="CJ85" t="b">
        <v>0</v>
      </c>
      <c r="CT85">
        <v>5</v>
      </c>
    </row>
    <row r="86" spans="1:104" x14ac:dyDescent="0.25">
      <c r="A86" t="s">
        <v>228</v>
      </c>
      <c r="B86" t="s">
        <v>229</v>
      </c>
      <c r="AH86">
        <v>13</v>
      </c>
      <c r="AI86">
        <v>222</v>
      </c>
      <c r="AJ86">
        <v>175</v>
      </c>
      <c r="AM86" t="s">
        <v>627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326</v>
      </c>
      <c r="CT86">
        <v>5</v>
      </c>
    </row>
    <row r="87" spans="1:104" x14ac:dyDescent="0.25">
      <c r="A87" t="s">
        <v>231</v>
      </c>
      <c r="B87" t="s">
        <v>615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617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622</v>
      </c>
      <c r="CT88">
        <v>5</v>
      </c>
      <c r="CU88">
        <v>26</v>
      </c>
      <c r="CV88">
        <v>108</v>
      </c>
      <c r="CY88" t="s">
        <v>618</v>
      </c>
    </row>
    <row r="89" spans="1:104" x14ac:dyDescent="0.25">
      <c r="A89" t="s">
        <v>299</v>
      </c>
      <c r="B89" t="s">
        <v>234</v>
      </c>
      <c r="BF89">
        <v>2</v>
      </c>
      <c r="BG89">
        <v>407</v>
      </c>
      <c r="BH89">
        <v>30</v>
      </c>
      <c r="BI89">
        <v>90</v>
      </c>
      <c r="BK89" t="s">
        <v>397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66</v>
      </c>
      <c r="BK90" t="s">
        <v>399</v>
      </c>
      <c r="CD90">
        <v>12</v>
      </c>
      <c r="CE90">
        <v>17</v>
      </c>
      <c r="CF90">
        <v>152</v>
      </c>
      <c r="CI90" t="s">
        <v>623</v>
      </c>
    </row>
    <row r="91" spans="1:104" x14ac:dyDescent="0.25">
      <c r="A91" t="s">
        <v>237</v>
      </c>
      <c r="B91" t="s">
        <v>238</v>
      </c>
      <c r="BF91">
        <v>5</v>
      </c>
      <c r="BG91">
        <v>18</v>
      </c>
      <c r="BH91">
        <v>19</v>
      </c>
      <c r="BK91" t="s">
        <v>619</v>
      </c>
      <c r="CD91">
        <v>12</v>
      </c>
      <c r="CF91">
        <v>172</v>
      </c>
      <c r="CI91" t="s">
        <v>624</v>
      </c>
      <c r="CT91" t="s">
        <v>379</v>
      </c>
    </row>
    <row r="92" spans="1:104" x14ac:dyDescent="0.25">
      <c r="A92" t="s">
        <v>239</v>
      </c>
      <c r="B92" t="s">
        <v>484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625</v>
      </c>
      <c r="CT92">
        <v>5</v>
      </c>
      <c r="CZ92" t="s">
        <v>379</v>
      </c>
    </row>
    <row r="93" spans="1:104" x14ac:dyDescent="0.25">
      <c r="A93" t="s">
        <v>485</v>
      </c>
      <c r="B93" t="s">
        <v>486</v>
      </c>
      <c r="BF93">
        <v>5</v>
      </c>
      <c r="BG93">
        <v>18</v>
      </c>
      <c r="BH93">
        <v>43</v>
      </c>
      <c r="BK93" t="s">
        <v>637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243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245</v>
      </c>
      <c r="BF95">
        <v>13</v>
      </c>
      <c r="BG95">
        <v>18</v>
      </c>
      <c r="BH95">
        <v>66</v>
      </c>
      <c r="BK95" t="s">
        <v>480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247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622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251</v>
      </c>
      <c r="BF98">
        <v>12</v>
      </c>
      <c r="BG98">
        <v>18</v>
      </c>
      <c r="BH98">
        <v>112</v>
      </c>
      <c r="BK98" t="s">
        <v>623</v>
      </c>
      <c r="CT98">
        <v>5</v>
      </c>
    </row>
    <row r="99" spans="1:104" x14ac:dyDescent="0.25">
      <c r="A99" t="s">
        <v>252</v>
      </c>
      <c r="B99" t="s">
        <v>510</v>
      </c>
      <c r="BF99">
        <v>12</v>
      </c>
      <c r="BH99">
        <v>132</v>
      </c>
      <c r="BK99" t="s">
        <v>624</v>
      </c>
      <c r="CD99" t="s">
        <v>357</v>
      </c>
      <c r="CT99">
        <v>5</v>
      </c>
    </row>
    <row r="100" spans="1:104" x14ac:dyDescent="0.25">
      <c r="A100" t="s">
        <v>511</v>
      </c>
      <c r="B100" t="s">
        <v>512</v>
      </c>
      <c r="BF100">
        <v>12</v>
      </c>
      <c r="BH100">
        <v>152</v>
      </c>
      <c r="BK100" t="s">
        <v>625</v>
      </c>
      <c r="CD100" s="1" t="s">
        <v>674</v>
      </c>
      <c r="CG100">
        <v>577</v>
      </c>
      <c r="CH100">
        <v>281</v>
      </c>
      <c r="CI100" t="s">
        <v>245</v>
      </c>
      <c r="CJ100">
        <v>5</v>
      </c>
      <c r="CT100">
        <v>5</v>
      </c>
      <c r="CU100">
        <v>23</v>
      </c>
      <c r="CV100">
        <v>131</v>
      </c>
      <c r="CY100" t="s">
        <v>28</v>
      </c>
    </row>
    <row r="101" spans="1:104" x14ac:dyDescent="0.25">
      <c r="A101" t="s">
        <v>513</v>
      </c>
      <c r="B101" t="s">
        <v>514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402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397</v>
      </c>
      <c r="CT102">
        <v>5</v>
      </c>
      <c r="CU102">
        <v>25</v>
      </c>
      <c r="CV102">
        <v>108</v>
      </c>
      <c r="CY102" t="s">
        <v>618</v>
      </c>
    </row>
    <row r="103" spans="1:104" x14ac:dyDescent="0.25">
      <c r="A103" t="s">
        <v>516</v>
      </c>
      <c r="B103" t="s">
        <v>517</v>
      </c>
      <c r="BF103">
        <v>13</v>
      </c>
      <c r="BG103">
        <v>18</v>
      </c>
      <c r="BH103">
        <v>174</v>
      </c>
      <c r="BK103" t="s">
        <v>518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399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417</v>
      </c>
      <c r="BF104">
        <v>13</v>
      </c>
      <c r="BK104" t="s">
        <v>638</v>
      </c>
      <c r="BL104" t="b">
        <v>0</v>
      </c>
      <c r="CD104">
        <v>5</v>
      </c>
      <c r="CE104">
        <v>17</v>
      </c>
      <c r="CF104">
        <v>18</v>
      </c>
      <c r="CI104" t="s">
        <v>642</v>
      </c>
    </row>
    <row r="105" spans="1:104" x14ac:dyDescent="0.25">
      <c r="A105" t="s">
        <v>534</v>
      </c>
      <c r="B105" t="s">
        <v>535</v>
      </c>
      <c r="BF105">
        <v>13</v>
      </c>
      <c r="BK105" t="s">
        <v>626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537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643</v>
      </c>
      <c r="CT106">
        <v>5</v>
      </c>
      <c r="CZ106" t="s">
        <v>382</v>
      </c>
    </row>
    <row r="107" spans="1:104" x14ac:dyDescent="0.25">
      <c r="A107" t="s">
        <v>538</v>
      </c>
      <c r="B107" t="s">
        <v>389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260</v>
      </c>
      <c r="CD108">
        <v>5</v>
      </c>
      <c r="CE108">
        <v>17</v>
      </c>
      <c r="CF108">
        <v>68</v>
      </c>
      <c r="CI108" t="s">
        <v>645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646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647</v>
      </c>
      <c r="CT112">
        <v>5</v>
      </c>
    </row>
    <row r="113" spans="1:104" x14ac:dyDescent="0.25">
      <c r="A113" t="s">
        <v>539</v>
      </c>
      <c r="B113" t="s">
        <v>540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542</v>
      </c>
      <c r="CD114">
        <v>13</v>
      </c>
      <c r="CE114">
        <v>17</v>
      </c>
      <c r="CF114">
        <v>143</v>
      </c>
      <c r="CI114" t="s">
        <v>480</v>
      </c>
      <c r="CJ114" t="b">
        <v>0</v>
      </c>
      <c r="CT114">
        <v>5</v>
      </c>
    </row>
    <row r="115" spans="1:104" x14ac:dyDescent="0.25">
      <c r="A115" t="s">
        <v>543</v>
      </c>
      <c r="B115" t="s">
        <v>457</v>
      </c>
      <c r="CD115">
        <v>5</v>
      </c>
      <c r="CE115">
        <v>17</v>
      </c>
      <c r="CF115">
        <v>168</v>
      </c>
      <c r="CI115" t="s">
        <v>326</v>
      </c>
      <c r="CT115">
        <v>5</v>
      </c>
    </row>
    <row r="116" spans="1:104" x14ac:dyDescent="0.25">
      <c r="A116" t="s">
        <v>544</v>
      </c>
      <c r="B116" t="s">
        <v>545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548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622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561</v>
      </c>
      <c r="CD118">
        <v>111</v>
      </c>
      <c r="CJ118">
        <v>2</v>
      </c>
    </row>
    <row r="119" spans="1:104" x14ac:dyDescent="0.25">
      <c r="A119" t="s">
        <v>562</v>
      </c>
      <c r="B119" t="s">
        <v>563</v>
      </c>
      <c r="CD119">
        <v>12</v>
      </c>
      <c r="CE119">
        <v>17</v>
      </c>
      <c r="CF119">
        <v>211</v>
      </c>
      <c r="CI119" t="s">
        <v>623</v>
      </c>
      <c r="CT119" t="s">
        <v>332</v>
      </c>
    </row>
    <row r="120" spans="1:104" x14ac:dyDescent="0.25">
      <c r="A120" t="s">
        <v>366</v>
      </c>
      <c r="B120" t="s">
        <v>367</v>
      </c>
      <c r="CD120">
        <v>12</v>
      </c>
      <c r="CF120">
        <v>231</v>
      </c>
      <c r="CI120" t="s">
        <v>624</v>
      </c>
      <c r="CT120">
        <v>5</v>
      </c>
      <c r="CZ120" t="s">
        <v>332</v>
      </c>
    </row>
    <row r="121" spans="1:104" x14ac:dyDescent="0.25">
      <c r="A121" t="s">
        <v>368</v>
      </c>
      <c r="B121" t="s">
        <v>369</v>
      </c>
      <c r="CD121">
        <v>12</v>
      </c>
      <c r="CF121">
        <v>251</v>
      </c>
      <c r="CI121" t="s">
        <v>625</v>
      </c>
      <c r="CT121">
        <v>5</v>
      </c>
    </row>
    <row r="122" spans="1:104" x14ac:dyDescent="0.25">
      <c r="A122" t="s">
        <v>370</v>
      </c>
      <c r="B122" t="s">
        <v>453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295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589</v>
      </c>
      <c r="CT125">
        <v>5</v>
      </c>
    </row>
    <row r="126" spans="1:104" x14ac:dyDescent="0.25">
      <c r="A126" t="s">
        <v>590</v>
      </c>
      <c r="B126" t="s">
        <v>591</v>
      </c>
      <c r="CT126">
        <v>5</v>
      </c>
    </row>
    <row r="127" spans="1:104" x14ac:dyDescent="0.25">
      <c r="A127" t="s">
        <v>592</v>
      </c>
      <c r="B127" t="s">
        <v>593</v>
      </c>
      <c r="CT127">
        <v>5</v>
      </c>
    </row>
    <row r="128" spans="1:104" x14ac:dyDescent="0.25">
      <c r="A128" t="s">
        <v>594</v>
      </c>
      <c r="B128" t="s">
        <v>595</v>
      </c>
      <c r="CT128">
        <v>5</v>
      </c>
    </row>
    <row r="129" spans="1:104" x14ac:dyDescent="0.25">
      <c r="A129" t="s">
        <v>596</v>
      </c>
      <c r="B129" t="s">
        <v>597</v>
      </c>
      <c r="CT129">
        <v>5</v>
      </c>
    </row>
    <row r="130" spans="1:104" x14ac:dyDescent="0.25">
      <c r="A130" t="s">
        <v>277</v>
      </c>
      <c r="B130" t="s">
        <v>278</v>
      </c>
      <c r="CT130">
        <v>5</v>
      </c>
      <c r="CU130">
        <v>23</v>
      </c>
      <c r="CV130">
        <v>107</v>
      </c>
      <c r="CY130" t="s">
        <v>25</v>
      </c>
    </row>
    <row r="131" spans="1:104" x14ac:dyDescent="0.25">
      <c r="A131" t="s">
        <v>279</v>
      </c>
      <c r="B131" t="s">
        <v>280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282</v>
      </c>
    </row>
    <row r="133" spans="1:104" x14ac:dyDescent="0.25">
      <c r="A133" t="s">
        <v>283</v>
      </c>
      <c r="B133" t="s">
        <v>284</v>
      </c>
    </row>
    <row r="134" spans="1:104" x14ac:dyDescent="0.25">
      <c r="A134" t="s">
        <v>285</v>
      </c>
      <c r="B134" t="s">
        <v>286</v>
      </c>
      <c r="CT134" t="s">
        <v>287</v>
      </c>
    </row>
    <row r="135" spans="1:104" x14ac:dyDescent="0.25">
      <c r="A135" t="s">
        <v>288</v>
      </c>
      <c r="B135" t="s">
        <v>289</v>
      </c>
      <c r="CT135" t="s">
        <v>507</v>
      </c>
    </row>
    <row r="136" spans="1:104" x14ac:dyDescent="0.25">
      <c r="A136" t="s">
        <v>290</v>
      </c>
      <c r="B136" t="s">
        <v>291</v>
      </c>
      <c r="CT136" t="str">
        <f>mg01s.RandUniform</f>
        <v>Uniform</v>
      </c>
      <c r="CU136" t="s">
        <v>551</v>
      </c>
    </row>
    <row r="137" spans="1:104" x14ac:dyDescent="0.25">
      <c r="A137" t="s">
        <v>292</v>
      </c>
      <c r="B137" t="s">
        <v>310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610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612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297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91</v>
      </c>
      <c r="CT141" t="str">
        <f>mg01s.RandPatterned</f>
        <v>Patterned</v>
      </c>
      <c r="CU141" t="s">
        <v>599</v>
      </c>
    </row>
    <row r="142" spans="1:104" x14ac:dyDescent="0.25">
      <c r="A142" t="s">
        <v>92</v>
      </c>
      <c r="B142" t="s">
        <v>498</v>
      </c>
      <c r="CT142" t="str">
        <f>mg01s.RandDiscrete</f>
        <v>Discrete</v>
      </c>
      <c r="CU142" t="s">
        <v>332</v>
      </c>
    </row>
    <row r="143" spans="1:104" x14ac:dyDescent="0.25">
      <c r="A143" t="s">
        <v>304</v>
      </c>
      <c r="B143" t="s">
        <v>305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102</v>
      </c>
      <c r="B148" t="s">
        <v>318</v>
      </c>
    </row>
    <row r="149" spans="1:2" x14ac:dyDescent="0.25">
      <c r="A149" t="s">
        <v>319</v>
      </c>
      <c r="B149" t="s">
        <v>104</v>
      </c>
    </row>
    <row r="150" spans="1:2" x14ac:dyDescent="0.25">
      <c r="A150" t="s">
        <v>105</v>
      </c>
      <c r="B150" t="s">
        <v>322</v>
      </c>
    </row>
    <row r="151" spans="1:2" x14ac:dyDescent="0.25">
      <c r="A151" t="s">
        <v>323</v>
      </c>
      <c r="B151" t="s">
        <v>324</v>
      </c>
    </row>
    <row r="152" spans="1:2" x14ac:dyDescent="0.25">
      <c r="A152" t="s">
        <v>108</v>
      </c>
      <c r="B152" t="s">
        <v>109</v>
      </c>
    </row>
    <row r="153" spans="1:2" x14ac:dyDescent="0.25">
      <c r="A153" t="s">
        <v>110</v>
      </c>
      <c r="B153" t="s">
        <v>111</v>
      </c>
    </row>
    <row r="154" spans="1:2" x14ac:dyDescent="0.25">
      <c r="A154" t="s">
        <v>112</v>
      </c>
      <c r="B154" t="s">
        <v>335</v>
      </c>
    </row>
    <row r="155" spans="1:2" x14ac:dyDescent="0.25">
      <c r="A155" t="s">
        <v>336</v>
      </c>
      <c r="B155" t="s">
        <v>337</v>
      </c>
    </row>
    <row r="156" spans="1:2" x14ac:dyDescent="0.25">
      <c r="A156" t="s">
        <v>120</v>
      </c>
      <c r="B156" t="s">
        <v>348</v>
      </c>
    </row>
    <row r="157" spans="1:2" x14ac:dyDescent="0.25">
      <c r="A157" t="s">
        <v>349</v>
      </c>
      <c r="B157" t="s">
        <v>446</v>
      </c>
    </row>
    <row r="158" spans="1:2" x14ac:dyDescent="0.25">
      <c r="A158" t="s">
        <v>350</v>
      </c>
      <c r="B158" t="s">
        <v>115</v>
      </c>
    </row>
    <row r="159" spans="1:2" x14ac:dyDescent="0.25">
      <c r="A159" t="s">
        <v>438</v>
      </c>
      <c r="B159" t="s">
        <v>352</v>
      </c>
    </row>
    <row r="160" spans="1:2" x14ac:dyDescent="0.25">
      <c r="A160" t="s">
        <v>353</v>
      </c>
      <c r="B160" t="s">
        <v>354</v>
      </c>
    </row>
    <row r="161" spans="1:2" x14ac:dyDescent="0.25">
      <c r="A161" t="s">
        <v>355</v>
      </c>
      <c r="B161" t="s">
        <v>128</v>
      </c>
    </row>
    <row r="162" spans="1:2" x14ac:dyDescent="0.25">
      <c r="A162" t="s">
        <v>129</v>
      </c>
      <c r="B162" t="s">
        <v>362</v>
      </c>
    </row>
    <row r="163" spans="1:2" x14ac:dyDescent="0.25">
      <c r="A163" t="s">
        <v>363</v>
      </c>
      <c r="B163" t="s">
        <v>364</v>
      </c>
    </row>
    <row r="164" spans="1:2" x14ac:dyDescent="0.25">
      <c r="A164" t="s">
        <v>365</v>
      </c>
      <c r="B164" t="s">
        <v>131</v>
      </c>
    </row>
    <row r="165" spans="1:2" x14ac:dyDescent="0.25">
      <c r="A165" t="s">
        <v>374</v>
      </c>
      <c r="B165" t="s">
        <v>375</v>
      </c>
    </row>
    <row r="166" spans="1:2" x14ac:dyDescent="0.25">
      <c r="A166" t="s">
        <v>135</v>
      </c>
      <c r="B166" t="s">
        <v>136</v>
      </c>
    </row>
    <row r="167" spans="1:2" x14ac:dyDescent="0.25">
      <c r="A167" t="s">
        <v>137</v>
      </c>
      <c r="B167" t="s">
        <v>138</v>
      </c>
    </row>
    <row r="168" spans="1:2" x14ac:dyDescent="0.25">
      <c r="A168" t="s">
        <v>139</v>
      </c>
      <c r="B168" t="s">
        <v>140</v>
      </c>
    </row>
    <row r="169" spans="1:2" x14ac:dyDescent="0.25">
      <c r="A169" t="s">
        <v>384</v>
      </c>
      <c r="B169" t="s">
        <v>461</v>
      </c>
    </row>
    <row r="170" spans="1:2" x14ac:dyDescent="0.25">
      <c r="A170" t="s">
        <v>462</v>
      </c>
      <c r="B170" t="s">
        <v>463</v>
      </c>
    </row>
    <row r="171" spans="1:2" x14ac:dyDescent="0.25">
      <c r="A171" t="s">
        <v>464</v>
      </c>
      <c r="B171" t="s">
        <v>465</v>
      </c>
    </row>
    <row r="172" spans="1:2" x14ac:dyDescent="0.25">
      <c r="A172" t="s">
        <v>388</v>
      </c>
      <c r="B172" t="s">
        <v>146</v>
      </c>
    </row>
    <row r="173" spans="1:2" x14ac:dyDescent="0.25">
      <c r="A173" t="s">
        <v>147</v>
      </c>
      <c r="B173" t="s">
        <v>148</v>
      </c>
    </row>
    <row r="174" spans="1:2" x14ac:dyDescent="0.25">
      <c r="A174" t="s">
        <v>385</v>
      </c>
      <c r="B174" t="s">
        <v>475</v>
      </c>
    </row>
    <row r="175" spans="1:2" x14ac:dyDescent="0.25">
      <c r="A175" t="s">
        <v>151</v>
      </c>
      <c r="B175" t="s">
        <v>152</v>
      </c>
    </row>
    <row r="176" spans="1:2" x14ac:dyDescent="0.25">
      <c r="A176" t="s">
        <v>406</v>
      </c>
      <c r="B176" t="s">
        <v>407</v>
      </c>
    </row>
    <row r="177" spans="1:2" x14ac:dyDescent="0.25">
      <c r="A177" t="s">
        <v>408</v>
      </c>
      <c r="B177" t="s">
        <v>502</v>
      </c>
    </row>
    <row r="178" spans="1:2" x14ac:dyDescent="0.25">
      <c r="A178" t="s">
        <v>503</v>
      </c>
      <c r="B178" t="s">
        <v>504</v>
      </c>
    </row>
    <row r="179" spans="1:2" x14ac:dyDescent="0.25">
      <c r="A179" t="s">
        <v>410</v>
      </c>
      <c r="B179" t="s">
        <v>411</v>
      </c>
    </row>
    <row r="180" spans="1:2" x14ac:dyDescent="0.25">
      <c r="A180" t="s">
        <v>412</v>
      </c>
      <c r="B180" t="s">
        <v>160</v>
      </c>
    </row>
    <row r="181" spans="1:2" x14ac:dyDescent="0.25">
      <c r="A181" t="s">
        <v>161</v>
      </c>
      <c r="B181" t="s">
        <v>414</v>
      </c>
    </row>
    <row r="182" spans="1:2" x14ac:dyDescent="0.25">
      <c r="A182" t="s">
        <v>415</v>
      </c>
      <c r="B182" t="s">
        <v>416</v>
      </c>
    </row>
    <row r="183" spans="1:2" x14ac:dyDescent="0.25">
      <c r="A183" t="s">
        <v>173</v>
      </c>
      <c r="B183" t="s">
        <v>166</v>
      </c>
    </row>
    <row r="184" spans="1:2" x14ac:dyDescent="0.25">
      <c r="A184" t="s">
        <v>167</v>
      </c>
      <c r="B184" t="s">
        <v>168</v>
      </c>
    </row>
    <row r="185" spans="1:2" x14ac:dyDescent="0.25">
      <c r="A185" t="s">
        <v>169</v>
      </c>
      <c r="B185" t="s">
        <v>183</v>
      </c>
    </row>
    <row r="186" spans="1:2" x14ac:dyDescent="0.25">
      <c r="A186" t="s">
        <v>444</v>
      </c>
      <c r="B186" t="s">
        <v>172</v>
      </c>
    </row>
    <row r="187" spans="1:2" x14ac:dyDescent="0.25">
      <c r="A187" t="s">
        <v>18</v>
      </c>
      <c r="B187" t="s">
        <v>19</v>
      </c>
    </row>
    <row r="188" spans="1:2" x14ac:dyDescent="0.25">
      <c r="A188" t="s">
        <v>175</v>
      </c>
      <c r="B188" t="s">
        <v>22</v>
      </c>
    </row>
    <row r="189" spans="1:2" x14ac:dyDescent="0.25">
      <c r="A189" t="s">
        <v>181</v>
      </c>
      <c r="B189" t="s">
        <v>182</v>
      </c>
    </row>
    <row r="190" spans="1:2" x14ac:dyDescent="0.25">
      <c r="A190" t="s">
        <v>64</v>
      </c>
      <c r="B190" t="s">
        <v>184</v>
      </c>
    </row>
    <row r="191" spans="1:2" x14ac:dyDescent="0.25">
      <c r="A191" t="s">
        <v>185</v>
      </c>
      <c r="B191" t="s">
        <v>191</v>
      </c>
    </row>
    <row r="192" spans="1:2" x14ac:dyDescent="0.25">
      <c r="A192" t="s">
        <v>192</v>
      </c>
      <c r="B192" t="s">
        <v>66</v>
      </c>
    </row>
    <row r="193" spans="1:2" x14ac:dyDescent="0.25">
      <c r="A193" t="s">
        <v>67</v>
      </c>
      <c r="B193" t="s">
        <v>68</v>
      </c>
    </row>
    <row r="194" spans="1:2" x14ac:dyDescent="0.25">
      <c r="A194" t="s">
        <v>197</v>
      </c>
      <c r="B194" t="s">
        <v>198</v>
      </c>
    </row>
    <row r="195" spans="1:2" x14ac:dyDescent="0.25">
      <c r="A195" t="s">
        <v>199</v>
      </c>
      <c r="B195" t="s">
        <v>43</v>
      </c>
    </row>
    <row r="196" spans="1:2" x14ac:dyDescent="0.25">
      <c r="A196" t="s">
        <v>44</v>
      </c>
      <c r="B196" t="s">
        <v>45</v>
      </c>
    </row>
    <row r="197" spans="1:2" x14ac:dyDescent="0.25">
      <c r="A197" t="s">
        <v>46</v>
      </c>
      <c r="B197" t="s">
        <v>211</v>
      </c>
    </row>
    <row r="198" spans="1:2" x14ac:dyDescent="0.25">
      <c r="A198" t="s">
        <v>212</v>
      </c>
      <c r="B198" t="s">
        <v>214</v>
      </c>
    </row>
    <row r="199" spans="1:2" x14ac:dyDescent="0.25">
      <c r="A199" t="s">
        <v>215</v>
      </c>
      <c r="B199" t="s">
        <v>76</v>
      </c>
    </row>
    <row r="200" spans="1:2" x14ac:dyDescent="0.25">
      <c r="A200" t="s">
        <v>77</v>
      </c>
      <c r="B200" t="s">
        <v>222</v>
      </c>
    </row>
    <row r="201" spans="1:2" x14ac:dyDescent="0.25">
      <c r="A201" t="s">
        <v>223</v>
      </c>
      <c r="B201" t="s">
        <v>217</v>
      </c>
    </row>
    <row r="202" spans="1:2" x14ac:dyDescent="0.25">
      <c r="A202" t="s">
        <v>1</v>
      </c>
      <c r="B202" t="s">
        <v>224</v>
      </c>
    </row>
    <row r="203" spans="1:2" x14ac:dyDescent="0.25">
      <c r="A203" t="s">
        <v>225</v>
      </c>
      <c r="B203" t="s">
        <v>226</v>
      </c>
    </row>
    <row r="204" spans="1:2" x14ac:dyDescent="0.25">
      <c r="A204" t="s">
        <v>4</v>
      </c>
      <c r="B204" t="s">
        <v>232</v>
      </c>
    </row>
    <row r="205" spans="1:2" x14ac:dyDescent="0.25">
      <c r="A205" t="s">
        <v>233</v>
      </c>
      <c r="B205" t="s">
        <v>5</v>
      </c>
    </row>
    <row r="206" spans="1:2" x14ac:dyDescent="0.25">
      <c r="A206" t="s">
        <v>6</v>
      </c>
      <c r="B206" t="s">
        <v>240</v>
      </c>
    </row>
    <row r="207" spans="1:2" x14ac:dyDescent="0.25">
      <c r="A207" t="s">
        <v>241</v>
      </c>
      <c r="B207" t="s">
        <v>10</v>
      </c>
    </row>
    <row r="208" spans="1:2" x14ac:dyDescent="0.25">
      <c r="A208" t="s">
        <v>11</v>
      </c>
      <c r="B208" t="s">
        <v>12</v>
      </c>
    </row>
    <row r="209" spans="1:103" x14ac:dyDescent="0.25">
      <c r="A209" t="s">
        <v>13</v>
      </c>
      <c r="B209" t="s">
        <v>253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257</v>
      </c>
    </row>
    <row r="212" spans="1:103" x14ac:dyDescent="0.25">
      <c r="A212" t="s">
        <v>258</v>
      </c>
      <c r="B212" t="s">
        <v>532</v>
      </c>
    </row>
    <row r="213" spans="1:103" x14ac:dyDescent="0.25">
      <c r="A213" t="s">
        <v>533</v>
      </c>
      <c r="B213" t="s">
        <v>16</v>
      </c>
      <c r="BS213" t="b">
        <v>1</v>
      </c>
    </row>
    <row r="214" spans="1:103" x14ac:dyDescent="0.25">
      <c r="A214" t="s">
        <v>17</v>
      </c>
      <c r="B214" t="s">
        <v>264</v>
      </c>
    </row>
    <row r="215" spans="1:103" x14ac:dyDescent="0.25">
      <c r="A215" t="s">
        <v>265</v>
      </c>
      <c r="B215" t="s">
        <v>549</v>
      </c>
    </row>
    <row r="216" spans="1:103" x14ac:dyDescent="0.25">
      <c r="A216" t="s">
        <v>550</v>
      </c>
      <c r="B216" t="s">
        <v>266</v>
      </c>
    </row>
    <row r="217" spans="1:103" x14ac:dyDescent="0.25">
      <c r="A217" t="s">
        <v>267</v>
      </c>
      <c r="B217" t="s">
        <v>261</v>
      </c>
    </row>
    <row r="218" spans="1:103" x14ac:dyDescent="0.25">
      <c r="A218" t="s">
        <v>262</v>
      </c>
      <c r="B218" t="s">
        <v>271</v>
      </c>
    </row>
    <row r="219" spans="1:103" x14ac:dyDescent="0.25">
      <c r="A219" t="s">
        <v>272</v>
      </c>
      <c r="B219" t="s">
        <v>273</v>
      </c>
    </row>
    <row r="220" spans="1:103" x14ac:dyDescent="0.25">
      <c r="A220" t="s">
        <v>36</v>
      </c>
      <c r="B220" t="s">
        <v>37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268</v>
      </c>
      <c r="AE221" t="b">
        <v>1</v>
      </c>
    </row>
    <row r="222" spans="1:103" x14ac:dyDescent="0.25">
      <c r="A222" t="s">
        <v>269</v>
      </c>
      <c r="B222" t="s">
        <v>270</v>
      </c>
      <c r="CY222" t="b">
        <v>1</v>
      </c>
    </row>
    <row r="223" spans="1:103" x14ac:dyDescent="0.25">
      <c r="A223" t="s">
        <v>40</v>
      </c>
      <c r="B223" t="s">
        <v>41</v>
      </c>
    </row>
    <row r="224" spans="1:103" x14ac:dyDescent="0.25">
      <c r="A224" t="s">
        <v>42</v>
      </c>
      <c r="B224" t="s">
        <v>274</v>
      </c>
      <c r="CI224" t="b">
        <v>1</v>
      </c>
    </row>
    <row r="225" spans="1:2" x14ac:dyDescent="0.25">
      <c r="A225" t="s">
        <v>275</v>
      </c>
      <c r="B225" t="s">
        <v>276</v>
      </c>
    </row>
    <row r="226" spans="1:2" x14ac:dyDescent="0.25">
      <c r="A226" t="s">
        <v>73</v>
      </c>
      <c r="B226" t="s">
        <v>74</v>
      </c>
    </row>
    <row r="227" spans="1:2" x14ac:dyDescent="0.25">
      <c r="A227" t="s">
        <v>75</v>
      </c>
      <c r="B227" t="s">
        <v>87</v>
      </c>
    </row>
    <row r="228" spans="1:2" x14ac:dyDescent="0.25">
      <c r="A228" t="s">
        <v>88</v>
      </c>
      <c r="B228" t="s">
        <v>48</v>
      </c>
    </row>
    <row r="229" spans="1:2" x14ac:dyDescent="0.25">
      <c r="A229" t="s">
        <v>49</v>
      </c>
      <c r="B229" t="s">
        <v>50</v>
      </c>
    </row>
    <row r="230" spans="1:2" x14ac:dyDescent="0.25">
      <c r="A230" t="s">
        <v>51</v>
      </c>
      <c r="B230" t="s">
        <v>52</v>
      </c>
    </row>
    <row r="231" spans="1:2" x14ac:dyDescent="0.25">
      <c r="A231" t="s">
        <v>53</v>
      </c>
      <c r="B231" t="s">
        <v>54</v>
      </c>
    </row>
    <row r="232" spans="1:2" x14ac:dyDescent="0.25">
      <c r="A232" t="s">
        <v>55</v>
      </c>
      <c r="B232" t="s">
        <v>56</v>
      </c>
    </row>
    <row r="233" spans="1:2" x14ac:dyDescent="0.25">
      <c r="A233" t="s">
        <v>57</v>
      </c>
      <c r="B233" t="s">
        <v>58</v>
      </c>
    </row>
    <row r="234" spans="1:2" x14ac:dyDescent="0.25">
      <c r="A234" t="s">
        <v>59</v>
      </c>
      <c r="B234" t="s">
        <v>23</v>
      </c>
    </row>
    <row r="235" spans="1:2" x14ac:dyDescent="0.25">
      <c r="A235" t="s">
        <v>24</v>
      </c>
      <c r="B235" t="s">
        <v>31</v>
      </c>
    </row>
    <row r="236" spans="1:2" x14ac:dyDescent="0.25">
      <c r="A236" t="s">
        <v>32</v>
      </c>
      <c r="B236" t="s">
        <v>100</v>
      </c>
    </row>
    <row r="237" spans="1:2" x14ac:dyDescent="0.25">
      <c r="A237" t="s">
        <v>101</v>
      </c>
      <c r="B237" t="s">
        <v>158</v>
      </c>
    </row>
    <row r="238" spans="1:2" x14ac:dyDescent="0.25">
      <c r="A238" t="s">
        <v>159</v>
      </c>
      <c r="B238" t="s">
        <v>106</v>
      </c>
    </row>
    <row r="239" spans="1:2" x14ac:dyDescent="0.25">
      <c r="A239" t="s">
        <v>107</v>
      </c>
      <c r="B239" t="s">
        <v>14</v>
      </c>
    </row>
    <row r="240" spans="1:2" x14ac:dyDescent="0.25">
      <c r="A240" t="s">
        <v>15</v>
      </c>
      <c r="B240" t="s">
        <v>170</v>
      </c>
    </row>
    <row r="241" spans="1:2" x14ac:dyDescent="0.25">
      <c r="A241" t="s">
        <v>171</v>
      </c>
      <c r="B241" t="s">
        <v>116</v>
      </c>
    </row>
    <row r="242" spans="1:2" x14ac:dyDescent="0.25">
      <c r="A242" t="s">
        <v>117</v>
      </c>
      <c r="B242" t="s">
        <v>118</v>
      </c>
    </row>
    <row r="243" spans="1:2" x14ac:dyDescent="0.25">
      <c r="A243" t="s">
        <v>119</v>
      </c>
      <c r="B243" t="s">
        <v>121</v>
      </c>
    </row>
    <row r="244" spans="1:2" x14ac:dyDescent="0.25">
      <c r="A244" t="s">
        <v>122</v>
      </c>
      <c r="B244" t="s">
        <v>123</v>
      </c>
    </row>
    <row r="245" spans="1:2" x14ac:dyDescent="0.25">
      <c r="A245" t="s">
        <v>176</v>
      </c>
      <c r="B245" t="s">
        <v>35</v>
      </c>
    </row>
    <row r="246" spans="1:2" x14ac:dyDescent="0.25">
      <c r="A246" t="s">
        <v>126</v>
      </c>
      <c r="B246" t="s">
        <v>127</v>
      </c>
    </row>
    <row r="247" spans="1:2" x14ac:dyDescent="0.25">
      <c r="A247" t="s">
        <v>130</v>
      </c>
      <c r="B247" t="s">
        <v>38</v>
      </c>
    </row>
    <row r="248" spans="1:2" x14ac:dyDescent="0.25">
      <c r="A248" t="s">
        <v>39</v>
      </c>
      <c r="B248" t="s">
        <v>132</v>
      </c>
    </row>
    <row r="249" spans="1:2" x14ac:dyDescent="0.25">
      <c r="A249" t="s">
        <v>133</v>
      </c>
      <c r="B249" t="s">
        <v>134</v>
      </c>
    </row>
    <row r="250" spans="1:2" x14ac:dyDescent="0.25">
      <c r="A250" t="s">
        <v>69</v>
      </c>
      <c r="B250" t="s">
        <v>70</v>
      </c>
    </row>
    <row r="251" spans="1:2" x14ac:dyDescent="0.25">
      <c r="A251" t="s">
        <v>71</v>
      </c>
      <c r="B251" t="s">
        <v>72</v>
      </c>
    </row>
    <row r="252" spans="1:2" x14ac:dyDescent="0.25">
      <c r="A252" t="s">
        <v>141</v>
      </c>
      <c r="B252" t="s">
        <v>142</v>
      </c>
    </row>
    <row r="253" spans="1:2" x14ac:dyDescent="0.25">
      <c r="A253" t="s">
        <v>143</v>
      </c>
      <c r="B253" t="s">
        <v>144</v>
      </c>
    </row>
    <row r="254" spans="1:2" x14ac:dyDescent="0.25">
      <c r="A254" t="s">
        <v>145</v>
      </c>
      <c r="B254" t="s">
        <v>47</v>
      </c>
    </row>
    <row r="255" spans="1:2" x14ac:dyDescent="0.25">
      <c r="A255" t="s">
        <v>386</v>
      </c>
      <c r="B255" t="s">
        <v>387</v>
      </c>
    </row>
    <row r="256" spans="1:2" x14ac:dyDescent="0.25">
      <c r="A256" t="s">
        <v>30</v>
      </c>
      <c r="B256" t="s">
        <v>149</v>
      </c>
    </row>
    <row r="257" spans="1:2" x14ac:dyDescent="0.25">
      <c r="A257" t="s">
        <v>33</v>
      </c>
      <c r="B257" t="s">
        <v>34</v>
      </c>
    </row>
    <row r="258" spans="1:2" x14ac:dyDescent="0.25">
      <c r="A258" t="s">
        <v>153</v>
      </c>
      <c r="B258" t="s">
        <v>154</v>
      </c>
    </row>
    <row r="259" spans="1:2" x14ac:dyDescent="0.25">
      <c r="A259" t="s">
        <v>155</v>
      </c>
      <c r="B259" t="s">
        <v>156</v>
      </c>
    </row>
    <row r="260" spans="1:2" x14ac:dyDescent="0.25">
      <c r="A260" t="s">
        <v>157</v>
      </c>
      <c r="B260" t="s">
        <v>150</v>
      </c>
    </row>
    <row r="261" spans="1:2" x14ac:dyDescent="0.25">
      <c r="A261" t="s">
        <v>3</v>
      </c>
      <c r="B261" t="s">
        <v>409</v>
      </c>
    </row>
    <row r="262" spans="1:2" x14ac:dyDescent="0.25">
      <c r="A262" t="s">
        <v>78</v>
      </c>
      <c r="B262" t="s">
        <v>79</v>
      </c>
    </row>
    <row r="263" spans="1:2" x14ac:dyDescent="0.25">
      <c r="A263" t="s">
        <v>80</v>
      </c>
      <c r="B263" t="s">
        <v>81</v>
      </c>
    </row>
    <row r="264" spans="1:2" x14ac:dyDescent="0.25">
      <c r="A264" t="s">
        <v>82</v>
      </c>
      <c r="B264" t="s">
        <v>83</v>
      </c>
    </row>
    <row r="265" spans="1:2" x14ac:dyDescent="0.25">
      <c r="A265" t="s">
        <v>84</v>
      </c>
      <c r="B265" t="s">
        <v>85</v>
      </c>
    </row>
    <row r="266" spans="1:2" x14ac:dyDescent="0.25">
      <c r="A266" t="s">
        <v>86</v>
      </c>
      <c r="B266" t="s">
        <v>213</v>
      </c>
    </row>
    <row r="267" spans="1:2" x14ac:dyDescent="0.25">
      <c r="A267" t="s">
        <v>29</v>
      </c>
      <c r="B267" t="s">
        <v>89</v>
      </c>
    </row>
    <row r="268" spans="1:2" x14ac:dyDescent="0.25">
      <c r="A268" t="s">
        <v>90</v>
      </c>
      <c r="B268" t="s">
        <v>0</v>
      </c>
    </row>
    <row r="269" spans="1:2" x14ac:dyDescent="0.25">
      <c r="A269" t="s">
        <v>95</v>
      </c>
      <c r="B269" t="s">
        <v>96</v>
      </c>
    </row>
    <row r="270" spans="1:2" x14ac:dyDescent="0.25">
      <c r="A270" t="s">
        <v>2</v>
      </c>
      <c r="B270" t="s">
        <v>103</v>
      </c>
    </row>
    <row r="271" spans="1:2" x14ac:dyDescent="0.25">
      <c r="A271" t="s">
        <v>7</v>
      </c>
      <c r="B271" t="s">
        <v>8</v>
      </c>
    </row>
    <row r="273" spans="1:2" x14ac:dyDescent="0.25">
      <c r="A273" t="s">
        <v>9</v>
      </c>
      <c r="B273" t="s">
        <v>162</v>
      </c>
    </row>
    <row r="274" spans="1:2" x14ac:dyDescent="0.25">
      <c r="A274" t="s">
        <v>163</v>
      </c>
      <c r="B274" t="s">
        <v>113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442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983</v>
      </c>
      <c r="AF2">
        <v>4</v>
      </c>
      <c r="AH2" s="1" t="s">
        <v>656</v>
      </c>
      <c r="AK2">
        <v>515</v>
      </c>
      <c r="AL2">
        <v>223</v>
      </c>
      <c r="AM2" t="s">
        <v>984</v>
      </c>
      <c r="AN2">
        <v>5</v>
      </c>
      <c r="AP2" s="1" t="s">
        <v>657</v>
      </c>
      <c r="AS2">
        <v>532</v>
      </c>
      <c r="AT2">
        <v>312</v>
      </c>
      <c r="AU2" t="s">
        <v>985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986</v>
      </c>
      <c r="BL2">
        <v>5</v>
      </c>
      <c r="BN2" s="1" t="s">
        <v>659</v>
      </c>
      <c r="BQ2">
        <v>523</v>
      </c>
      <c r="BR2">
        <v>293</v>
      </c>
      <c r="BS2" t="s">
        <v>987</v>
      </c>
      <c r="BT2">
        <v>5</v>
      </c>
      <c r="BV2" s="1" t="s">
        <v>660</v>
      </c>
      <c r="BY2">
        <v>523</v>
      </c>
      <c r="BZ2">
        <v>195</v>
      </c>
      <c r="CA2" t="s">
        <v>988</v>
      </c>
      <c r="CB2">
        <v>5</v>
      </c>
      <c r="CD2" s="1" t="s">
        <v>661</v>
      </c>
      <c r="CG2">
        <v>515</v>
      </c>
      <c r="CH2">
        <v>203</v>
      </c>
      <c r="CI2" t="s">
        <v>989</v>
      </c>
      <c r="CJ2">
        <v>5</v>
      </c>
      <c r="CL2" s="1" t="s">
        <v>662</v>
      </c>
      <c r="CO2">
        <v>523</v>
      </c>
      <c r="CP2">
        <v>263</v>
      </c>
      <c r="CQ2" t="s">
        <v>990</v>
      </c>
      <c r="CR2">
        <v>5</v>
      </c>
      <c r="CT2" s="1" t="s">
        <v>663</v>
      </c>
      <c r="CW2">
        <v>516</v>
      </c>
      <c r="CX2">
        <v>298</v>
      </c>
      <c r="CY2" t="s">
        <v>991</v>
      </c>
      <c r="CZ2">
        <v>4</v>
      </c>
    </row>
    <row r="3" spans="1:104" x14ac:dyDescent="0.25">
      <c r="W3" t="str">
        <f>dbCorrelationTitle</f>
        <v>Korelace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425</v>
      </c>
      <c r="AR3">
        <v>10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992</v>
      </c>
      <c r="AH4">
        <v>2</v>
      </c>
      <c r="AI4">
        <v>412</v>
      </c>
      <c r="AJ4">
        <v>30</v>
      </c>
      <c r="AK4">
        <v>90</v>
      </c>
      <c r="AM4" t="s">
        <v>992</v>
      </c>
      <c r="AP4">
        <v>2</v>
      </c>
      <c r="AQ4">
        <v>425</v>
      </c>
      <c r="AR4">
        <v>33</v>
      </c>
      <c r="AS4">
        <v>90</v>
      </c>
      <c r="AU4" t="s">
        <v>992</v>
      </c>
      <c r="AX4">
        <v>2</v>
      </c>
      <c r="AY4">
        <v>418</v>
      </c>
      <c r="AZ4">
        <v>33</v>
      </c>
      <c r="BA4">
        <v>104</v>
      </c>
      <c r="BC4" t="s">
        <v>992</v>
      </c>
      <c r="BF4">
        <v>2</v>
      </c>
      <c r="BG4">
        <v>407</v>
      </c>
      <c r="BH4">
        <v>30</v>
      </c>
      <c r="BI4">
        <v>90</v>
      </c>
      <c r="BK4" t="s">
        <v>992</v>
      </c>
      <c r="BN4">
        <v>2</v>
      </c>
      <c r="BO4">
        <v>407</v>
      </c>
      <c r="BP4">
        <v>30</v>
      </c>
      <c r="BQ4">
        <v>90</v>
      </c>
      <c r="BS4" t="s">
        <v>992</v>
      </c>
      <c r="BV4">
        <v>2</v>
      </c>
      <c r="BW4">
        <v>407</v>
      </c>
      <c r="BX4">
        <v>30</v>
      </c>
      <c r="BY4">
        <v>90</v>
      </c>
      <c r="CA4" t="s">
        <v>992</v>
      </c>
      <c r="CD4">
        <v>2</v>
      </c>
      <c r="CE4">
        <v>407</v>
      </c>
      <c r="CF4">
        <v>30</v>
      </c>
      <c r="CG4">
        <v>90</v>
      </c>
      <c r="CI4" t="s">
        <v>992</v>
      </c>
      <c r="CL4">
        <v>2</v>
      </c>
      <c r="CM4">
        <v>407</v>
      </c>
      <c r="CN4">
        <v>30</v>
      </c>
      <c r="CO4">
        <v>90</v>
      </c>
      <c r="CQ4" t="s">
        <v>992</v>
      </c>
      <c r="CT4">
        <v>2</v>
      </c>
      <c r="CU4">
        <v>410</v>
      </c>
      <c r="CV4">
        <v>31</v>
      </c>
      <c r="CW4">
        <v>90</v>
      </c>
      <c r="CY4" t="s">
        <v>992</v>
      </c>
    </row>
    <row r="5" spans="1:104" x14ac:dyDescent="0.25">
      <c r="T5">
        <v>0</v>
      </c>
      <c r="U5" t="str">
        <f>dbAnova1Title</f>
        <v>Anova: jeden faktor</v>
      </c>
      <c r="V5">
        <v>0</v>
      </c>
      <c r="W5" t="str">
        <f>dbAnova1Title</f>
        <v>Anova: jeden faktor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993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994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994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995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994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994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994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994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994</v>
      </c>
      <c r="CT5">
        <v>5</v>
      </c>
      <c r="CU5">
        <v>17</v>
      </c>
      <c r="CV5">
        <v>12</v>
      </c>
      <c r="CY5" t="s">
        <v>996</v>
      </c>
    </row>
    <row r="6" spans="1:104" x14ac:dyDescent="0.25">
      <c r="T6">
        <v>1</v>
      </c>
      <c r="U6" t="str">
        <f>dbAnova2Title</f>
        <v>Anova: dva faktory s opakováním</v>
      </c>
      <c r="V6">
        <v>1</v>
      </c>
      <c r="W6" t="str">
        <f>dbAnova2Title</f>
        <v>Anova: dva faktory s opakováním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997</v>
      </c>
      <c r="AP6">
        <v>5</v>
      </c>
      <c r="AQ6">
        <v>24</v>
      </c>
      <c r="AR6">
        <v>22</v>
      </c>
      <c r="AU6" t="s">
        <v>998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997</v>
      </c>
      <c r="BN6">
        <v>5</v>
      </c>
      <c r="BO6">
        <v>18</v>
      </c>
      <c r="BP6">
        <v>19</v>
      </c>
      <c r="BS6" t="s">
        <v>997</v>
      </c>
      <c r="BV6">
        <v>5</v>
      </c>
      <c r="BW6">
        <v>18</v>
      </c>
      <c r="BX6">
        <v>19</v>
      </c>
      <c r="CA6" t="s">
        <v>997</v>
      </c>
      <c r="CD6">
        <v>5</v>
      </c>
      <c r="CE6">
        <v>18</v>
      </c>
      <c r="CF6">
        <v>19</v>
      </c>
      <c r="CI6" t="s">
        <v>999</v>
      </c>
      <c r="CL6">
        <v>5</v>
      </c>
      <c r="CM6">
        <v>18</v>
      </c>
      <c r="CN6">
        <v>19</v>
      </c>
      <c r="CQ6" t="s">
        <v>997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dva faktory bez opakování</v>
      </c>
      <c r="V7">
        <v>2</v>
      </c>
      <c r="W7" t="str">
        <f>dbAnova3Title</f>
        <v>Anova: dva faktory bez opakování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1000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37</v>
      </c>
      <c r="CY7" t="s">
        <v>1001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Korelace</v>
      </c>
      <c r="V8">
        <v>3</v>
      </c>
      <c r="W8" t="str">
        <f>dbCorrelationTitle</f>
        <v>Korelace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1002</v>
      </c>
      <c r="AP8">
        <v>5</v>
      </c>
      <c r="AQ8">
        <v>24</v>
      </c>
      <c r="AR8">
        <v>48</v>
      </c>
      <c r="AU8" t="s">
        <v>1003</v>
      </c>
      <c r="AX8">
        <v>12</v>
      </c>
      <c r="AZ8">
        <v>90</v>
      </c>
      <c r="BC8" t="s">
        <v>1004</v>
      </c>
      <c r="BF8">
        <v>5</v>
      </c>
      <c r="BG8">
        <v>18</v>
      </c>
      <c r="BH8">
        <v>44</v>
      </c>
      <c r="BK8" t="s">
        <v>1002</v>
      </c>
      <c r="BN8">
        <v>5</v>
      </c>
      <c r="BO8">
        <v>18</v>
      </c>
      <c r="BP8">
        <v>44</v>
      </c>
      <c r="BS8" t="s">
        <v>1002</v>
      </c>
      <c r="BV8">
        <v>5</v>
      </c>
      <c r="BW8">
        <v>17</v>
      </c>
      <c r="BX8">
        <v>40</v>
      </c>
      <c r="CA8" t="s">
        <v>1005</v>
      </c>
      <c r="CD8">
        <v>5</v>
      </c>
      <c r="CE8">
        <v>18</v>
      </c>
      <c r="CF8">
        <v>41</v>
      </c>
      <c r="CI8" t="s">
        <v>1006</v>
      </c>
      <c r="CL8">
        <v>13</v>
      </c>
      <c r="CM8">
        <v>18</v>
      </c>
      <c r="CN8">
        <v>39</v>
      </c>
      <c r="CQ8" t="s">
        <v>1007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Kovariance</v>
      </c>
      <c r="V9">
        <v>4</v>
      </c>
      <c r="W9" t="str">
        <f>dbCovarianceTitle</f>
        <v>Kovariance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1008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1009</v>
      </c>
      <c r="CT9">
        <v>5</v>
      </c>
      <c r="CU9">
        <v>17</v>
      </c>
      <c r="CV9">
        <v>63</v>
      </c>
      <c r="CY9" t="s">
        <v>1010</v>
      </c>
    </row>
    <row r="10" spans="1:104" x14ac:dyDescent="0.25">
      <c r="A10" t="s">
        <v>505</v>
      </c>
      <c r="B10" t="s">
        <v>1011</v>
      </c>
      <c r="T10">
        <v>5</v>
      </c>
      <c r="U10" t="str">
        <f>dbDescripTitle</f>
        <v>Popisná statistika</v>
      </c>
      <c r="V10">
        <v>5</v>
      </c>
      <c r="W10" t="str">
        <f>dbDescripTitle</f>
        <v>Popisná statistika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1012</v>
      </c>
      <c r="AP10">
        <v>13</v>
      </c>
      <c r="AQ10">
        <v>25</v>
      </c>
      <c r="AR10">
        <v>75</v>
      </c>
      <c r="AU10" t="s">
        <v>1007</v>
      </c>
      <c r="AV10" t="b">
        <v>0</v>
      </c>
      <c r="AX10">
        <v>12</v>
      </c>
      <c r="AZ10">
        <v>130</v>
      </c>
      <c r="BC10" t="s">
        <v>1013</v>
      </c>
      <c r="BF10">
        <v>12</v>
      </c>
      <c r="BG10">
        <v>220</v>
      </c>
      <c r="BH10">
        <v>40</v>
      </c>
      <c r="BK10" t="s">
        <v>1012</v>
      </c>
      <c r="BN10">
        <v>12</v>
      </c>
      <c r="BO10">
        <v>220</v>
      </c>
      <c r="BP10">
        <v>40</v>
      </c>
      <c r="BS10" t="s">
        <v>1012</v>
      </c>
      <c r="BV10">
        <v>13</v>
      </c>
      <c r="BW10">
        <v>17</v>
      </c>
      <c r="BX10">
        <v>60</v>
      </c>
      <c r="CA10" t="s">
        <v>1014</v>
      </c>
      <c r="CB10" t="b">
        <v>0</v>
      </c>
      <c r="CD10">
        <v>13</v>
      </c>
      <c r="CE10">
        <v>18</v>
      </c>
      <c r="CF10">
        <v>60</v>
      </c>
      <c r="CI10" t="s">
        <v>1007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1015</v>
      </c>
      <c r="T11">
        <v>6</v>
      </c>
      <c r="U11" t="str">
        <f>dbExponentTitle</f>
        <v>Exponenciální vyrovnání</v>
      </c>
      <c r="V11">
        <v>6</v>
      </c>
      <c r="W11" t="str">
        <f>dbExponentTitle</f>
        <v>Exponenciální vyrovnání</v>
      </c>
      <c r="X11" t="s">
        <v>452</v>
      </c>
      <c r="Y11" s="1" t="s">
        <v>660</v>
      </c>
      <c r="AH11">
        <v>12</v>
      </c>
      <c r="AM11" t="s">
        <v>1016</v>
      </c>
      <c r="AP11">
        <v>13</v>
      </c>
      <c r="AQ11">
        <v>197</v>
      </c>
      <c r="AR11">
        <v>75</v>
      </c>
      <c r="AU11" t="s">
        <v>1017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1018</v>
      </c>
      <c r="BF11">
        <v>12</v>
      </c>
      <c r="BK11" t="s">
        <v>1016</v>
      </c>
      <c r="BN11">
        <v>12</v>
      </c>
      <c r="BS11" t="s">
        <v>1016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995</v>
      </c>
      <c r="CD11">
        <v>5</v>
      </c>
      <c r="CE11">
        <v>18</v>
      </c>
      <c r="CF11">
        <v>85</v>
      </c>
      <c r="CI11" t="s">
        <v>1019</v>
      </c>
      <c r="CL11">
        <v>12</v>
      </c>
      <c r="CM11">
        <v>18</v>
      </c>
      <c r="CN11">
        <v>82</v>
      </c>
      <c r="CQ11" t="s">
        <v>1020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1021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Dvouvýběrový F-test pro rozptyl</v>
      </c>
      <c r="V12">
        <v>7</v>
      </c>
      <c r="W12" t="str">
        <f>dbFTestTitle</f>
        <v>Dvouvýběrový F-test pro rozptyl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1015</v>
      </c>
      <c r="AN12" t="b">
        <v>0</v>
      </c>
      <c r="AP12">
        <v>113</v>
      </c>
      <c r="AQ12">
        <v>25</v>
      </c>
      <c r="AR12">
        <v>93</v>
      </c>
      <c r="AU12" t="s">
        <v>1022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1015</v>
      </c>
      <c r="BL12" t="b">
        <v>0</v>
      </c>
      <c r="BN12">
        <v>13</v>
      </c>
      <c r="BO12">
        <v>18</v>
      </c>
      <c r="BP12">
        <v>75</v>
      </c>
      <c r="BS12" t="s">
        <v>1015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1023</v>
      </c>
      <c r="CT12">
        <v>5</v>
      </c>
      <c r="CZ12" t="s">
        <v>332</v>
      </c>
    </row>
    <row r="13" spans="1:104" x14ac:dyDescent="0.25">
      <c r="A13" t="s">
        <v>333</v>
      </c>
      <c r="B13" t="s">
        <v>1024</v>
      </c>
      <c r="T13">
        <v>8</v>
      </c>
      <c r="U13" t="str">
        <f>dbFourierTitle</f>
        <v>Fourierova analýza</v>
      </c>
      <c r="V13">
        <v>8</v>
      </c>
      <c r="W13" t="str">
        <f>dbFourierTitle</f>
        <v>Fourierova analýza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1019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995</v>
      </c>
      <c r="BN13">
        <v>14</v>
      </c>
      <c r="BO13">
        <v>8</v>
      </c>
      <c r="BP13">
        <v>110</v>
      </c>
      <c r="BQ13">
        <v>385</v>
      </c>
      <c r="BR13">
        <v>170</v>
      </c>
      <c r="BS13" t="s">
        <v>995</v>
      </c>
      <c r="BV13">
        <v>5</v>
      </c>
      <c r="BW13">
        <v>17</v>
      </c>
      <c r="BX13">
        <v>99</v>
      </c>
      <c r="CA13" t="s">
        <v>1025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995</v>
      </c>
      <c r="CL13">
        <v>5</v>
      </c>
      <c r="CM13">
        <v>42</v>
      </c>
      <c r="CN13">
        <v>103</v>
      </c>
      <c r="CQ13" t="s">
        <v>1026</v>
      </c>
      <c r="CT13">
        <v>5</v>
      </c>
    </row>
    <row r="14" spans="1:104" x14ac:dyDescent="0.25">
      <c r="A14" t="s">
        <v>404</v>
      </c>
      <c r="B14" t="s">
        <v>1027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1028</v>
      </c>
      <c r="T15">
        <v>10</v>
      </c>
      <c r="U15" t="str">
        <f>dbMovingTitle</f>
        <v>Klouzavý průměr</v>
      </c>
      <c r="V15">
        <v>10</v>
      </c>
      <c r="W15" t="str">
        <f>dbMovingTitle</f>
        <v>Klouzavý průměr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995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995</v>
      </c>
      <c r="AX15">
        <v>24</v>
      </c>
      <c r="AY15">
        <v>418</v>
      </c>
      <c r="AZ15">
        <v>66</v>
      </c>
      <c r="BA15">
        <v>104</v>
      </c>
      <c r="BC15" t="s">
        <v>1029</v>
      </c>
      <c r="BF15">
        <v>12</v>
      </c>
      <c r="BG15">
        <v>20</v>
      </c>
      <c r="BH15">
        <v>120</v>
      </c>
      <c r="BK15" t="s">
        <v>1025</v>
      </c>
      <c r="BN15">
        <v>12</v>
      </c>
      <c r="BO15">
        <v>18</v>
      </c>
      <c r="BP15">
        <v>127</v>
      </c>
      <c r="BS15" t="s">
        <v>1025</v>
      </c>
      <c r="BV15">
        <v>205</v>
      </c>
      <c r="BW15">
        <v>17</v>
      </c>
      <c r="BX15">
        <v>119</v>
      </c>
      <c r="CA15" t="s">
        <v>1008</v>
      </c>
      <c r="CD15">
        <v>12</v>
      </c>
      <c r="CE15">
        <v>18</v>
      </c>
      <c r="CF15">
        <v>132</v>
      </c>
      <c r="CI15" t="s">
        <v>1025</v>
      </c>
      <c r="CL15">
        <v>5</v>
      </c>
      <c r="CM15">
        <v>42</v>
      </c>
      <c r="CN15">
        <v>146</v>
      </c>
      <c r="CQ15" t="s">
        <v>1030</v>
      </c>
      <c r="CT15">
        <v>5</v>
      </c>
    </row>
    <row r="16" spans="1:104" x14ac:dyDescent="0.25">
      <c r="A16" t="s">
        <v>526</v>
      </c>
      <c r="B16" t="s">
        <v>1031</v>
      </c>
      <c r="T16">
        <v>11</v>
      </c>
      <c r="U16" t="str">
        <f>dbRandomTitle</f>
        <v>Generátor pseudonáhodných čísel</v>
      </c>
      <c r="V16">
        <v>11</v>
      </c>
      <c r="W16" t="str">
        <f>dbRandomTitle</f>
        <v>Generátor pseudonáhodných čísel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1008</v>
      </c>
      <c r="BN16">
        <v>12</v>
      </c>
      <c r="BP16">
        <v>147</v>
      </c>
      <c r="BS16" t="s">
        <v>1008</v>
      </c>
      <c r="BV16">
        <v>206</v>
      </c>
      <c r="BW16">
        <v>220</v>
      </c>
      <c r="BX16">
        <v>119</v>
      </c>
      <c r="BY16">
        <v>160</v>
      </c>
      <c r="CD16">
        <v>12</v>
      </c>
      <c r="CF16">
        <v>152</v>
      </c>
      <c r="CI16" t="s">
        <v>1008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1032</v>
      </c>
      <c r="T17">
        <v>12</v>
      </c>
      <c r="U17" t="str">
        <f>dbRankPerTitle</f>
        <v>Pořadová statistika a percentily</v>
      </c>
      <c r="V17">
        <v>12</v>
      </c>
      <c r="W17" t="str">
        <f>dbRankPerTitle</f>
        <v>Pořadová statistika a percentily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1025</v>
      </c>
      <c r="AP17">
        <v>12</v>
      </c>
      <c r="AQ17">
        <v>24</v>
      </c>
      <c r="AR17">
        <v>142</v>
      </c>
      <c r="AU17" t="s">
        <v>1025</v>
      </c>
      <c r="BF17">
        <v>12</v>
      </c>
      <c r="BH17">
        <v>160</v>
      </c>
      <c r="BK17" t="s">
        <v>1013</v>
      </c>
      <c r="BN17">
        <v>12</v>
      </c>
      <c r="BP17">
        <v>167</v>
      </c>
      <c r="BS17" t="s">
        <v>1013</v>
      </c>
      <c r="BV17">
        <v>205</v>
      </c>
      <c r="BW17">
        <v>17</v>
      </c>
      <c r="BX17">
        <v>139</v>
      </c>
      <c r="CA17" t="s">
        <v>1013</v>
      </c>
      <c r="CD17">
        <v>12</v>
      </c>
      <c r="CF17">
        <v>172</v>
      </c>
      <c r="CI17" t="s">
        <v>1013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995</v>
      </c>
      <c r="CT17">
        <v>5</v>
      </c>
    </row>
    <row r="18" spans="1:104" x14ac:dyDescent="0.25">
      <c r="A18" t="s">
        <v>531</v>
      </c>
      <c r="B18" t="s">
        <v>1033</v>
      </c>
      <c r="T18">
        <v>13</v>
      </c>
      <c r="U18" t="str">
        <f>dbRegressionTitle</f>
        <v>Regrese</v>
      </c>
      <c r="V18">
        <v>13</v>
      </c>
      <c r="W18" t="str">
        <f>dbRegressionTitle</f>
        <v>Regrese</v>
      </c>
      <c r="X18" t="s">
        <v>448</v>
      </c>
      <c r="Y18" s="1" t="s">
        <v>657</v>
      </c>
      <c r="AH18">
        <v>12</v>
      </c>
      <c r="AJ18">
        <v>169</v>
      </c>
      <c r="AM18" t="s">
        <v>1008</v>
      </c>
      <c r="AP18">
        <v>12</v>
      </c>
      <c r="AR18">
        <v>162</v>
      </c>
      <c r="AU18" t="s">
        <v>1008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1034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1035</v>
      </c>
      <c r="T19">
        <v>14</v>
      </c>
      <c r="U19" t="str">
        <f>dbSamplingTitle</f>
        <v>Vzorkování</v>
      </c>
      <c r="V19">
        <v>14</v>
      </c>
      <c r="W19" t="str">
        <f>dbSamplingTitle</f>
        <v>Vzorkování</v>
      </c>
      <c r="X19" t="s">
        <v>585</v>
      </c>
      <c r="Y19" s="1" t="s">
        <v>662</v>
      </c>
      <c r="AH19">
        <v>12</v>
      </c>
      <c r="AJ19">
        <v>189</v>
      </c>
      <c r="AM19" t="s">
        <v>1013</v>
      </c>
      <c r="AP19">
        <v>12</v>
      </c>
      <c r="AR19">
        <v>182</v>
      </c>
      <c r="AU19" t="s">
        <v>1013</v>
      </c>
      <c r="BF19">
        <v>6</v>
      </c>
      <c r="BG19">
        <v>220</v>
      </c>
      <c r="BH19">
        <v>140</v>
      </c>
      <c r="BI19">
        <v>160</v>
      </c>
      <c r="BN19">
        <v>6</v>
      </c>
      <c r="BO19">
        <v>220</v>
      </c>
      <c r="BP19">
        <v>147</v>
      </c>
      <c r="BQ19">
        <v>160</v>
      </c>
      <c r="BV19">
        <v>13</v>
      </c>
      <c r="BW19">
        <v>220</v>
      </c>
      <c r="BX19">
        <v>161</v>
      </c>
      <c r="CA19" t="s">
        <v>1036</v>
      </c>
      <c r="CB19" t="b">
        <v>0</v>
      </c>
      <c r="CD19">
        <v>6</v>
      </c>
      <c r="CE19">
        <v>220</v>
      </c>
      <c r="CF19">
        <v>152</v>
      </c>
      <c r="CG19">
        <v>160</v>
      </c>
      <c r="CL19">
        <v>12</v>
      </c>
      <c r="CM19">
        <v>18</v>
      </c>
      <c r="CN19">
        <v>190</v>
      </c>
      <c r="CQ19" t="s">
        <v>1025</v>
      </c>
      <c r="CT19">
        <v>5</v>
      </c>
    </row>
    <row r="20" spans="1:104" x14ac:dyDescent="0.25">
      <c r="A20" t="s">
        <v>343</v>
      </c>
      <c r="B20" t="s">
        <v>1037</v>
      </c>
      <c r="T20">
        <v>15</v>
      </c>
      <c r="U20" t="str">
        <f>dbTTest1Title</f>
        <v>Dvouvýběrový párový t-test na střední hodnotu</v>
      </c>
      <c r="V20">
        <v>15</v>
      </c>
      <c r="W20" t="str">
        <f>dbTTest1Title</f>
        <v>Dvouvýběrový párový t-test na střední hodnotu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1038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1008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Dvouvýběrový t-test s rovností rozptylů</v>
      </c>
      <c r="V21">
        <v>16</v>
      </c>
      <c r="W21" t="str">
        <f>dbTTest2Title</f>
        <v>Dvouvýběrový t-test s rovností rozptylů</v>
      </c>
      <c r="X21" t="s">
        <v>445</v>
      </c>
      <c r="Y21" s="1" t="s">
        <v>672</v>
      </c>
      <c r="AH21">
        <v>6</v>
      </c>
      <c r="AI21">
        <v>223</v>
      </c>
      <c r="AJ21">
        <v>169</v>
      </c>
      <c r="AK21">
        <v>160</v>
      </c>
      <c r="AP21">
        <v>6</v>
      </c>
      <c r="AQ21">
        <v>234</v>
      </c>
      <c r="AR21">
        <v>162</v>
      </c>
      <c r="AS21">
        <v>160</v>
      </c>
      <c r="BN21">
        <v>113</v>
      </c>
      <c r="BO21">
        <v>18</v>
      </c>
      <c r="BP21">
        <v>211</v>
      </c>
      <c r="BS21" t="s">
        <v>1039</v>
      </c>
      <c r="BT21" t="b">
        <v>0</v>
      </c>
      <c r="CL21">
        <v>12</v>
      </c>
      <c r="CN21">
        <v>230</v>
      </c>
      <c r="CQ21" t="s">
        <v>1013</v>
      </c>
      <c r="CT21">
        <v>5</v>
      </c>
    </row>
    <row r="22" spans="1:104" x14ac:dyDescent="0.25">
      <c r="A22" t="s">
        <v>440</v>
      </c>
      <c r="B22" t="s">
        <v>984</v>
      </c>
      <c r="T22">
        <v>17</v>
      </c>
      <c r="U22" t="str">
        <f>dbTTest3Title</f>
        <v>Dvouvýběrový t-test s nerovností rozptylů</v>
      </c>
      <c r="V22">
        <v>17</v>
      </c>
      <c r="W22" t="str">
        <f>dbTTest3Title</f>
        <v>Dvouvýběrový t-test s nerovností rozptylů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1040</v>
      </c>
      <c r="BF22" t="s">
        <v>483</v>
      </c>
      <c r="BN22">
        <v>208</v>
      </c>
      <c r="BO22">
        <v>290</v>
      </c>
      <c r="BP22">
        <v>211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1041</v>
      </c>
    </row>
    <row r="23" spans="1:104" x14ac:dyDescent="0.25">
      <c r="A23" t="s">
        <v>443</v>
      </c>
      <c r="B23" t="s">
        <v>1042</v>
      </c>
      <c r="T23">
        <v>18</v>
      </c>
      <c r="U23" t="str">
        <f>dbZTestTitle</f>
        <v>Dvouvýběrový z-test na střední hodnotu</v>
      </c>
      <c r="V23">
        <v>18</v>
      </c>
      <c r="W23" t="str">
        <f>dbZTestTitle</f>
        <v>Dvouvýběrový z-test na střední hodnotu</v>
      </c>
      <c r="X23" t="s">
        <v>357</v>
      </c>
      <c r="Y23" s="1" t="s">
        <v>674</v>
      </c>
      <c r="AP23">
        <v>13</v>
      </c>
      <c r="AR23">
        <v>216</v>
      </c>
      <c r="AU23" t="s">
        <v>1043</v>
      </c>
      <c r="AV23" t="b">
        <v>0</v>
      </c>
      <c r="BF23" s="1" t="s">
        <v>666</v>
      </c>
      <c r="BI23">
        <v>523</v>
      </c>
      <c r="BJ23">
        <v>191</v>
      </c>
      <c r="BK23" t="s">
        <v>1044</v>
      </c>
      <c r="BL23">
        <v>5</v>
      </c>
      <c r="BN23">
        <v>5</v>
      </c>
      <c r="BO23">
        <v>350</v>
      </c>
      <c r="BP23">
        <v>215</v>
      </c>
      <c r="BS23" t="s">
        <v>521</v>
      </c>
      <c r="CL23">
        <v>6</v>
      </c>
      <c r="CM23">
        <v>220</v>
      </c>
      <c r="CN23">
        <v>210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1045</v>
      </c>
      <c r="X24" t="s">
        <v>551</v>
      </c>
      <c r="AP24">
        <v>13</v>
      </c>
      <c r="AR24">
        <v>231</v>
      </c>
      <c r="AU24" t="s">
        <v>1046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233</v>
      </c>
      <c r="BS24" t="s">
        <v>1047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1048</v>
      </c>
    </row>
    <row r="25" spans="1:104" x14ac:dyDescent="0.25">
      <c r="A25" t="s">
        <v>552</v>
      </c>
      <c r="B25" t="s">
        <v>1049</v>
      </c>
      <c r="X25" t="s">
        <v>554</v>
      </c>
      <c r="AH25" t="s">
        <v>614</v>
      </c>
      <c r="AP25">
        <v>13</v>
      </c>
      <c r="AQ25">
        <v>197</v>
      </c>
      <c r="AR25">
        <v>216</v>
      </c>
      <c r="AU25" t="s">
        <v>1050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992</v>
      </c>
      <c r="BN25">
        <v>207</v>
      </c>
      <c r="BO25">
        <v>217</v>
      </c>
      <c r="BP25">
        <v>232</v>
      </c>
      <c r="BQ25">
        <v>128</v>
      </c>
      <c r="BT25">
        <v>1</v>
      </c>
      <c r="CD25" s="1" t="s">
        <v>671</v>
      </c>
      <c r="CG25">
        <v>550</v>
      </c>
      <c r="CH25">
        <v>227</v>
      </c>
      <c r="CI25" t="s">
        <v>1051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1052</v>
      </c>
      <c r="X26" t="s">
        <v>376</v>
      </c>
      <c r="AH26" s="1" t="s">
        <v>664</v>
      </c>
      <c r="AK26">
        <v>509</v>
      </c>
      <c r="AL26">
        <v>187</v>
      </c>
      <c r="AM26" t="s">
        <v>1042</v>
      </c>
      <c r="AN26">
        <v>5</v>
      </c>
      <c r="AP26">
        <v>13</v>
      </c>
      <c r="AR26">
        <v>231</v>
      </c>
      <c r="AU26" t="s">
        <v>1053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994</v>
      </c>
      <c r="BN26">
        <v>113</v>
      </c>
      <c r="BO26">
        <v>18</v>
      </c>
      <c r="BP26">
        <v>255</v>
      </c>
      <c r="BS26" t="s">
        <v>1054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995</v>
      </c>
    </row>
    <row r="27" spans="1:104" x14ac:dyDescent="0.25">
      <c r="A27" t="s">
        <v>377</v>
      </c>
      <c r="B27" t="s">
        <v>1055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1056</v>
      </c>
      <c r="BF27">
        <v>5</v>
      </c>
      <c r="BG27">
        <v>18</v>
      </c>
      <c r="BH27">
        <v>19</v>
      </c>
      <c r="BK27" t="s">
        <v>997</v>
      </c>
      <c r="BN27">
        <v>207</v>
      </c>
      <c r="BO27">
        <v>217</v>
      </c>
      <c r="BP27">
        <v>253</v>
      </c>
      <c r="BQ27">
        <v>128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992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1057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992</v>
      </c>
      <c r="AP28">
        <v>13</v>
      </c>
      <c r="AR28">
        <v>270</v>
      </c>
      <c r="AU28" t="s">
        <v>1058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994</v>
      </c>
      <c r="CT28">
        <v>12</v>
      </c>
      <c r="CU28">
        <v>17</v>
      </c>
      <c r="CV28">
        <v>225</v>
      </c>
      <c r="CY28" t="s">
        <v>1025</v>
      </c>
    </row>
    <row r="29" spans="1:104" x14ac:dyDescent="0.25">
      <c r="A29" t="s">
        <v>383</v>
      </c>
      <c r="B29" t="s">
        <v>1059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994</v>
      </c>
      <c r="AP29">
        <v>24</v>
      </c>
      <c r="AQ29">
        <v>425</v>
      </c>
      <c r="AR29">
        <v>66</v>
      </c>
      <c r="AS29">
        <v>90</v>
      </c>
      <c r="BF29">
        <v>5</v>
      </c>
      <c r="BG29">
        <v>18</v>
      </c>
      <c r="BH29">
        <v>44</v>
      </c>
      <c r="BK29" t="s">
        <v>1002</v>
      </c>
      <c r="CD29">
        <v>5</v>
      </c>
      <c r="CE29">
        <v>17</v>
      </c>
      <c r="CF29">
        <v>18</v>
      </c>
      <c r="CI29" t="s">
        <v>999</v>
      </c>
      <c r="CT29">
        <v>12</v>
      </c>
      <c r="CV29">
        <v>245</v>
      </c>
      <c r="CY29" t="s">
        <v>1008</v>
      </c>
    </row>
    <row r="30" spans="1:104" x14ac:dyDescent="0.25">
      <c r="A30" t="s">
        <v>600</v>
      </c>
      <c r="B30" t="s">
        <v>1060</v>
      </c>
      <c r="X30" t="s">
        <v>332</v>
      </c>
      <c r="AH30">
        <v>5</v>
      </c>
      <c r="AI30">
        <v>20</v>
      </c>
      <c r="AJ30">
        <v>19</v>
      </c>
      <c r="AM30" t="s">
        <v>997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1013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1012</v>
      </c>
      <c r="CD31">
        <v>5</v>
      </c>
      <c r="CE31">
        <v>17</v>
      </c>
      <c r="CF31">
        <v>41</v>
      </c>
      <c r="CI31" t="s">
        <v>1006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1061</v>
      </c>
      <c r="AH32">
        <v>5</v>
      </c>
      <c r="AI32">
        <v>20</v>
      </c>
      <c r="AJ32">
        <v>45</v>
      </c>
      <c r="AM32" t="s">
        <v>1062</v>
      </c>
      <c r="BF32">
        <v>12</v>
      </c>
      <c r="BK32" t="s">
        <v>1016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245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1015</v>
      </c>
      <c r="BL33" t="b">
        <v>0</v>
      </c>
      <c r="CD33">
        <v>5</v>
      </c>
      <c r="CE33">
        <v>17</v>
      </c>
      <c r="CF33">
        <v>70</v>
      </c>
      <c r="CI33" t="s">
        <v>1063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1064</v>
      </c>
      <c r="AH34">
        <v>5</v>
      </c>
      <c r="AI34">
        <v>20</v>
      </c>
      <c r="AJ34">
        <v>68</v>
      </c>
      <c r="AM34" t="s">
        <v>1019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995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1007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995</v>
      </c>
      <c r="BF36">
        <v>12</v>
      </c>
      <c r="BG36">
        <v>18</v>
      </c>
      <c r="BH36">
        <v>120</v>
      </c>
      <c r="BK36" t="s">
        <v>1025</v>
      </c>
      <c r="CD36">
        <v>5</v>
      </c>
      <c r="CE36">
        <v>17</v>
      </c>
      <c r="CF36">
        <v>114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1065</v>
      </c>
      <c r="AH37">
        <v>111</v>
      </c>
      <c r="AN37">
        <v>2</v>
      </c>
      <c r="BF37">
        <v>12</v>
      </c>
      <c r="BH37">
        <v>140</v>
      </c>
      <c r="BK37" t="s">
        <v>1008</v>
      </c>
      <c r="CD37">
        <v>8</v>
      </c>
      <c r="CE37">
        <v>72</v>
      </c>
      <c r="CF37">
        <v>111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1066</v>
      </c>
      <c r="AH38">
        <v>12</v>
      </c>
      <c r="AI38">
        <v>20</v>
      </c>
      <c r="AJ38">
        <v>115</v>
      </c>
      <c r="AM38" t="s">
        <v>1025</v>
      </c>
      <c r="BF38">
        <v>12</v>
      </c>
      <c r="BH38">
        <v>160</v>
      </c>
      <c r="BK38" t="s">
        <v>1013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995</v>
      </c>
      <c r="CT38">
        <v>5</v>
      </c>
    </row>
    <row r="39" spans="1:104" x14ac:dyDescent="0.25">
      <c r="A39" t="s">
        <v>488</v>
      </c>
      <c r="B39" t="s">
        <v>1067</v>
      </c>
      <c r="AH39">
        <v>12</v>
      </c>
      <c r="AJ39">
        <v>135</v>
      </c>
      <c r="AM39" t="s">
        <v>1008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1068</v>
      </c>
      <c r="AH40">
        <v>12</v>
      </c>
      <c r="AJ40">
        <v>155</v>
      </c>
      <c r="AM40" t="s">
        <v>1069</v>
      </c>
      <c r="BF40">
        <v>6</v>
      </c>
      <c r="BG40">
        <v>220</v>
      </c>
      <c r="BH40">
        <v>140</v>
      </c>
      <c r="BI40">
        <v>160</v>
      </c>
      <c r="CD40">
        <v>12</v>
      </c>
      <c r="CE40">
        <v>17</v>
      </c>
      <c r="CF40">
        <v>156</v>
      </c>
      <c r="CI40" t="s">
        <v>1025</v>
      </c>
      <c r="CT40">
        <v>5</v>
      </c>
    </row>
    <row r="41" spans="1:104" x14ac:dyDescent="0.25">
      <c r="A41" t="s">
        <v>492</v>
      </c>
      <c r="B41" t="s">
        <v>1070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1008</v>
      </c>
      <c r="CT41">
        <v>5</v>
      </c>
    </row>
    <row r="42" spans="1:104" x14ac:dyDescent="0.25">
      <c r="A42" t="s">
        <v>494</v>
      </c>
      <c r="B42" t="s">
        <v>1052</v>
      </c>
      <c r="AH42">
        <v>6</v>
      </c>
      <c r="AI42">
        <v>218</v>
      </c>
      <c r="AJ42">
        <v>135</v>
      </c>
      <c r="AK42">
        <v>160</v>
      </c>
      <c r="CD42">
        <v>12</v>
      </c>
      <c r="CF42">
        <v>196</v>
      </c>
      <c r="CI42" t="s">
        <v>1013</v>
      </c>
      <c r="CT42">
        <v>5</v>
      </c>
    </row>
    <row r="43" spans="1:104" x14ac:dyDescent="0.25">
      <c r="A43" t="s">
        <v>496</v>
      </c>
      <c r="B43" t="s">
        <v>1071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1072</v>
      </c>
      <c r="BF44" s="1" t="s">
        <v>670</v>
      </c>
      <c r="BI44">
        <v>523</v>
      </c>
      <c r="BJ44">
        <v>191</v>
      </c>
      <c r="BK44" t="s">
        <v>1073</v>
      </c>
      <c r="BL44">
        <v>5</v>
      </c>
      <c r="CD44">
        <v>6</v>
      </c>
      <c r="CE44">
        <v>220</v>
      </c>
      <c r="CF44">
        <v>176</v>
      </c>
      <c r="CG44">
        <v>177</v>
      </c>
      <c r="CT44">
        <v>5</v>
      </c>
      <c r="CU44">
        <v>26</v>
      </c>
      <c r="CV44">
        <v>115</v>
      </c>
      <c r="CY44" t="s">
        <v>1074</v>
      </c>
    </row>
    <row r="45" spans="1:104" x14ac:dyDescent="0.25">
      <c r="A45" t="s">
        <v>422</v>
      </c>
      <c r="B45" t="s">
        <v>1075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76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1076</v>
      </c>
      <c r="BF46">
        <v>2</v>
      </c>
      <c r="BG46">
        <v>407</v>
      </c>
      <c r="BH46">
        <v>30</v>
      </c>
      <c r="BI46">
        <v>90</v>
      </c>
      <c r="BK46" t="s">
        <v>992</v>
      </c>
      <c r="CT46">
        <v>5</v>
      </c>
      <c r="CU46">
        <v>184</v>
      </c>
      <c r="CV46">
        <v>115</v>
      </c>
      <c r="CY46" t="s">
        <v>1077</v>
      </c>
    </row>
    <row r="47" spans="1:104" x14ac:dyDescent="0.25">
      <c r="A47" t="s">
        <v>427</v>
      </c>
      <c r="B47" t="s">
        <v>1078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994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1079</v>
      </c>
      <c r="AH48" s="1" t="s">
        <v>665</v>
      </c>
      <c r="AK48">
        <v>523</v>
      </c>
      <c r="AL48">
        <v>185</v>
      </c>
      <c r="AM48" t="s">
        <v>1045</v>
      </c>
      <c r="AN48">
        <v>5</v>
      </c>
      <c r="BF48">
        <v>5</v>
      </c>
      <c r="BG48">
        <v>18</v>
      </c>
      <c r="BH48">
        <v>19</v>
      </c>
      <c r="BK48" t="s">
        <v>997</v>
      </c>
    </row>
    <row r="49" spans="1:104" x14ac:dyDescent="0.25">
      <c r="A49" t="s">
        <v>431</v>
      </c>
      <c r="B49" t="s">
        <v>987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1080</v>
      </c>
      <c r="AH50">
        <v>2</v>
      </c>
      <c r="AI50">
        <v>407</v>
      </c>
      <c r="AJ50">
        <v>30</v>
      </c>
      <c r="AK50">
        <v>90</v>
      </c>
      <c r="AM50" t="s">
        <v>992</v>
      </c>
      <c r="BF50">
        <v>5</v>
      </c>
      <c r="BG50">
        <v>18</v>
      </c>
      <c r="BH50">
        <v>44</v>
      </c>
      <c r="BK50" t="s">
        <v>1002</v>
      </c>
      <c r="CD50" s="1" t="s">
        <v>672</v>
      </c>
      <c r="CG50">
        <v>550</v>
      </c>
      <c r="CH50">
        <v>227</v>
      </c>
      <c r="CI50" t="s">
        <v>1081</v>
      </c>
      <c r="CJ50">
        <v>5</v>
      </c>
      <c r="CT50">
        <v>5</v>
      </c>
      <c r="CU50">
        <v>26</v>
      </c>
      <c r="CV50">
        <v>103</v>
      </c>
      <c r="CY50" t="s">
        <v>1074</v>
      </c>
      <c r="CZ50" t="s">
        <v>599</v>
      </c>
    </row>
    <row r="51" spans="1:104" x14ac:dyDescent="0.25">
      <c r="A51" t="s">
        <v>439</v>
      </c>
      <c r="B51" t="s">
        <v>1082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994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60</v>
      </c>
      <c r="CV51">
        <v>100</v>
      </c>
      <c r="CW51">
        <v>60</v>
      </c>
    </row>
    <row r="52" spans="1:104" x14ac:dyDescent="0.25">
      <c r="A52" t="s">
        <v>419</v>
      </c>
      <c r="B52" t="s">
        <v>1083</v>
      </c>
      <c r="AH52">
        <v>5</v>
      </c>
      <c r="AI52">
        <v>18</v>
      </c>
      <c r="AJ52">
        <v>19</v>
      </c>
      <c r="AM52" t="s">
        <v>997</v>
      </c>
      <c r="BF52">
        <v>12</v>
      </c>
      <c r="BG52">
        <v>220</v>
      </c>
      <c r="BH52">
        <v>40</v>
      </c>
      <c r="BK52" t="s">
        <v>1012</v>
      </c>
      <c r="CD52">
        <v>2</v>
      </c>
      <c r="CE52">
        <v>440</v>
      </c>
      <c r="CF52">
        <v>30</v>
      </c>
      <c r="CG52">
        <v>90</v>
      </c>
      <c r="CI52" t="s">
        <v>992</v>
      </c>
      <c r="CT52">
        <v>5</v>
      </c>
      <c r="CU52">
        <v>130</v>
      </c>
      <c r="CV52">
        <v>103</v>
      </c>
      <c r="CY52" t="s">
        <v>1077</v>
      </c>
    </row>
    <row r="53" spans="1:104" x14ac:dyDescent="0.25">
      <c r="A53" t="s">
        <v>338</v>
      </c>
      <c r="B53" t="s">
        <v>1084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1016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994</v>
      </c>
      <c r="CT53">
        <v>8</v>
      </c>
      <c r="CU53">
        <v>164</v>
      </c>
      <c r="CV53">
        <v>100</v>
      </c>
      <c r="CW53">
        <v>60</v>
      </c>
    </row>
    <row r="54" spans="1:104" x14ac:dyDescent="0.25">
      <c r="A54" t="s">
        <v>340</v>
      </c>
      <c r="B54" t="s">
        <v>1085</v>
      </c>
      <c r="AH54">
        <v>13</v>
      </c>
      <c r="AI54">
        <v>19</v>
      </c>
      <c r="AJ54">
        <v>41</v>
      </c>
      <c r="AM54" t="s">
        <v>1007</v>
      </c>
      <c r="AN54" t="b">
        <v>0</v>
      </c>
      <c r="BF54">
        <v>13</v>
      </c>
      <c r="BG54">
        <v>18</v>
      </c>
      <c r="BH54">
        <v>75</v>
      </c>
      <c r="BK54" t="s">
        <v>1015</v>
      </c>
      <c r="BL54" t="b">
        <v>0</v>
      </c>
      <c r="CD54">
        <v>5</v>
      </c>
      <c r="CE54">
        <v>17</v>
      </c>
      <c r="CF54">
        <v>18</v>
      </c>
      <c r="CI54" t="s">
        <v>999</v>
      </c>
      <c r="CT54">
        <v>5</v>
      </c>
      <c r="CU54">
        <v>280</v>
      </c>
      <c r="CV54">
        <v>103</v>
      </c>
      <c r="CY54" t="s">
        <v>1086</v>
      </c>
    </row>
    <row r="55" spans="1:104" x14ac:dyDescent="0.25">
      <c r="A55" t="s">
        <v>177</v>
      </c>
      <c r="B55" t="s">
        <v>1087</v>
      </c>
      <c r="AH55">
        <v>5</v>
      </c>
      <c r="AI55">
        <v>20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995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320</v>
      </c>
      <c r="CV55">
        <v>100</v>
      </c>
      <c r="CW55">
        <v>60</v>
      </c>
    </row>
    <row r="56" spans="1:104" x14ac:dyDescent="0.25">
      <c r="A56" t="s">
        <v>179</v>
      </c>
      <c r="B56" t="s">
        <v>1088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1006</v>
      </c>
      <c r="CT56">
        <v>5</v>
      </c>
      <c r="CU56">
        <v>26</v>
      </c>
      <c r="CV56">
        <v>131</v>
      </c>
      <c r="CY56" t="s">
        <v>1089</v>
      </c>
    </row>
    <row r="57" spans="1:104" x14ac:dyDescent="0.25">
      <c r="A57" t="s">
        <v>557</v>
      </c>
      <c r="B57" t="s">
        <v>1090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995</v>
      </c>
      <c r="BF57">
        <v>12</v>
      </c>
      <c r="BG57">
        <v>18</v>
      </c>
      <c r="BH57">
        <v>120</v>
      </c>
      <c r="BK57" t="s">
        <v>1025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220</v>
      </c>
      <c r="CV57">
        <v>129</v>
      </c>
      <c r="CW57">
        <v>60</v>
      </c>
    </row>
    <row r="58" spans="1:104" x14ac:dyDescent="0.25">
      <c r="A58" t="s">
        <v>559</v>
      </c>
      <c r="B58" t="s">
        <v>1091</v>
      </c>
      <c r="AH58">
        <v>111</v>
      </c>
      <c r="AN58">
        <v>2</v>
      </c>
      <c r="BF58">
        <v>12</v>
      </c>
      <c r="BH58">
        <v>140</v>
      </c>
      <c r="BK58" t="s">
        <v>1008</v>
      </c>
      <c r="CD58">
        <v>5</v>
      </c>
      <c r="CE58">
        <v>17</v>
      </c>
      <c r="CF58">
        <v>70</v>
      </c>
      <c r="CI58" t="s">
        <v>1063</v>
      </c>
      <c r="CT58">
        <v>5</v>
      </c>
      <c r="CU58">
        <v>288</v>
      </c>
      <c r="CV58">
        <v>131</v>
      </c>
      <c r="CY58" t="s">
        <v>1092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1025</v>
      </c>
      <c r="BF59">
        <v>12</v>
      </c>
      <c r="BH59">
        <v>160</v>
      </c>
      <c r="BK59" t="s">
        <v>1013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26</v>
      </c>
      <c r="CV59">
        <v>153</v>
      </c>
      <c r="CY59" t="s">
        <v>1093</v>
      </c>
    </row>
    <row r="60" spans="1:104" x14ac:dyDescent="0.25">
      <c r="A60" t="s">
        <v>564</v>
      </c>
      <c r="B60" t="s">
        <v>565</v>
      </c>
      <c r="AH60">
        <v>12</v>
      </c>
      <c r="AJ60">
        <v>126</v>
      </c>
      <c r="AM60" t="s">
        <v>1008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1007</v>
      </c>
      <c r="CJ60" t="b">
        <v>0</v>
      </c>
      <c r="CT60">
        <v>7</v>
      </c>
      <c r="CU60">
        <v>220</v>
      </c>
      <c r="CV60">
        <v>151</v>
      </c>
      <c r="CW60">
        <v>60</v>
      </c>
    </row>
    <row r="61" spans="1:104" x14ac:dyDescent="0.25">
      <c r="A61" t="s">
        <v>566</v>
      </c>
      <c r="B61" t="s">
        <v>1094</v>
      </c>
      <c r="AH61">
        <v>12</v>
      </c>
      <c r="AJ61">
        <v>147</v>
      </c>
      <c r="AM61" t="s">
        <v>1069</v>
      </c>
      <c r="BF61">
        <v>6</v>
      </c>
      <c r="BG61">
        <v>220</v>
      </c>
      <c r="BH61">
        <v>140</v>
      </c>
      <c r="BI61">
        <v>160</v>
      </c>
      <c r="CD61">
        <v>5</v>
      </c>
      <c r="CE61">
        <v>17</v>
      </c>
      <c r="CF61">
        <v>114</v>
      </c>
      <c r="CI61" t="s">
        <v>1019</v>
      </c>
      <c r="CT61">
        <v>5</v>
      </c>
      <c r="CU61">
        <v>288</v>
      </c>
      <c r="CV61">
        <v>153</v>
      </c>
      <c r="CY61" t="s">
        <v>1092</v>
      </c>
    </row>
    <row r="62" spans="1:104" x14ac:dyDescent="0.25">
      <c r="A62" t="s">
        <v>568</v>
      </c>
      <c r="B62" t="s">
        <v>1095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111</v>
      </c>
      <c r="CG62">
        <v>63</v>
      </c>
      <c r="CJ62">
        <v>0.05</v>
      </c>
    </row>
    <row r="63" spans="1:104" x14ac:dyDescent="0.25">
      <c r="A63" t="s">
        <v>570</v>
      </c>
      <c r="B63" t="s">
        <v>1096</v>
      </c>
      <c r="AH63">
        <v>6</v>
      </c>
      <c r="AI63">
        <v>222</v>
      </c>
      <c r="AJ63">
        <v>126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995</v>
      </c>
      <c r="CT63" t="s">
        <v>554</v>
      </c>
    </row>
    <row r="64" spans="1:104" x14ac:dyDescent="0.25">
      <c r="A64" t="s">
        <v>572</v>
      </c>
      <c r="B64" t="s">
        <v>986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1044</v>
      </c>
      <c r="CD65">
        <v>12</v>
      </c>
      <c r="CE65">
        <v>17</v>
      </c>
      <c r="CF65">
        <v>156</v>
      </c>
      <c r="CI65" t="s">
        <v>1025</v>
      </c>
      <c r="CT65">
        <v>5</v>
      </c>
    </row>
    <row r="66" spans="1:104" x14ac:dyDescent="0.25">
      <c r="A66" t="s">
        <v>194</v>
      </c>
      <c r="B66" t="s">
        <v>1097</v>
      </c>
      <c r="BF66" t="s">
        <v>334</v>
      </c>
      <c r="CD66">
        <v>12</v>
      </c>
      <c r="CF66">
        <v>176</v>
      </c>
      <c r="CI66" t="s">
        <v>1008</v>
      </c>
      <c r="CT66">
        <v>5</v>
      </c>
    </row>
    <row r="67" spans="1:104" x14ac:dyDescent="0.25">
      <c r="A67" t="s">
        <v>195</v>
      </c>
      <c r="B67" t="s">
        <v>1098</v>
      </c>
      <c r="BF67" s="1" t="s">
        <v>667</v>
      </c>
      <c r="BI67">
        <v>523</v>
      </c>
      <c r="BJ67">
        <v>181</v>
      </c>
      <c r="BK67" t="s">
        <v>1099</v>
      </c>
      <c r="BL67">
        <v>5</v>
      </c>
      <c r="CD67">
        <v>12</v>
      </c>
      <c r="CF67">
        <v>196</v>
      </c>
      <c r="CI67" t="s">
        <v>1013</v>
      </c>
      <c r="CT67">
        <v>5</v>
      </c>
    </row>
    <row r="68" spans="1:104" x14ac:dyDescent="0.25">
      <c r="A68" t="s">
        <v>576</v>
      </c>
      <c r="B68" t="s">
        <v>1100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1101</v>
      </c>
      <c r="AH69" s="1" t="s">
        <v>669</v>
      </c>
      <c r="AK69">
        <v>523</v>
      </c>
      <c r="AL69">
        <v>205</v>
      </c>
      <c r="AM69" t="s">
        <v>1098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992</v>
      </c>
      <c r="CD69">
        <v>6</v>
      </c>
      <c r="CE69">
        <v>220</v>
      </c>
      <c r="CF69">
        <v>176</v>
      </c>
      <c r="CG69">
        <v>177</v>
      </c>
      <c r="CT69">
        <v>5</v>
      </c>
    </row>
    <row r="70" spans="1:104" x14ac:dyDescent="0.25">
      <c r="A70" t="s">
        <v>580</v>
      </c>
      <c r="B70" t="s">
        <v>1102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994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1103</v>
      </c>
      <c r="AH71">
        <v>2</v>
      </c>
      <c r="AI71">
        <v>407</v>
      </c>
      <c r="AJ71">
        <v>30</v>
      </c>
      <c r="AK71">
        <v>90</v>
      </c>
      <c r="AM71" t="s">
        <v>992</v>
      </c>
      <c r="BF71">
        <v>5</v>
      </c>
      <c r="BG71">
        <v>18</v>
      </c>
      <c r="BH71">
        <v>19</v>
      </c>
      <c r="BK71" t="s">
        <v>997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994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26</v>
      </c>
      <c r="CV72">
        <v>112</v>
      </c>
      <c r="CY72" t="s">
        <v>1104</v>
      </c>
    </row>
    <row r="73" spans="1:104" x14ac:dyDescent="0.25">
      <c r="A73" t="s">
        <v>203</v>
      </c>
      <c r="B73" t="s">
        <v>1105</v>
      </c>
      <c r="AH73">
        <v>5</v>
      </c>
      <c r="AI73">
        <v>18</v>
      </c>
      <c r="AJ73">
        <v>19</v>
      </c>
      <c r="AM73" t="s">
        <v>997</v>
      </c>
      <c r="BF73">
        <v>13</v>
      </c>
      <c r="BG73">
        <v>18</v>
      </c>
      <c r="BH73">
        <v>40</v>
      </c>
      <c r="BK73" t="s">
        <v>1015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1106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995</v>
      </c>
      <c r="CD74" t="s">
        <v>441</v>
      </c>
      <c r="CT74">
        <v>5</v>
      </c>
      <c r="CU74">
        <v>26</v>
      </c>
      <c r="CV74">
        <v>135</v>
      </c>
      <c r="CY74" t="s">
        <v>1107</v>
      </c>
    </row>
    <row r="75" spans="1:104" x14ac:dyDescent="0.25">
      <c r="A75" t="s">
        <v>207</v>
      </c>
      <c r="B75" t="s">
        <v>1108</v>
      </c>
      <c r="AH75">
        <v>13</v>
      </c>
      <c r="AI75">
        <v>18</v>
      </c>
      <c r="AJ75">
        <v>41</v>
      </c>
      <c r="AM75" t="s">
        <v>1015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1109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1110</v>
      </c>
      <c r="AH76">
        <v>5</v>
      </c>
      <c r="AI76">
        <v>18</v>
      </c>
      <c r="AJ76">
        <v>69</v>
      </c>
      <c r="AM76" t="s">
        <v>500</v>
      </c>
      <c r="BF76">
        <v>12</v>
      </c>
      <c r="BG76">
        <v>18</v>
      </c>
      <c r="BH76">
        <v>86</v>
      </c>
      <c r="BK76" t="s">
        <v>1025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1008</v>
      </c>
      <c r="CD77">
        <v>2</v>
      </c>
      <c r="CE77">
        <v>440</v>
      </c>
      <c r="CF77">
        <v>30</v>
      </c>
      <c r="CG77">
        <v>90</v>
      </c>
      <c r="CI77" t="s">
        <v>992</v>
      </c>
      <c r="CT77" t="s">
        <v>376</v>
      </c>
    </row>
    <row r="78" spans="1:104" x14ac:dyDescent="0.25">
      <c r="A78" t="s">
        <v>219</v>
      </c>
      <c r="B78" t="s">
        <v>989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995</v>
      </c>
      <c r="BF78">
        <v>12</v>
      </c>
      <c r="BH78">
        <v>126</v>
      </c>
      <c r="BK78" t="s">
        <v>1013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994</v>
      </c>
      <c r="CT78">
        <v>5</v>
      </c>
      <c r="CZ78" t="s">
        <v>376</v>
      </c>
    </row>
    <row r="79" spans="1:104" x14ac:dyDescent="0.25">
      <c r="A79" t="s">
        <v>220</v>
      </c>
      <c r="B79" t="s">
        <v>1081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999</v>
      </c>
      <c r="CT79">
        <v>5</v>
      </c>
    </row>
    <row r="80" spans="1:104" x14ac:dyDescent="0.25">
      <c r="A80" t="s">
        <v>221</v>
      </c>
      <c r="B80" t="s">
        <v>1051</v>
      </c>
      <c r="AH80">
        <v>5</v>
      </c>
      <c r="AI80">
        <v>18</v>
      </c>
      <c r="AJ80">
        <v>112</v>
      </c>
      <c r="AM80" t="s">
        <v>1025</v>
      </c>
      <c r="BF80">
        <v>6</v>
      </c>
      <c r="BG80">
        <v>220</v>
      </c>
      <c r="BH80">
        <v>106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1109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1111</v>
      </c>
      <c r="BL81" t="b">
        <v>0</v>
      </c>
      <c r="CD81">
        <v>5</v>
      </c>
      <c r="CE81">
        <v>17</v>
      </c>
      <c r="CF81">
        <v>41</v>
      </c>
      <c r="CI81" t="s">
        <v>1006</v>
      </c>
      <c r="CT81">
        <v>5</v>
      </c>
    </row>
    <row r="82" spans="1:104" x14ac:dyDescent="0.25">
      <c r="A82" t="s">
        <v>606</v>
      </c>
      <c r="B82" t="s">
        <v>1112</v>
      </c>
      <c r="AH82">
        <v>205</v>
      </c>
      <c r="AI82">
        <v>18</v>
      </c>
      <c r="AJ82">
        <v>132</v>
      </c>
      <c r="AM82" t="s">
        <v>1008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1113</v>
      </c>
      <c r="AH83">
        <v>206</v>
      </c>
      <c r="AI83">
        <v>222</v>
      </c>
      <c r="AJ83">
        <v>132</v>
      </c>
      <c r="AK83">
        <v>160</v>
      </c>
      <c r="CD83">
        <v>5</v>
      </c>
      <c r="CE83">
        <v>17</v>
      </c>
      <c r="CF83">
        <v>68</v>
      </c>
      <c r="CI83" t="s">
        <v>1063</v>
      </c>
      <c r="CT83">
        <v>5</v>
      </c>
    </row>
    <row r="84" spans="1:104" x14ac:dyDescent="0.25">
      <c r="A84" t="s">
        <v>303</v>
      </c>
      <c r="B84" t="s">
        <v>1114</v>
      </c>
      <c r="AH84">
        <v>205</v>
      </c>
      <c r="AI84">
        <v>18</v>
      </c>
      <c r="AJ84">
        <v>152</v>
      </c>
      <c r="AM84" t="s">
        <v>1069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1115</v>
      </c>
      <c r="AH85">
        <v>13</v>
      </c>
      <c r="AI85">
        <v>18</v>
      </c>
      <c r="AJ85">
        <v>175</v>
      </c>
      <c r="AM85" t="s">
        <v>1034</v>
      </c>
      <c r="AN85" t="b">
        <v>0</v>
      </c>
      <c r="CD85">
        <v>13</v>
      </c>
      <c r="CE85">
        <v>18</v>
      </c>
      <c r="CF85">
        <v>87</v>
      </c>
      <c r="CI85" t="s">
        <v>1007</v>
      </c>
      <c r="CJ85" t="b">
        <v>0</v>
      </c>
      <c r="CT85">
        <v>5</v>
      </c>
    </row>
    <row r="86" spans="1:104" x14ac:dyDescent="0.25">
      <c r="A86" t="s">
        <v>228</v>
      </c>
      <c r="B86" t="s">
        <v>1116</v>
      </c>
      <c r="AH86">
        <v>13</v>
      </c>
      <c r="AI86">
        <v>222</v>
      </c>
      <c r="AJ86">
        <v>175</v>
      </c>
      <c r="AM86" t="s">
        <v>1036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109</v>
      </c>
      <c r="CI86" t="s">
        <v>1019</v>
      </c>
      <c r="CT86">
        <v>5</v>
      </c>
    </row>
    <row r="87" spans="1:104" x14ac:dyDescent="0.25">
      <c r="A87" t="s">
        <v>231</v>
      </c>
      <c r="B87" t="s">
        <v>1117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106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1118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995</v>
      </c>
      <c r="CT88">
        <v>5</v>
      </c>
      <c r="CU88">
        <v>26</v>
      </c>
      <c r="CV88">
        <v>108</v>
      </c>
      <c r="CY88" t="s">
        <v>1119</v>
      </c>
    </row>
    <row r="89" spans="1:104" x14ac:dyDescent="0.25">
      <c r="A89" t="s">
        <v>299</v>
      </c>
      <c r="B89" t="s">
        <v>1120</v>
      </c>
      <c r="BF89">
        <v>2</v>
      </c>
      <c r="BG89">
        <v>407</v>
      </c>
      <c r="BH89">
        <v>30</v>
      </c>
      <c r="BI89">
        <v>90</v>
      </c>
      <c r="BK89" t="s">
        <v>992</v>
      </c>
      <c r="CD89">
        <v>111</v>
      </c>
      <c r="CJ89">
        <v>2</v>
      </c>
      <c r="CT89">
        <v>8</v>
      </c>
      <c r="CU89">
        <v>244</v>
      </c>
      <c r="CV89">
        <v>105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994</v>
      </c>
      <c r="CD90">
        <v>12</v>
      </c>
      <c r="CE90">
        <v>17</v>
      </c>
      <c r="CF90">
        <v>152</v>
      </c>
      <c r="CI90" t="s">
        <v>1025</v>
      </c>
    </row>
    <row r="91" spans="1:104" x14ac:dyDescent="0.25">
      <c r="A91" t="s">
        <v>237</v>
      </c>
      <c r="B91" t="s">
        <v>1121</v>
      </c>
      <c r="BF91">
        <v>5</v>
      </c>
      <c r="BG91">
        <v>18</v>
      </c>
      <c r="BH91">
        <v>19</v>
      </c>
      <c r="BK91" t="s">
        <v>997</v>
      </c>
      <c r="CD91">
        <v>12</v>
      </c>
      <c r="CF91">
        <v>172</v>
      </c>
      <c r="CI91" t="s">
        <v>1008</v>
      </c>
      <c r="CT91" t="s">
        <v>379</v>
      </c>
    </row>
    <row r="92" spans="1:104" x14ac:dyDescent="0.25">
      <c r="A92" t="s">
        <v>239</v>
      </c>
      <c r="B92" t="s">
        <v>1122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1013</v>
      </c>
      <c r="CT92">
        <v>5</v>
      </c>
      <c r="CZ92" t="s">
        <v>379</v>
      </c>
    </row>
    <row r="93" spans="1:104" x14ac:dyDescent="0.25">
      <c r="A93" t="s">
        <v>485</v>
      </c>
      <c r="B93" t="s">
        <v>1123</v>
      </c>
      <c r="BF93">
        <v>5</v>
      </c>
      <c r="BG93">
        <v>18</v>
      </c>
      <c r="BH93">
        <v>43</v>
      </c>
      <c r="BK93" t="s">
        <v>1124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1125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1126</v>
      </c>
      <c r="BF95">
        <v>13</v>
      </c>
      <c r="BG95">
        <v>18</v>
      </c>
      <c r="BH95">
        <v>66</v>
      </c>
      <c r="BK95" t="s">
        <v>1007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1127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995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1128</v>
      </c>
      <c r="BF98">
        <v>12</v>
      </c>
      <c r="BG98">
        <v>18</v>
      </c>
      <c r="BH98">
        <v>112</v>
      </c>
      <c r="BK98" t="s">
        <v>1025</v>
      </c>
      <c r="CT98">
        <v>5</v>
      </c>
    </row>
    <row r="99" spans="1:104" x14ac:dyDescent="0.25">
      <c r="A99" t="s">
        <v>252</v>
      </c>
      <c r="B99" t="s">
        <v>1129</v>
      </c>
      <c r="BF99">
        <v>12</v>
      </c>
      <c r="BH99">
        <v>132</v>
      </c>
      <c r="BK99" t="s">
        <v>1008</v>
      </c>
      <c r="CD99" t="s">
        <v>357</v>
      </c>
      <c r="CT99">
        <v>5</v>
      </c>
    </row>
    <row r="100" spans="1:104" x14ac:dyDescent="0.25">
      <c r="A100" t="s">
        <v>511</v>
      </c>
      <c r="B100" t="s">
        <v>1130</v>
      </c>
      <c r="BF100">
        <v>12</v>
      </c>
      <c r="BH100">
        <v>152</v>
      </c>
      <c r="BK100" t="s">
        <v>1013</v>
      </c>
      <c r="CD100" s="1" t="s">
        <v>674</v>
      </c>
      <c r="CG100">
        <v>577</v>
      </c>
      <c r="CH100">
        <v>281</v>
      </c>
      <c r="CI100" t="s">
        <v>1126</v>
      </c>
      <c r="CJ100">
        <v>5</v>
      </c>
      <c r="CT100">
        <v>5</v>
      </c>
      <c r="CU100">
        <v>26</v>
      </c>
      <c r="CV100">
        <v>131</v>
      </c>
      <c r="CY100" t="s">
        <v>1131</v>
      </c>
    </row>
    <row r="101" spans="1:104" x14ac:dyDescent="0.25">
      <c r="A101" t="s">
        <v>513</v>
      </c>
      <c r="B101" t="s">
        <v>1132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244</v>
      </c>
      <c r="CV101">
        <v>128</v>
      </c>
      <c r="CW101">
        <v>60</v>
      </c>
    </row>
    <row r="102" spans="1:104" x14ac:dyDescent="0.25">
      <c r="A102" t="s">
        <v>515</v>
      </c>
      <c r="B102" t="s">
        <v>1073</v>
      </c>
      <c r="BF102">
        <v>6</v>
      </c>
      <c r="BG102">
        <v>220</v>
      </c>
      <c r="BH102">
        <v>132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992</v>
      </c>
      <c r="CT102">
        <v>5</v>
      </c>
      <c r="CU102">
        <v>26</v>
      </c>
      <c r="CV102">
        <v>108</v>
      </c>
      <c r="CY102" t="s">
        <v>1119</v>
      </c>
    </row>
    <row r="103" spans="1:104" x14ac:dyDescent="0.25">
      <c r="A103" t="s">
        <v>516</v>
      </c>
      <c r="B103" t="s">
        <v>1133</v>
      </c>
      <c r="BF103">
        <v>13</v>
      </c>
      <c r="BG103">
        <v>18</v>
      </c>
      <c r="BH103">
        <v>174</v>
      </c>
      <c r="BK103" t="s">
        <v>1134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994</v>
      </c>
      <c r="CT103">
        <v>8</v>
      </c>
      <c r="CU103">
        <v>244</v>
      </c>
      <c r="CV103">
        <v>105</v>
      </c>
      <c r="CW103">
        <v>60</v>
      </c>
    </row>
    <row r="104" spans="1:104" x14ac:dyDescent="0.25">
      <c r="A104" t="s">
        <v>519</v>
      </c>
      <c r="B104" t="s">
        <v>1135</v>
      </c>
      <c r="BF104">
        <v>13</v>
      </c>
      <c r="BK104" t="s">
        <v>1136</v>
      </c>
      <c r="BL104" t="b">
        <v>0</v>
      </c>
      <c r="CD104">
        <v>5</v>
      </c>
      <c r="CE104">
        <v>17</v>
      </c>
      <c r="CF104">
        <v>18</v>
      </c>
      <c r="CI104" t="s">
        <v>999</v>
      </c>
    </row>
    <row r="105" spans="1:104" x14ac:dyDescent="0.25">
      <c r="A105" t="s">
        <v>534</v>
      </c>
      <c r="B105" t="s">
        <v>1137</v>
      </c>
      <c r="BF105">
        <v>13</v>
      </c>
      <c r="BK105" t="s">
        <v>1034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1138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1006</v>
      </c>
      <c r="CT106">
        <v>5</v>
      </c>
      <c r="CZ106" t="s">
        <v>382</v>
      </c>
    </row>
    <row r="107" spans="1:104" x14ac:dyDescent="0.25">
      <c r="A107" t="s">
        <v>538</v>
      </c>
      <c r="B107" t="s">
        <v>991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1139</v>
      </c>
      <c r="CD108">
        <v>5</v>
      </c>
      <c r="CE108">
        <v>17</v>
      </c>
      <c r="CF108">
        <v>69</v>
      </c>
      <c r="CI108" t="s">
        <v>1063</v>
      </c>
      <c r="CT108">
        <v>5</v>
      </c>
    </row>
    <row r="109" spans="1:104" x14ac:dyDescent="0.25">
      <c r="A109" t="s">
        <v>60</v>
      </c>
      <c r="B109" t="s">
        <v>1140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1141</v>
      </c>
      <c r="CD110">
        <v>5</v>
      </c>
      <c r="CE110">
        <v>17</v>
      </c>
      <c r="CF110">
        <v>95</v>
      </c>
      <c r="CI110" t="s">
        <v>1142</v>
      </c>
      <c r="CT110">
        <v>5</v>
      </c>
    </row>
    <row r="111" spans="1:104" x14ac:dyDescent="0.25">
      <c r="A111" t="s">
        <v>434</v>
      </c>
      <c r="B111" t="s">
        <v>1143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1144</v>
      </c>
      <c r="CD112">
        <v>5</v>
      </c>
      <c r="CE112">
        <v>17</v>
      </c>
      <c r="CF112">
        <v>119</v>
      </c>
      <c r="CI112" t="s">
        <v>1145</v>
      </c>
      <c r="CT112">
        <v>5</v>
      </c>
    </row>
    <row r="113" spans="1:104" x14ac:dyDescent="0.25">
      <c r="A113" t="s">
        <v>539</v>
      </c>
      <c r="B113" t="s">
        <v>1146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1147</v>
      </c>
      <c r="CD114">
        <v>13</v>
      </c>
      <c r="CE114">
        <v>17</v>
      </c>
      <c r="CF114">
        <v>143</v>
      </c>
      <c r="CI114" t="s">
        <v>1007</v>
      </c>
      <c r="CJ114" t="b">
        <v>0</v>
      </c>
      <c r="CT114">
        <v>5</v>
      </c>
    </row>
    <row r="115" spans="1:104" x14ac:dyDescent="0.25">
      <c r="A115" t="s">
        <v>543</v>
      </c>
      <c r="B115" t="s">
        <v>985</v>
      </c>
      <c r="CD115">
        <v>5</v>
      </c>
      <c r="CE115">
        <v>17</v>
      </c>
      <c r="CF115">
        <v>168</v>
      </c>
      <c r="CI115" t="s">
        <v>1019</v>
      </c>
      <c r="CT115">
        <v>5</v>
      </c>
    </row>
    <row r="116" spans="1:104" x14ac:dyDescent="0.25">
      <c r="A116" t="s">
        <v>544</v>
      </c>
      <c r="B116" t="s">
        <v>1148</v>
      </c>
      <c r="CD116">
        <v>8</v>
      </c>
      <c r="CE116">
        <v>72</v>
      </c>
      <c r="CF116">
        <v>165</v>
      </c>
      <c r="CG116">
        <v>63</v>
      </c>
      <c r="CJ116">
        <v>0.05</v>
      </c>
      <c r="CT116">
        <v>5</v>
      </c>
      <c r="CU116">
        <v>26</v>
      </c>
      <c r="CV116">
        <v>107</v>
      </c>
      <c r="CY116" t="s">
        <v>1149</v>
      </c>
    </row>
    <row r="117" spans="1:104" x14ac:dyDescent="0.25">
      <c r="A117" t="s">
        <v>547</v>
      </c>
      <c r="B117" t="s">
        <v>1112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995</v>
      </c>
      <c r="CT117">
        <v>8</v>
      </c>
      <c r="CU117">
        <v>128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1150</v>
      </c>
      <c r="CD118">
        <v>111</v>
      </c>
      <c r="CJ118">
        <v>2</v>
      </c>
    </row>
    <row r="119" spans="1:104" x14ac:dyDescent="0.25">
      <c r="A119" t="s">
        <v>562</v>
      </c>
      <c r="B119" t="s">
        <v>1151</v>
      </c>
      <c r="CD119">
        <v>12</v>
      </c>
      <c r="CE119">
        <v>17</v>
      </c>
      <c r="CF119">
        <v>211</v>
      </c>
      <c r="CI119" t="s">
        <v>1025</v>
      </c>
      <c r="CT119" t="s">
        <v>332</v>
      </c>
    </row>
    <row r="120" spans="1:104" x14ac:dyDescent="0.25">
      <c r="A120" t="s">
        <v>366</v>
      </c>
      <c r="B120" t="s">
        <v>1152</v>
      </c>
      <c r="CD120">
        <v>12</v>
      </c>
      <c r="CF120">
        <v>231</v>
      </c>
      <c r="CI120" t="s">
        <v>1008</v>
      </c>
      <c r="CT120">
        <v>5</v>
      </c>
      <c r="CZ120" t="s">
        <v>332</v>
      </c>
    </row>
    <row r="121" spans="1:104" x14ac:dyDescent="0.25">
      <c r="A121" t="s">
        <v>368</v>
      </c>
      <c r="B121" t="s">
        <v>1153</v>
      </c>
      <c r="CD121">
        <v>12</v>
      </c>
      <c r="CF121">
        <v>251</v>
      </c>
      <c r="CI121" t="s">
        <v>1013</v>
      </c>
      <c r="CT121">
        <v>5</v>
      </c>
    </row>
    <row r="122" spans="1:104" x14ac:dyDescent="0.25">
      <c r="A122" t="s">
        <v>370</v>
      </c>
      <c r="B122" t="s">
        <v>1135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231</v>
      </c>
      <c r="CG123">
        <v>192</v>
      </c>
      <c r="CT123">
        <v>5</v>
      </c>
    </row>
    <row r="124" spans="1:104" x14ac:dyDescent="0.25">
      <c r="A124" t="s">
        <v>294</v>
      </c>
      <c r="B124" t="s">
        <v>1154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1155</v>
      </c>
      <c r="CT125">
        <v>5</v>
      </c>
    </row>
    <row r="126" spans="1:104" x14ac:dyDescent="0.25">
      <c r="A126" t="s">
        <v>590</v>
      </c>
      <c r="B126" t="s">
        <v>1156</v>
      </c>
      <c r="CT126">
        <v>5</v>
      </c>
    </row>
    <row r="127" spans="1:104" x14ac:dyDescent="0.25">
      <c r="A127" t="s">
        <v>592</v>
      </c>
      <c r="B127" t="s">
        <v>1157</v>
      </c>
      <c r="CT127">
        <v>5</v>
      </c>
    </row>
    <row r="128" spans="1:104" x14ac:dyDescent="0.25">
      <c r="A128" t="s">
        <v>594</v>
      </c>
      <c r="B128" t="s">
        <v>1158</v>
      </c>
      <c r="CT128">
        <v>5</v>
      </c>
    </row>
    <row r="129" spans="1:104" x14ac:dyDescent="0.25">
      <c r="A129" t="s">
        <v>596</v>
      </c>
      <c r="B129" t="s">
        <v>1040</v>
      </c>
      <c r="CT129">
        <v>5</v>
      </c>
    </row>
    <row r="130" spans="1:104" x14ac:dyDescent="0.25">
      <c r="A130" t="s">
        <v>277</v>
      </c>
      <c r="B130" t="s">
        <v>1159</v>
      </c>
      <c r="CT130">
        <v>5</v>
      </c>
      <c r="CU130">
        <v>23</v>
      </c>
      <c r="CV130">
        <v>107</v>
      </c>
      <c r="CY130" t="s">
        <v>1041</v>
      </c>
    </row>
    <row r="131" spans="1:104" x14ac:dyDescent="0.25">
      <c r="A131" t="s">
        <v>279</v>
      </c>
      <c r="B131" t="s">
        <v>1160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1161</v>
      </c>
    </row>
    <row r="133" spans="1:104" x14ac:dyDescent="0.25">
      <c r="A133" t="s">
        <v>283</v>
      </c>
      <c r="B133" t="s">
        <v>1162</v>
      </c>
    </row>
    <row r="134" spans="1:104" x14ac:dyDescent="0.25">
      <c r="A134" t="s">
        <v>285</v>
      </c>
      <c r="B134" t="s">
        <v>1163</v>
      </c>
      <c r="CT134" t="s">
        <v>287</v>
      </c>
    </row>
    <row r="135" spans="1:104" x14ac:dyDescent="0.25">
      <c r="A135" t="s">
        <v>288</v>
      </c>
      <c r="B135" t="s">
        <v>1164</v>
      </c>
      <c r="CT135" t="s">
        <v>507</v>
      </c>
    </row>
    <row r="136" spans="1:104" x14ac:dyDescent="0.25">
      <c r="A136" t="s">
        <v>290</v>
      </c>
      <c r="B136" t="s">
        <v>1165</v>
      </c>
      <c r="CT136" t="str">
        <f>mg01s.RandUniform</f>
        <v>Rovnoměrné</v>
      </c>
      <c r="CU136" t="s">
        <v>551</v>
      </c>
    </row>
    <row r="137" spans="1:104" x14ac:dyDescent="0.25">
      <c r="A137" t="s">
        <v>292</v>
      </c>
      <c r="B137" t="s">
        <v>1166</v>
      </c>
      <c r="CT137" t="str">
        <f>mg01s.RandNormal</f>
        <v>Normální</v>
      </c>
      <c r="CU137" t="s">
        <v>554</v>
      </c>
    </row>
    <row r="138" spans="1:104" x14ac:dyDescent="0.25">
      <c r="A138" t="s">
        <v>609</v>
      </c>
      <c r="B138" t="s">
        <v>1167</v>
      </c>
      <c r="CT138" t="str">
        <f>mg01s.RandBernoulli</f>
        <v>Bernoulliho</v>
      </c>
      <c r="CU138" t="s">
        <v>376</v>
      </c>
    </row>
    <row r="139" spans="1:104" x14ac:dyDescent="0.25">
      <c r="A139" t="s">
        <v>611</v>
      </c>
      <c r="B139" t="s">
        <v>1168</v>
      </c>
      <c r="CT139" t="str">
        <f>mg01s.RandBinomial</f>
        <v>Binomické</v>
      </c>
      <c r="CU139" t="s">
        <v>379</v>
      </c>
    </row>
    <row r="140" spans="1:104" x14ac:dyDescent="0.25">
      <c r="A140" t="s">
        <v>613</v>
      </c>
      <c r="B140" t="s">
        <v>1169</v>
      </c>
      <c r="CT140" t="str">
        <f>mg01s.RandPoisson</f>
        <v>Poissonovo</v>
      </c>
      <c r="CU140" t="s">
        <v>382</v>
      </c>
    </row>
    <row r="141" spans="1:104" x14ac:dyDescent="0.25">
      <c r="A141" t="s">
        <v>298</v>
      </c>
      <c r="B141" t="s">
        <v>1170</v>
      </c>
      <c r="CT141" t="str">
        <f>mg01s.RandPatterned</f>
        <v>Vzorky</v>
      </c>
      <c r="CU141" t="s">
        <v>599</v>
      </c>
    </row>
    <row r="142" spans="1:104" x14ac:dyDescent="0.25">
      <c r="A142" t="s">
        <v>92</v>
      </c>
      <c r="B142" t="s">
        <v>990</v>
      </c>
      <c r="CT142" t="str">
        <f>mg01s.RandDiscrete</f>
        <v>Diskrétní</v>
      </c>
      <c r="CU142" t="s">
        <v>332</v>
      </c>
    </row>
    <row r="143" spans="1:104" x14ac:dyDescent="0.25">
      <c r="A143" t="s">
        <v>304</v>
      </c>
      <c r="B143" t="s">
        <v>1171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1172</v>
      </c>
    </row>
    <row r="147" spans="1:2" x14ac:dyDescent="0.25">
      <c r="A147" t="s">
        <v>313</v>
      </c>
      <c r="B147" t="s">
        <v>1173</v>
      </c>
    </row>
    <row r="148" spans="1:2" x14ac:dyDescent="0.25">
      <c r="A148" t="s">
        <v>102</v>
      </c>
      <c r="B148" t="s">
        <v>1174</v>
      </c>
    </row>
    <row r="149" spans="1:2" x14ac:dyDescent="0.25">
      <c r="A149" t="s">
        <v>319</v>
      </c>
      <c r="B149" t="s">
        <v>1175</v>
      </c>
    </row>
    <row r="150" spans="1:2" x14ac:dyDescent="0.25">
      <c r="A150" t="s">
        <v>105</v>
      </c>
      <c r="B150" t="s">
        <v>1176</v>
      </c>
    </row>
    <row r="151" spans="1:2" x14ac:dyDescent="0.25">
      <c r="A151" t="s">
        <v>323</v>
      </c>
      <c r="B151" t="s">
        <v>1177</v>
      </c>
    </row>
    <row r="152" spans="1:2" x14ac:dyDescent="0.25">
      <c r="A152" t="s">
        <v>108</v>
      </c>
      <c r="B152" t="s">
        <v>1178</v>
      </c>
    </row>
    <row r="153" spans="1:2" x14ac:dyDescent="0.25">
      <c r="A153" t="s">
        <v>110</v>
      </c>
      <c r="B153" t="s">
        <v>1179</v>
      </c>
    </row>
    <row r="154" spans="1:2" x14ac:dyDescent="0.25">
      <c r="A154" t="s">
        <v>112</v>
      </c>
      <c r="B154" t="s">
        <v>1180</v>
      </c>
    </row>
    <row r="155" spans="1:2" x14ac:dyDescent="0.25">
      <c r="A155" t="s">
        <v>336</v>
      </c>
      <c r="B155" t="s">
        <v>1181</v>
      </c>
    </row>
    <row r="156" spans="1:2" x14ac:dyDescent="0.25">
      <c r="A156" t="s">
        <v>120</v>
      </c>
      <c r="B156" t="s">
        <v>1182</v>
      </c>
    </row>
    <row r="157" spans="1:2" x14ac:dyDescent="0.25">
      <c r="A157" t="s">
        <v>349</v>
      </c>
      <c r="B157" t="s">
        <v>1183</v>
      </c>
    </row>
    <row r="158" spans="1:2" x14ac:dyDescent="0.25">
      <c r="A158" t="s">
        <v>350</v>
      </c>
      <c r="B158" t="s">
        <v>1184</v>
      </c>
    </row>
    <row r="159" spans="1:2" x14ac:dyDescent="0.25">
      <c r="A159" t="s">
        <v>438</v>
      </c>
      <c r="B159" t="s">
        <v>1185</v>
      </c>
    </row>
    <row r="160" spans="1:2" x14ac:dyDescent="0.25">
      <c r="A160" t="s">
        <v>353</v>
      </c>
      <c r="B160" t="s">
        <v>1186</v>
      </c>
    </row>
    <row r="161" spans="1:2" x14ac:dyDescent="0.25">
      <c r="A161" t="s">
        <v>355</v>
      </c>
      <c r="B161" t="s">
        <v>1187</v>
      </c>
    </row>
    <row r="162" spans="1:2" x14ac:dyDescent="0.25">
      <c r="A162" t="s">
        <v>129</v>
      </c>
      <c r="B162" t="s">
        <v>1188</v>
      </c>
    </row>
    <row r="163" spans="1:2" x14ac:dyDescent="0.25">
      <c r="A163" t="s">
        <v>363</v>
      </c>
      <c r="B163" t="s">
        <v>1189</v>
      </c>
    </row>
    <row r="164" spans="1:2" x14ac:dyDescent="0.25">
      <c r="A164" t="s">
        <v>365</v>
      </c>
      <c r="B164" t="s">
        <v>1190</v>
      </c>
    </row>
    <row r="165" spans="1:2" x14ac:dyDescent="0.25">
      <c r="A165" t="s">
        <v>374</v>
      </c>
      <c r="B165" t="s">
        <v>1191</v>
      </c>
    </row>
    <row r="166" spans="1:2" x14ac:dyDescent="0.25">
      <c r="A166" t="s">
        <v>135</v>
      </c>
      <c r="B166" t="s">
        <v>1192</v>
      </c>
    </row>
    <row r="167" spans="1:2" x14ac:dyDescent="0.25">
      <c r="A167" t="s">
        <v>137</v>
      </c>
      <c r="B167" t="s">
        <v>1193</v>
      </c>
    </row>
    <row r="168" spans="1:2" x14ac:dyDescent="0.25">
      <c r="A168" t="s">
        <v>139</v>
      </c>
      <c r="B168" t="s">
        <v>1194</v>
      </c>
    </row>
    <row r="169" spans="1:2" x14ac:dyDescent="0.25">
      <c r="A169" t="s">
        <v>384</v>
      </c>
      <c r="B169" t="s">
        <v>1195</v>
      </c>
    </row>
    <row r="170" spans="1:2" x14ac:dyDescent="0.25">
      <c r="A170" t="s">
        <v>462</v>
      </c>
      <c r="B170" t="s">
        <v>1196</v>
      </c>
    </row>
    <row r="171" spans="1:2" x14ac:dyDescent="0.25">
      <c r="A171" t="s">
        <v>464</v>
      </c>
      <c r="B171" t="s">
        <v>1197</v>
      </c>
    </row>
    <row r="172" spans="1:2" x14ac:dyDescent="0.25">
      <c r="A172" t="s">
        <v>388</v>
      </c>
      <c r="B172" t="s">
        <v>1198</v>
      </c>
    </row>
    <row r="173" spans="1:2" x14ac:dyDescent="0.25">
      <c r="A173" t="s">
        <v>147</v>
      </c>
      <c r="B173" t="s">
        <v>1199</v>
      </c>
    </row>
    <row r="174" spans="1:2" x14ac:dyDescent="0.25">
      <c r="A174" t="s">
        <v>385</v>
      </c>
      <c r="B174" t="s">
        <v>1200</v>
      </c>
    </row>
    <row r="175" spans="1:2" x14ac:dyDescent="0.25">
      <c r="A175" t="s">
        <v>151</v>
      </c>
      <c r="B175" t="s">
        <v>1201</v>
      </c>
    </row>
    <row r="176" spans="1:2" x14ac:dyDescent="0.25">
      <c r="A176" t="s">
        <v>406</v>
      </c>
      <c r="B176" t="s">
        <v>1202</v>
      </c>
    </row>
    <row r="177" spans="1:2" x14ac:dyDescent="0.25">
      <c r="A177" t="s">
        <v>408</v>
      </c>
      <c r="B177" t="s">
        <v>1203</v>
      </c>
    </row>
    <row r="178" spans="1:2" x14ac:dyDescent="0.25">
      <c r="A178" t="s">
        <v>503</v>
      </c>
      <c r="B178" t="s">
        <v>1204</v>
      </c>
    </row>
    <row r="179" spans="1:2" x14ac:dyDescent="0.25">
      <c r="A179" t="s">
        <v>410</v>
      </c>
      <c r="B179" t="s">
        <v>1205</v>
      </c>
    </row>
    <row r="180" spans="1:2" x14ac:dyDescent="0.25">
      <c r="A180" t="s">
        <v>412</v>
      </c>
      <c r="B180" t="s">
        <v>1206</v>
      </c>
    </row>
    <row r="181" spans="1:2" x14ac:dyDescent="0.25">
      <c r="A181" t="s">
        <v>161</v>
      </c>
      <c r="B181" t="s">
        <v>1207</v>
      </c>
    </row>
    <row r="182" spans="1:2" x14ac:dyDescent="0.25">
      <c r="A182" t="s">
        <v>415</v>
      </c>
      <c r="B182" t="s">
        <v>1208</v>
      </c>
    </row>
    <row r="183" spans="1:2" x14ac:dyDescent="0.25">
      <c r="A183" t="s">
        <v>173</v>
      </c>
      <c r="B183" t="s">
        <v>1209</v>
      </c>
    </row>
    <row r="184" spans="1:2" x14ac:dyDescent="0.25">
      <c r="A184" t="s">
        <v>167</v>
      </c>
      <c r="B184" t="s">
        <v>1210</v>
      </c>
    </row>
    <row r="185" spans="1:2" x14ac:dyDescent="0.25">
      <c r="A185" t="s">
        <v>169</v>
      </c>
      <c r="B185" t="s">
        <v>1211</v>
      </c>
    </row>
    <row r="186" spans="1:2" x14ac:dyDescent="0.25">
      <c r="A186" t="s">
        <v>444</v>
      </c>
      <c r="B186" t="s">
        <v>1212</v>
      </c>
    </row>
    <row r="187" spans="1:2" x14ac:dyDescent="0.25">
      <c r="A187" t="s">
        <v>18</v>
      </c>
      <c r="B187" t="s">
        <v>1213</v>
      </c>
    </row>
    <row r="188" spans="1:2" x14ac:dyDescent="0.25">
      <c r="A188" t="s">
        <v>175</v>
      </c>
      <c r="B188" t="s">
        <v>1214</v>
      </c>
    </row>
    <row r="189" spans="1:2" x14ac:dyDescent="0.25">
      <c r="A189" t="s">
        <v>181</v>
      </c>
      <c r="B189" t="s">
        <v>1215</v>
      </c>
    </row>
    <row r="190" spans="1:2" x14ac:dyDescent="0.25">
      <c r="A190" t="s">
        <v>64</v>
      </c>
      <c r="B190" t="s">
        <v>1216</v>
      </c>
    </row>
    <row r="191" spans="1:2" x14ac:dyDescent="0.25">
      <c r="A191" t="s">
        <v>185</v>
      </c>
      <c r="B191" t="s">
        <v>1217</v>
      </c>
    </row>
    <row r="192" spans="1:2" x14ac:dyDescent="0.25">
      <c r="A192" t="s">
        <v>192</v>
      </c>
      <c r="B192" t="s">
        <v>1218</v>
      </c>
    </row>
    <row r="193" spans="1:2" x14ac:dyDescent="0.25">
      <c r="A193" t="s">
        <v>67</v>
      </c>
      <c r="B193" t="s">
        <v>1219</v>
      </c>
    </row>
    <row r="194" spans="1:2" x14ac:dyDescent="0.25">
      <c r="A194" t="s">
        <v>197</v>
      </c>
      <c r="B194" t="s">
        <v>1220</v>
      </c>
    </row>
    <row r="195" spans="1:2" x14ac:dyDescent="0.25">
      <c r="A195" t="s">
        <v>199</v>
      </c>
      <c r="B195" t="s">
        <v>1221</v>
      </c>
    </row>
    <row r="196" spans="1:2" x14ac:dyDescent="0.25">
      <c r="A196" t="s">
        <v>44</v>
      </c>
      <c r="B196" t="s">
        <v>1222</v>
      </c>
    </row>
    <row r="197" spans="1:2" x14ac:dyDescent="0.25">
      <c r="A197" t="s">
        <v>46</v>
      </c>
      <c r="B197" t="s">
        <v>1223</v>
      </c>
    </row>
    <row r="198" spans="1:2" x14ac:dyDescent="0.25">
      <c r="A198" t="s">
        <v>212</v>
      </c>
      <c r="B198" t="s">
        <v>1224</v>
      </c>
    </row>
    <row r="199" spans="1:2" x14ac:dyDescent="0.25">
      <c r="A199" t="s">
        <v>215</v>
      </c>
      <c r="B199" t="s">
        <v>1225</v>
      </c>
    </row>
    <row r="200" spans="1:2" x14ac:dyDescent="0.25">
      <c r="A200" t="s">
        <v>77</v>
      </c>
      <c r="B200" t="s">
        <v>1226</v>
      </c>
    </row>
    <row r="201" spans="1:2" x14ac:dyDescent="0.25">
      <c r="A201" t="s">
        <v>223</v>
      </c>
      <c r="B201" t="s">
        <v>1227</v>
      </c>
    </row>
    <row r="202" spans="1:2" x14ac:dyDescent="0.25">
      <c r="A202" t="s">
        <v>1</v>
      </c>
      <c r="B202" t="s">
        <v>1228</v>
      </c>
    </row>
    <row r="203" spans="1:2" x14ac:dyDescent="0.25">
      <c r="A203" t="s">
        <v>225</v>
      </c>
      <c r="B203" t="s">
        <v>1229</v>
      </c>
    </row>
    <row r="204" spans="1:2" x14ac:dyDescent="0.25">
      <c r="A204" t="s">
        <v>4</v>
      </c>
      <c r="B204" t="s">
        <v>1230</v>
      </c>
    </row>
    <row r="205" spans="1:2" x14ac:dyDescent="0.25">
      <c r="A205" t="s">
        <v>233</v>
      </c>
      <c r="B205" t="s">
        <v>1231</v>
      </c>
    </row>
    <row r="206" spans="1:2" x14ac:dyDescent="0.25">
      <c r="A206" t="s">
        <v>6</v>
      </c>
      <c r="B206" t="s">
        <v>1232</v>
      </c>
    </row>
    <row r="207" spans="1:2" x14ac:dyDescent="0.25">
      <c r="A207" t="s">
        <v>241</v>
      </c>
      <c r="B207" t="s">
        <v>1233</v>
      </c>
    </row>
    <row r="208" spans="1:2" x14ac:dyDescent="0.25">
      <c r="A208" t="s">
        <v>11</v>
      </c>
      <c r="B208" t="s">
        <v>1234</v>
      </c>
    </row>
    <row r="209" spans="1:103" x14ac:dyDescent="0.25">
      <c r="A209" t="s">
        <v>13</v>
      </c>
      <c r="B209" t="s">
        <v>1235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1236</v>
      </c>
    </row>
    <row r="212" spans="1:103" x14ac:dyDescent="0.25">
      <c r="A212" t="s">
        <v>258</v>
      </c>
      <c r="B212" t="s">
        <v>1237</v>
      </c>
    </row>
    <row r="213" spans="1:103" x14ac:dyDescent="0.25">
      <c r="A213" t="s">
        <v>533</v>
      </c>
      <c r="B213" t="s">
        <v>1238</v>
      </c>
      <c r="BS213" t="b">
        <v>1</v>
      </c>
    </row>
    <row r="214" spans="1:103" x14ac:dyDescent="0.25">
      <c r="A214" t="s">
        <v>17</v>
      </c>
      <c r="B214" t="s">
        <v>1239</v>
      </c>
    </row>
    <row r="215" spans="1:103" x14ac:dyDescent="0.25">
      <c r="A215" t="s">
        <v>265</v>
      </c>
      <c r="B215" t="s">
        <v>1240</v>
      </c>
    </row>
    <row r="216" spans="1:103" x14ac:dyDescent="0.25">
      <c r="A216" t="s">
        <v>550</v>
      </c>
      <c r="B216" t="s">
        <v>1241</v>
      </c>
    </row>
    <row r="217" spans="1:103" x14ac:dyDescent="0.25">
      <c r="A217" t="s">
        <v>267</v>
      </c>
      <c r="B217" t="s">
        <v>1242</v>
      </c>
    </row>
    <row r="218" spans="1:103" x14ac:dyDescent="0.25">
      <c r="A218" t="s">
        <v>262</v>
      </c>
      <c r="B218" t="s">
        <v>1243</v>
      </c>
    </row>
    <row r="219" spans="1:103" x14ac:dyDescent="0.25">
      <c r="A219" t="s">
        <v>272</v>
      </c>
      <c r="B219" t="s">
        <v>1244</v>
      </c>
    </row>
    <row r="220" spans="1:103" x14ac:dyDescent="0.25">
      <c r="A220" t="s">
        <v>36</v>
      </c>
      <c r="B220" t="s">
        <v>1245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1246</v>
      </c>
      <c r="AE221" t="b">
        <v>1</v>
      </c>
    </row>
    <row r="222" spans="1:103" x14ac:dyDescent="0.25">
      <c r="A222" t="s">
        <v>269</v>
      </c>
      <c r="B222" t="s">
        <v>1247</v>
      </c>
      <c r="CY222" t="b">
        <v>1</v>
      </c>
    </row>
    <row r="223" spans="1:103" x14ac:dyDescent="0.25">
      <c r="A223" t="s">
        <v>40</v>
      </c>
      <c r="B223" t="s">
        <v>1248</v>
      </c>
    </row>
    <row r="224" spans="1:103" x14ac:dyDescent="0.25">
      <c r="A224" t="s">
        <v>42</v>
      </c>
      <c r="B224" t="s">
        <v>1249</v>
      </c>
      <c r="CI224" t="b">
        <v>1</v>
      </c>
    </row>
    <row r="225" spans="1:2" x14ac:dyDescent="0.25">
      <c r="A225" t="s">
        <v>275</v>
      </c>
      <c r="B225" t="s">
        <v>1250</v>
      </c>
    </row>
    <row r="226" spans="1:2" x14ac:dyDescent="0.25">
      <c r="A226" t="s">
        <v>73</v>
      </c>
      <c r="B226" t="s">
        <v>1251</v>
      </c>
    </row>
    <row r="227" spans="1:2" x14ac:dyDescent="0.25">
      <c r="A227" t="s">
        <v>75</v>
      </c>
      <c r="B227" t="s">
        <v>1252</v>
      </c>
    </row>
    <row r="228" spans="1:2" x14ac:dyDescent="0.25">
      <c r="A228" t="s">
        <v>88</v>
      </c>
      <c r="B228" t="s">
        <v>1253</v>
      </c>
    </row>
    <row r="229" spans="1:2" x14ac:dyDescent="0.25">
      <c r="A229" t="s">
        <v>49</v>
      </c>
      <c r="B229" t="s">
        <v>1254</v>
      </c>
    </row>
    <row r="230" spans="1:2" x14ac:dyDescent="0.25">
      <c r="A230" t="s">
        <v>51</v>
      </c>
      <c r="B230" t="s">
        <v>1255</v>
      </c>
    </row>
    <row r="231" spans="1:2" x14ac:dyDescent="0.25">
      <c r="A231" t="s">
        <v>53</v>
      </c>
      <c r="B231" t="s">
        <v>1256</v>
      </c>
    </row>
    <row r="232" spans="1:2" x14ac:dyDescent="0.25">
      <c r="A232" t="s">
        <v>55</v>
      </c>
      <c r="B232" t="s">
        <v>1257</v>
      </c>
    </row>
    <row r="233" spans="1:2" x14ac:dyDescent="0.25">
      <c r="A233" t="s">
        <v>57</v>
      </c>
      <c r="B233" t="s">
        <v>1258</v>
      </c>
    </row>
    <row r="234" spans="1:2" x14ac:dyDescent="0.25">
      <c r="A234" t="s">
        <v>59</v>
      </c>
      <c r="B234" t="s">
        <v>1259</v>
      </c>
    </row>
    <row r="235" spans="1:2" x14ac:dyDescent="0.25">
      <c r="A235" t="s">
        <v>24</v>
      </c>
      <c r="B235" t="s">
        <v>1260</v>
      </c>
    </row>
    <row r="236" spans="1:2" x14ac:dyDescent="0.25">
      <c r="A236" t="s">
        <v>32</v>
      </c>
      <c r="B236" t="s">
        <v>1261</v>
      </c>
    </row>
    <row r="237" spans="1:2" x14ac:dyDescent="0.25">
      <c r="A237" t="s">
        <v>101</v>
      </c>
      <c r="B237" t="s">
        <v>1262</v>
      </c>
    </row>
    <row r="238" spans="1:2" x14ac:dyDescent="0.25">
      <c r="A238" t="s">
        <v>159</v>
      </c>
      <c r="B238" t="s">
        <v>1263</v>
      </c>
    </row>
    <row r="239" spans="1:2" x14ac:dyDescent="0.25">
      <c r="A239" t="s">
        <v>107</v>
      </c>
      <c r="B239" t="s">
        <v>1264</v>
      </c>
    </row>
    <row r="240" spans="1:2" x14ac:dyDescent="0.25">
      <c r="A240" t="s">
        <v>15</v>
      </c>
      <c r="B240" t="s">
        <v>1265</v>
      </c>
    </row>
    <row r="241" spans="1:2" x14ac:dyDescent="0.25">
      <c r="A241" t="s">
        <v>171</v>
      </c>
      <c r="B241" t="s">
        <v>1266</v>
      </c>
    </row>
    <row r="242" spans="1:2" x14ac:dyDescent="0.25">
      <c r="A242" t="s">
        <v>117</v>
      </c>
      <c r="B242" t="s">
        <v>1267</v>
      </c>
    </row>
    <row r="243" spans="1:2" x14ac:dyDescent="0.25">
      <c r="A243" t="s">
        <v>119</v>
      </c>
      <c r="B243" t="s">
        <v>1268</v>
      </c>
    </row>
    <row r="244" spans="1:2" x14ac:dyDescent="0.25">
      <c r="A244" t="s">
        <v>122</v>
      </c>
      <c r="B244" t="s">
        <v>1269</v>
      </c>
    </row>
    <row r="245" spans="1:2" x14ac:dyDescent="0.25">
      <c r="A245" t="s">
        <v>176</v>
      </c>
      <c r="B245" t="s">
        <v>1270</v>
      </c>
    </row>
    <row r="246" spans="1:2" x14ac:dyDescent="0.25">
      <c r="A246" t="s">
        <v>126</v>
      </c>
      <c r="B246" t="s">
        <v>1271</v>
      </c>
    </row>
    <row r="247" spans="1:2" x14ac:dyDescent="0.25">
      <c r="A247" t="s">
        <v>130</v>
      </c>
      <c r="B247" t="s">
        <v>1272</v>
      </c>
    </row>
    <row r="248" spans="1:2" x14ac:dyDescent="0.25">
      <c r="A248" t="s">
        <v>39</v>
      </c>
      <c r="B248" t="s">
        <v>1273</v>
      </c>
    </row>
    <row r="249" spans="1:2" x14ac:dyDescent="0.25">
      <c r="A249" t="s">
        <v>133</v>
      </c>
      <c r="B249" t="s">
        <v>1274</v>
      </c>
    </row>
    <row r="250" spans="1:2" x14ac:dyDescent="0.25">
      <c r="A250" t="s">
        <v>69</v>
      </c>
      <c r="B250" t="s">
        <v>1275</v>
      </c>
    </row>
    <row r="251" spans="1:2" x14ac:dyDescent="0.25">
      <c r="A251" t="s">
        <v>71</v>
      </c>
      <c r="B251" t="s">
        <v>1276</v>
      </c>
    </row>
    <row r="252" spans="1:2" x14ac:dyDescent="0.25">
      <c r="A252" t="s">
        <v>141</v>
      </c>
      <c r="B252" t="s">
        <v>1277</v>
      </c>
    </row>
    <row r="253" spans="1:2" x14ac:dyDescent="0.25">
      <c r="A253" t="s">
        <v>143</v>
      </c>
      <c r="B253" t="s">
        <v>1278</v>
      </c>
    </row>
    <row r="254" spans="1:2" x14ac:dyDescent="0.25">
      <c r="A254" t="s">
        <v>145</v>
      </c>
      <c r="B254" t="s">
        <v>1279</v>
      </c>
    </row>
    <row r="255" spans="1:2" x14ac:dyDescent="0.25">
      <c r="A255" t="s">
        <v>386</v>
      </c>
      <c r="B255" t="s">
        <v>1280</v>
      </c>
    </row>
    <row r="256" spans="1:2" x14ac:dyDescent="0.25">
      <c r="A256" t="s">
        <v>30</v>
      </c>
      <c r="B256" t="s">
        <v>1281</v>
      </c>
    </row>
    <row r="257" spans="1:2" x14ac:dyDescent="0.25">
      <c r="A257" t="s">
        <v>33</v>
      </c>
      <c r="B257" t="s">
        <v>1282</v>
      </c>
    </row>
    <row r="258" spans="1:2" x14ac:dyDescent="0.25">
      <c r="A258" t="s">
        <v>153</v>
      </c>
      <c r="B258" t="s">
        <v>1283</v>
      </c>
    </row>
    <row r="259" spans="1:2" x14ac:dyDescent="0.25">
      <c r="A259" t="s">
        <v>155</v>
      </c>
      <c r="B259" t="s">
        <v>1284</v>
      </c>
    </row>
    <row r="260" spans="1:2" x14ac:dyDescent="0.25">
      <c r="A260" t="s">
        <v>157</v>
      </c>
      <c r="B260" t="s">
        <v>1285</v>
      </c>
    </row>
    <row r="261" spans="1:2" x14ac:dyDescent="0.25">
      <c r="A261" t="s">
        <v>3</v>
      </c>
      <c r="B261" t="s">
        <v>1286</v>
      </c>
    </row>
    <row r="262" spans="1:2" x14ac:dyDescent="0.25">
      <c r="A262" t="s">
        <v>78</v>
      </c>
      <c r="B262" t="s">
        <v>1287</v>
      </c>
    </row>
    <row r="263" spans="1:2" x14ac:dyDescent="0.25">
      <c r="A263" t="s">
        <v>80</v>
      </c>
      <c r="B263" t="s">
        <v>1288</v>
      </c>
    </row>
    <row r="264" spans="1:2" x14ac:dyDescent="0.25">
      <c r="A264" t="s">
        <v>82</v>
      </c>
      <c r="B264" t="s">
        <v>1289</v>
      </c>
    </row>
    <row r="265" spans="1:2" x14ac:dyDescent="0.25">
      <c r="A265" t="s">
        <v>84</v>
      </c>
      <c r="B265" t="s">
        <v>1290</v>
      </c>
    </row>
    <row r="266" spans="1:2" x14ac:dyDescent="0.25">
      <c r="A266" t="s">
        <v>86</v>
      </c>
      <c r="B266" t="s">
        <v>1291</v>
      </c>
    </row>
    <row r="267" spans="1:2" x14ac:dyDescent="0.25">
      <c r="A267" t="s">
        <v>29</v>
      </c>
      <c r="B267" t="s">
        <v>1292</v>
      </c>
    </row>
    <row r="268" spans="1:2" x14ac:dyDescent="0.25">
      <c r="A268" t="s">
        <v>90</v>
      </c>
      <c r="B268" t="s">
        <v>1293</v>
      </c>
    </row>
    <row r="269" spans="1:2" x14ac:dyDescent="0.25">
      <c r="A269" t="s">
        <v>95</v>
      </c>
      <c r="B269" t="s">
        <v>1294</v>
      </c>
    </row>
    <row r="270" spans="1:2" x14ac:dyDescent="0.25">
      <c r="A270" t="s">
        <v>2</v>
      </c>
      <c r="B270" t="s">
        <v>1295</v>
      </c>
    </row>
    <row r="271" spans="1:2" x14ac:dyDescent="0.25">
      <c r="A271" t="s">
        <v>7</v>
      </c>
      <c r="B271" t="s">
        <v>1296</v>
      </c>
    </row>
    <row r="273" spans="1:2" x14ac:dyDescent="0.25">
      <c r="A273" t="s">
        <v>9</v>
      </c>
      <c r="B273" t="s">
        <v>1297</v>
      </c>
    </row>
    <row r="274" spans="1:2" x14ac:dyDescent="0.25">
      <c r="A274" t="s">
        <v>163</v>
      </c>
      <c r="B274" t="s">
        <v>1298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1040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1299</v>
      </c>
      <c r="AF2">
        <v>4</v>
      </c>
      <c r="AH2" s="1" t="s">
        <v>656</v>
      </c>
      <c r="AK2">
        <v>515</v>
      </c>
      <c r="AL2">
        <v>223</v>
      </c>
      <c r="AM2" t="s">
        <v>1300</v>
      </c>
      <c r="AN2">
        <v>5</v>
      </c>
      <c r="AP2" s="1" t="s">
        <v>657</v>
      </c>
      <c r="AS2">
        <v>546</v>
      </c>
      <c r="AT2">
        <v>312</v>
      </c>
      <c r="AU2" t="s">
        <v>457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1301</v>
      </c>
      <c r="BL2">
        <v>5</v>
      </c>
      <c r="BN2" s="1" t="s">
        <v>659</v>
      </c>
      <c r="BQ2">
        <v>523</v>
      </c>
      <c r="BR2">
        <v>293</v>
      </c>
      <c r="BS2" t="s">
        <v>1302</v>
      </c>
      <c r="BT2">
        <v>5</v>
      </c>
      <c r="BV2" s="1" t="s">
        <v>660</v>
      </c>
      <c r="BY2">
        <v>523</v>
      </c>
      <c r="BZ2">
        <v>195</v>
      </c>
      <c r="CA2" t="s">
        <v>1303</v>
      </c>
      <c r="CB2">
        <v>5</v>
      </c>
      <c r="CD2" s="1" t="s">
        <v>661</v>
      </c>
      <c r="CG2">
        <v>523</v>
      </c>
      <c r="CH2">
        <v>203</v>
      </c>
      <c r="CI2" t="s">
        <v>1304</v>
      </c>
      <c r="CJ2">
        <v>5</v>
      </c>
      <c r="CL2" s="1" t="s">
        <v>662</v>
      </c>
      <c r="CO2">
        <v>523</v>
      </c>
      <c r="CP2">
        <v>263</v>
      </c>
      <c r="CQ2" t="s">
        <v>1305</v>
      </c>
      <c r="CR2">
        <v>5</v>
      </c>
      <c r="CT2" s="1" t="s">
        <v>663</v>
      </c>
      <c r="CW2">
        <v>516</v>
      </c>
      <c r="CX2">
        <v>298</v>
      </c>
      <c r="CY2" t="s">
        <v>1306</v>
      </c>
      <c r="CZ2">
        <v>4</v>
      </c>
    </row>
    <row r="3" spans="1:104" x14ac:dyDescent="0.25">
      <c r="W3" t="str">
        <f>dbCorrelationTitle</f>
        <v>Korrelation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1307</v>
      </c>
      <c r="AH4">
        <v>2</v>
      </c>
      <c r="AI4">
        <v>412</v>
      </c>
      <c r="AJ4">
        <v>30</v>
      </c>
      <c r="AK4">
        <v>90</v>
      </c>
      <c r="AM4" t="s">
        <v>1307</v>
      </c>
      <c r="AP4">
        <v>2</v>
      </c>
      <c r="AQ4">
        <v>443</v>
      </c>
      <c r="AR4">
        <v>31</v>
      </c>
      <c r="AS4">
        <v>90</v>
      </c>
      <c r="AU4" t="s">
        <v>1307</v>
      </c>
      <c r="AX4">
        <v>2</v>
      </c>
      <c r="AY4">
        <v>418</v>
      </c>
      <c r="AZ4">
        <v>33</v>
      </c>
      <c r="BA4">
        <v>104</v>
      </c>
      <c r="BC4" t="s">
        <v>1307</v>
      </c>
      <c r="BF4">
        <v>2</v>
      </c>
      <c r="BG4">
        <v>407</v>
      </c>
      <c r="BH4">
        <v>30</v>
      </c>
      <c r="BI4">
        <v>90</v>
      </c>
      <c r="BK4" t="s">
        <v>1307</v>
      </c>
      <c r="BN4">
        <v>2</v>
      </c>
      <c r="BO4">
        <v>407</v>
      </c>
      <c r="BP4">
        <v>30</v>
      </c>
      <c r="BQ4">
        <v>90</v>
      </c>
      <c r="BS4" t="s">
        <v>1307</v>
      </c>
      <c r="BV4">
        <v>2</v>
      </c>
      <c r="BW4">
        <v>407</v>
      </c>
      <c r="BX4">
        <v>30</v>
      </c>
      <c r="BY4">
        <v>90</v>
      </c>
      <c r="CA4" t="s">
        <v>1307</v>
      </c>
      <c r="CD4">
        <v>2</v>
      </c>
      <c r="CE4">
        <v>407</v>
      </c>
      <c r="CF4">
        <v>30</v>
      </c>
      <c r="CG4">
        <v>90</v>
      </c>
      <c r="CI4" t="s">
        <v>1307</v>
      </c>
      <c r="CL4">
        <v>2</v>
      </c>
      <c r="CM4">
        <v>407</v>
      </c>
      <c r="CN4">
        <v>30</v>
      </c>
      <c r="CO4">
        <v>90</v>
      </c>
      <c r="CQ4" t="s">
        <v>1307</v>
      </c>
      <c r="CT4">
        <v>2</v>
      </c>
      <c r="CU4">
        <v>410</v>
      </c>
      <c r="CV4">
        <v>31</v>
      </c>
      <c r="CW4">
        <v>90</v>
      </c>
      <c r="CY4" t="s">
        <v>1307</v>
      </c>
    </row>
    <row r="5" spans="1:104" x14ac:dyDescent="0.25">
      <c r="T5">
        <v>0</v>
      </c>
      <c r="U5" t="str">
        <f>dbAnova1Title</f>
        <v>Anava: Enkelt faktor</v>
      </c>
      <c r="V5">
        <v>0</v>
      </c>
      <c r="W5" t="str">
        <f>dbAnova1Title</f>
        <v>Anava: Enkelt faktor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1308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399</v>
      </c>
      <c r="AP5">
        <v>14</v>
      </c>
      <c r="AQ5">
        <v>7</v>
      </c>
      <c r="AR5">
        <v>4</v>
      </c>
      <c r="AS5">
        <v>424</v>
      </c>
      <c r="AT5">
        <v>113</v>
      </c>
      <c r="AU5" t="s">
        <v>399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1309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399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399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399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399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399</v>
      </c>
      <c r="CT5">
        <v>5</v>
      </c>
      <c r="CU5">
        <v>17</v>
      </c>
      <c r="CV5">
        <v>12</v>
      </c>
      <c r="CY5" t="s">
        <v>1310</v>
      </c>
    </row>
    <row r="6" spans="1:104" x14ac:dyDescent="0.25">
      <c r="T6">
        <v>1</v>
      </c>
      <c r="U6" t="str">
        <f>dbAnova2Title</f>
        <v>Anava: To-faktor med gentagelse</v>
      </c>
      <c r="V6">
        <v>1</v>
      </c>
      <c r="W6" t="str">
        <f>dbAnova2Title</f>
        <v>Anava: To-faktor med gentagelse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1311</v>
      </c>
      <c r="AP6">
        <v>5</v>
      </c>
      <c r="AQ6">
        <v>24</v>
      </c>
      <c r="AR6">
        <v>22</v>
      </c>
      <c r="AU6" t="s">
        <v>1312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1311</v>
      </c>
      <c r="BN6">
        <v>5</v>
      </c>
      <c r="BO6">
        <v>18</v>
      </c>
      <c r="BP6">
        <v>19</v>
      </c>
      <c r="BS6" t="s">
        <v>1311</v>
      </c>
      <c r="BV6">
        <v>5</v>
      </c>
      <c r="BW6">
        <v>18</v>
      </c>
      <c r="BX6">
        <v>19</v>
      </c>
      <c r="CA6" t="s">
        <v>1311</v>
      </c>
      <c r="CD6">
        <v>5</v>
      </c>
      <c r="CE6">
        <v>18</v>
      </c>
      <c r="CF6">
        <v>19</v>
      </c>
      <c r="CI6" t="s">
        <v>1313</v>
      </c>
      <c r="CL6">
        <v>5</v>
      </c>
      <c r="CM6">
        <v>18</v>
      </c>
      <c r="CN6">
        <v>19</v>
      </c>
      <c r="CQ6" t="s">
        <v>1311</v>
      </c>
      <c r="CT6">
        <v>7</v>
      </c>
      <c r="CU6">
        <v>200</v>
      </c>
      <c r="CV6">
        <v>10</v>
      </c>
      <c r="CW6">
        <v>194</v>
      </c>
    </row>
    <row r="7" spans="1:104" x14ac:dyDescent="0.25">
      <c r="T7">
        <v>2</v>
      </c>
      <c r="U7" t="str">
        <f>dbAnova3Title</f>
        <v>Anava: To-faktor uden gentagelse</v>
      </c>
      <c r="V7">
        <v>2</v>
      </c>
      <c r="W7" t="str">
        <f>dbAnova3Title</f>
        <v>Anava: To-faktor uden gentagelse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254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1314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1315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Korrelation</v>
      </c>
      <c r="V8">
        <v>3</v>
      </c>
      <c r="W8" t="str">
        <f>dbCorrelationTitle</f>
        <v>Korrelation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1316</v>
      </c>
      <c r="AP8">
        <v>5</v>
      </c>
      <c r="AQ8">
        <v>24</v>
      </c>
      <c r="AR8">
        <v>48</v>
      </c>
      <c r="AU8" t="s">
        <v>1317</v>
      </c>
      <c r="AX8">
        <v>12</v>
      </c>
      <c r="AZ8">
        <v>90</v>
      </c>
      <c r="BC8" t="s">
        <v>1318</v>
      </c>
      <c r="BF8">
        <v>5</v>
      </c>
      <c r="BG8">
        <v>18</v>
      </c>
      <c r="BH8">
        <v>44</v>
      </c>
      <c r="BK8" t="s">
        <v>1316</v>
      </c>
      <c r="BN8">
        <v>5</v>
      </c>
      <c r="BO8">
        <v>18</v>
      </c>
      <c r="BP8">
        <v>44</v>
      </c>
      <c r="BS8" t="s">
        <v>1316</v>
      </c>
      <c r="BV8">
        <v>5</v>
      </c>
      <c r="BW8">
        <v>17</v>
      </c>
      <c r="BX8">
        <v>40</v>
      </c>
      <c r="CA8" t="s">
        <v>1319</v>
      </c>
      <c r="CD8">
        <v>5</v>
      </c>
      <c r="CE8">
        <v>18</v>
      </c>
      <c r="CF8">
        <v>41</v>
      </c>
      <c r="CI8" t="s">
        <v>1320</v>
      </c>
      <c r="CL8">
        <v>13</v>
      </c>
      <c r="CM8">
        <v>18</v>
      </c>
      <c r="CN8">
        <v>39</v>
      </c>
      <c r="CQ8" t="s">
        <v>1321</v>
      </c>
      <c r="CR8" t="b">
        <v>0</v>
      </c>
      <c r="CT8">
        <v>7</v>
      </c>
      <c r="CU8">
        <v>200</v>
      </c>
      <c r="CV8">
        <v>34</v>
      </c>
      <c r="CW8">
        <v>194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Kovarians</v>
      </c>
      <c r="V9">
        <v>4</v>
      </c>
      <c r="W9" t="str">
        <f>dbCovarianceTitle</f>
        <v>Kovarians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254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1322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1323</v>
      </c>
      <c r="CT9">
        <v>5</v>
      </c>
      <c r="CU9">
        <v>17</v>
      </c>
      <c r="CV9">
        <v>63</v>
      </c>
      <c r="CY9" t="s">
        <v>1324</v>
      </c>
    </row>
    <row r="10" spans="1:104" x14ac:dyDescent="0.25">
      <c r="A10" t="s">
        <v>505</v>
      </c>
      <c r="B10" t="s">
        <v>1325</v>
      </c>
      <c r="T10">
        <v>5</v>
      </c>
      <c r="U10" t="str">
        <f>dbDescripTitle</f>
        <v>Beskrivende statistik</v>
      </c>
      <c r="V10">
        <v>5</v>
      </c>
      <c r="W10" t="str">
        <f>dbDescripTitle</f>
        <v>Beskrivende statistik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1326</v>
      </c>
      <c r="AP10">
        <v>13</v>
      </c>
      <c r="AQ10">
        <v>25</v>
      </c>
      <c r="AR10">
        <v>75</v>
      </c>
      <c r="AU10" t="s">
        <v>1321</v>
      </c>
      <c r="AV10" t="b">
        <v>0</v>
      </c>
      <c r="AX10">
        <v>12</v>
      </c>
      <c r="AZ10">
        <v>130</v>
      </c>
      <c r="BC10" t="s">
        <v>1327</v>
      </c>
      <c r="BF10">
        <v>12</v>
      </c>
      <c r="BG10">
        <v>220</v>
      </c>
      <c r="BH10">
        <v>40</v>
      </c>
      <c r="BK10" t="s">
        <v>1326</v>
      </c>
      <c r="BN10">
        <v>12</v>
      </c>
      <c r="BO10">
        <v>220</v>
      </c>
      <c r="BP10">
        <v>40</v>
      </c>
      <c r="BS10" t="s">
        <v>1326</v>
      </c>
      <c r="BV10">
        <v>13</v>
      </c>
      <c r="BW10">
        <v>17</v>
      </c>
      <c r="BX10">
        <v>60</v>
      </c>
      <c r="CA10" t="s">
        <v>1321</v>
      </c>
      <c r="CB10" t="b">
        <v>0</v>
      </c>
      <c r="CD10">
        <v>13</v>
      </c>
      <c r="CE10">
        <v>18</v>
      </c>
      <c r="CF10">
        <v>60</v>
      </c>
      <c r="CI10" t="s">
        <v>1321</v>
      </c>
      <c r="CJ10" t="b">
        <v>0</v>
      </c>
      <c r="CL10">
        <v>111</v>
      </c>
      <c r="CR10">
        <v>2</v>
      </c>
      <c r="CT10">
        <v>121</v>
      </c>
      <c r="CU10">
        <v>200</v>
      </c>
      <c r="CV10">
        <v>61</v>
      </c>
      <c r="CW10">
        <v>194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1328</v>
      </c>
      <c r="T11">
        <v>6</v>
      </c>
      <c r="U11" t="str">
        <f>dbExponentTitle</f>
        <v>Eksponentiel udglatning</v>
      </c>
      <c r="V11">
        <v>6</v>
      </c>
      <c r="W11" t="str">
        <f>dbExponentTitle</f>
        <v>Eksponentiel udglatning</v>
      </c>
      <c r="X11" t="s">
        <v>452</v>
      </c>
      <c r="Y11" s="1" t="s">
        <v>660</v>
      </c>
      <c r="AH11">
        <v>12</v>
      </c>
      <c r="AM11" t="s">
        <v>1329</v>
      </c>
      <c r="AP11">
        <v>13</v>
      </c>
      <c r="AQ11">
        <v>197</v>
      </c>
      <c r="AR11">
        <v>75</v>
      </c>
      <c r="AU11" t="s">
        <v>1330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1331</v>
      </c>
      <c r="BF11">
        <v>12</v>
      </c>
      <c r="BK11" t="s">
        <v>1329</v>
      </c>
      <c r="BN11">
        <v>12</v>
      </c>
      <c r="BS11" t="s">
        <v>1329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1309</v>
      </c>
      <c r="CD11">
        <v>5</v>
      </c>
      <c r="CE11">
        <v>18</v>
      </c>
      <c r="CF11">
        <v>85</v>
      </c>
      <c r="CI11" t="s">
        <v>326</v>
      </c>
      <c r="CL11">
        <v>12</v>
      </c>
      <c r="CM11">
        <v>18</v>
      </c>
      <c r="CN11">
        <v>82</v>
      </c>
      <c r="CQ11" t="s">
        <v>1332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1333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F-test: Dobbelt-stikprøve for varians</v>
      </c>
      <c r="V12">
        <v>7</v>
      </c>
      <c r="W12" t="str">
        <f>dbFTestTitle</f>
        <v>F-test: Dobbelt-stikprøve for varians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1334</v>
      </c>
      <c r="AN12" t="b">
        <v>0</v>
      </c>
      <c r="AP12">
        <v>113</v>
      </c>
      <c r="AQ12">
        <v>25</v>
      </c>
      <c r="AR12">
        <v>93</v>
      </c>
      <c r="AU12" t="s">
        <v>1335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1328</v>
      </c>
      <c r="BL12" t="b">
        <v>0</v>
      </c>
      <c r="BN12">
        <v>13</v>
      </c>
      <c r="BO12">
        <v>18</v>
      </c>
      <c r="BP12">
        <v>75</v>
      </c>
      <c r="BS12" t="s">
        <v>1328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1336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Fourier-analyse</v>
      </c>
      <c r="V13">
        <v>8</v>
      </c>
      <c r="W13" t="str">
        <f>dbFourierTitle</f>
        <v>Fourier-analyse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326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1309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1309</v>
      </c>
      <c r="BV13">
        <v>5</v>
      </c>
      <c r="BW13">
        <v>17</v>
      </c>
      <c r="BX13">
        <v>99</v>
      </c>
      <c r="CA13" t="s">
        <v>1337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1309</v>
      </c>
      <c r="CL13">
        <v>5</v>
      </c>
      <c r="CM13">
        <v>42</v>
      </c>
      <c r="CN13">
        <v>103</v>
      </c>
      <c r="CQ13" t="s">
        <v>1338</v>
      </c>
      <c r="CT13">
        <v>5</v>
      </c>
    </row>
    <row r="14" spans="1:104" x14ac:dyDescent="0.25">
      <c r="A14" t="s">
        <v>404</v>
      </c>
      <c r="B14" t="s">
        <v>1339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Bevægeligt gennemsnit</v>
      </c>
      <c r="V15">
        <v>10</v>
      </c>
      <c r="W15" t="str">
        <f>dbMovingTitle</f>
        <v>Bevægeligt gennemsnit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1309</v>
      </c>
      <c r="AP15">
        <v>14</v>
      </c>
      <c r="AQ15">
        <v>7</v>
      </c>
      <c r="AR15">
        <v>124</v>
      </c>
      <c r="AS15">
        <v>423</v>
      </c>
      <c r="AT15">
        <v>179</v>
      </c>
      <c r="AU15" t="s">
        <v>1309</v>
      </c>
      <c r="AX15">
        <v>24</v>
      </c>
      <c r="AY15">
        <v>418</v>
      </c>
      <c r="AZ15">
        <v>66</v>
      </c>
      <c r="BA15">
        <v>104</v>
      </c>
      <c r="BC15" t="s">
        <v>1340</v>
      </c>
      <c r="BF15">
        <v>12</v>
      </c>
      <c r="BG15">
        <v>20</v>
      </c>
      <c r="BH15">
        <v>120</v>
      </c>
      <c r="BK15" t="s">
        <v>1337</v>
      </c>
      <c r="BN15">
        <v>12</v>
      </c>
      <c r="BO15">
        <v>18</v>
      </c>
      <c r="BP15">
        <v>127</v>
      </c>
      <c r="BS15" t="s">
        <v>1337</v>
      </c>
      <c r="BV15">
        <v>205</v>
      </c>
      <c r="BW15">
        <v>17</v>
      </c>
      <c r="BX15">
        <v>119</v>
      </c>
      <c r="CA15" t="s">
        <v>1322</v>
      </c>
      <c r="CD15">
        <v>12</v>
      </c>
      <c r="CE15">
        <v>18</v>
      </c>
      <c r="CF15">
        <v>132</v>
      </c>
      <c r="CI15" t="s">
        <v>1337</v>
      </c>
      <c r="CL15">
        <v>5</v>
      </c>
      <c r="CM15">
        <v>42</v>
      </c>
      <c r="CN15">
        <v>146</v>
      </c>
      <c r="CQ15" t="s">
        <v>1341</v>
      </c>
      <c r="CT15">
        <v>5</v>
      </c>
    </row>
    <row r="16" spans="1:104" x14ac:dyDescent="0.25">
      <c r="A16" t="s">
        <v>526</v>
      </c>
      <c r="B16" t="s">
        <v>1342</v>
      </c>
      <c r="T16">
        <v>11</v>
      </c>
      <c r="U16" t="str">
        <f>dbRandomTitle</f>
        <v>Generering af tilfældige tal</v>
      </c>
      <c r="V16">
        <v>11</v>
      </c>
      <c r="W16" t="str">
        <f>dbRandomTitle</f>
        <v>Generering af tilfældige tal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1322</v>
      </c>
      <c r="BN16">
        <v>12</v>
      </c>
      <c r="BP16">
        <v>147</v>
      </c>
      <c r="BS16" t="s">
        <v>1322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1322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1343</v>
      </c>
      <c r="T17">
        <v>12</v>
      </c>
      <c r="U17" t="str">
        <f>dbRankPerTitle</f>
        <v>Rang og fraktil</v>
      </c>
      <c r="V17">
        <v>12</v>
      </c>
      <c r="W17" t="str">
        <f>dbRankPerTitle</f>
        <v>Rang og fraktil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1337</v>
      </c>
      <c r="AP17">
        <v>12</v>
      </c>
      <c r="AQ17">
        <v>24</v>
      </c>
      <c r="AR17">
        <v>142</v>
      </c>
      <c r="AU17" t="s">
        <v>1337</v>
      </c>
      <c r="BF17">
        <v>12</v>
      </c>
      <c r="BH17">
        <v>160</v>
      </c>
      <c r="BK17" t="s">
        <v>1327</v>
      </c>
      <c r="BN17">
        <v>12</v>
      </c>
      <c r="BP17">
        <v>167</v>
      </c>
      <c r="BS17" t="s">
        <v>1327</v>
      </c>
      <c r="BV17">
        <v>205</v>
      </c>
      <c r="BW17">
        <v>17</v>
      </c>
      <c r="BX17">
        <v>139</v>
      </c>
      <c r="CA17" t="s">
        <v>1327</v>
      </c>
      <c r="CD17">
        <v>12</v>
      </c>
      <c r="CF17">
        <v>172</v>
      </c>
      <c r="CI17" t="s">
        <v>1327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1309</v>
      </c>
      <c r="CT17">
        <v>5</v>
      </c>
    </row>
    <row r="18" spans="1:104" x14ac:dyDescent="0.25">
      <c r="A18" t="s">
        <v>531</v>
      </c>
      <c r="B18" t="s">
        <v>1344</v>
      </c>
      <c r="T18">
        <v>13</v>
      </c>
      <c r="U18" t="str">
        <f>dbRegressionTitle</f>
        <v>Regression</v>
      </c>
      <c r="V18">
        <v>13</v>
      </c>
      <c r="W18" t="str">
        <f>dbRegressionTitle</f>
        <v>Regression</v>
      </c>
      <c r="X18" t="s">
        <v>448</v>
      </c>
      <c r="Y18" s="1" t="s">
        <v>657</v>
      </c>
      <c r="AH18">
        <v>12</v>
      </c>
      <c r="AJ18">
        <v>169</v>
      </c>
      <c r="AM18" t="s">
        <v>1322</v>
      </c>
      <c r="AP18">
        <v>12</v>
      </c>
      <c r="AR18">
        <v>162</v>
      </c>
      <c r="AU18" t="s">
        <v>1322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1345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1346</v>
      </c>
      <c r="T19">
        <v>14</v>
      </c>
      <c r="U19" t="str">
        <f>dbSamplingTitle</f>
        <v>Stikprøve</v>
      </c>
      <c r="V19">
        <v>14</v>
      </c>
      <c r="W19" t="str">
        <f>dbSamplingTitle</f>
        <v>Stikprøve</v>
      </c>
      <c r="X19" t="s">
        <v>585</v>
      </c>
      <c r="Y19" s="1" t="s">
        <v>662</v>
      </c>
      <c r="AH19">
        <v>12</v>
      </c>
      <c r="AJ19">
        <v>189</v>
      </c>
      <c r="AM19" t="s">
        <v>1327</v>
      </c>
      <c r="AP19">
        <v>12</v>
      </c>
      <c r="AR19">
        <v>182</v>
      </c>
      <c r="AU19" t="s">
        <v>1327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1347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1337</v>
      </c>
      <c r="CT19">
        <v>5</v>
      </c>
    </row>
    <row r="20" spans="1:104" x14ac:dyDescent="0.25">
      <c r="A20" t="s">
        <v>343</v>
      </c>
      <c r="B20" t="s">
        <v>1299</v>
      </c>
      <c r="T20">
        <v>15</v>
      </c>
      <c r="U20" t="str">
        <f>dbTTest1Title</f>
        <v>t-test: Parvis dobbelt stikprøve for middelværdi</v>
      </c>
      <c r="V20">
        <v>15</v>
      </c>
      <c r="W20" t="str">
        <f>dbTTest1Title</f>
        <v>t-test: Parvis dobbelt stikprøve for middelværdi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254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1348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1322</v>
      </c>
      <c r="CT20">
        <v>5</v>
      </c>
    </row>
    <row r="21" spans="1:104" x14ac:dyDescent="0.25">
      <c r="A21" t="s">
        <v>346</v>
      </c>
      <c r="B21" t="s">
        <v>1349</v>
      </c>
      <c r="T21">
        <v>16</v>
      </c>
      <c r="U21" t="str">
        <f>dbTTest2Title</f>
        <v>t-test: To stikprøver med ens varians</v>
      </c>
      <c r="V21">
        <v>16</v>
      </c>
      <c r="W21" t="str">
        <f>dbTTest2Title</f>
        <v>t-test: To stikprøver med ens varians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254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1350</v>
      </c>
      <c r="BT21" t="b">
        <v>0</v>
      </c>
      <c r="CL21">
        <v>12</v>
      </c>
      <c r="CN21">
        <v>230</v>
      </c>
      <c r="CQ21" t="s">
        <v>1327</v>
      </c>
      <c r="CT21">
        <v>5</v>
      </c>
    </row>
    <row r="22" spans="1:104" x14ac:dyDescent="0.25">
      <c r="A22" t="s">
        <v>440</v>
      </c>
      <c r="B22" t="s">
        <v>1300</v>
      </c>
      <c r="T22">
        <v>17</v>
      </c>
      <c r="U22" t="str">
        <f>dbTTest3Title</f>
        <v>t-test: To stikprøver med forskellig varians</v>
      </c>
      <c r="V22">
        <v>17</v>
      </c>
      <c r="W22" t="str">
        <f>dbTTest3Title</f>
        <v>t-test: To stikprøver med forskellig varians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404</v>
      </c>
      <c r="AT22">
        <v>53</v>
      </c>
      <c r="AU22" t="s">
        <v>1351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1352</v>
      </c>
    </row>
    <row r="23" spans="1:104" x14ac:dyDescent="0.25">
      <c r="A23" t="s">
        <v>443</v>
      </c>
      <c r="B23" t="s">
        <v>1353</v>
      </c>
      <c r="T23">
        <v>18</v>
      </c>
      <c r="U23" t="str">
        <f>dbZTestTitle</f>
        <v>z-test: To stikprøver for middelværdi</v>
      </c>
      <c r="V23">
        <v>18</v>
      </c>
      <c r="W23" t="str">
        <f>dbZTestTitle</f>
        <v>z-test: To stikprøver for middelværdi</v>
      </c>
      <c r="X23" t="s">
        <v>357</v>
      </c>
      <c r="Y23" s="1" t="s">
        <v>674</v>
      </c>
      <c r="AP23">
        <v>13</v>
      </c>
      <c r="AR23">
        <v>216</v>
      </c>
      <c r="AU23" t="s">
        <v>1354</v>
      </c>
      <c r="AV23" t="b">
        <v>0</v>
      </c>
      <c r="BF23" s="1" t="s">
        <v>666</v>
      </c>
      <c r="BI23">
        <v>523</v>
      </c>
      <c r="BJ23">
        <v>191</v>
      </c>
      <c r="BK23" t="s">
        <v>1355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1356</v>
      </c>
      <c r="X24" t="s">
        <v>551</v>
      </c>
      <c r="AP24">
        <v>13</v>
      </c>
      <c r="AR24">
        <v>231</v>
      </c>
      <c r="AU24" t="s">
        <v>1357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1358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1359</v>
      </c>
    </row>
    <row r="25" spans="1:104" x14ac:dyDescent="0.25">
      <c r="A25" t="s">
        <v>552</v>
      </c>
      <c r="B25" t="s">
        <v>1360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1361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1307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1362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1363</v>
      </c>
      <c r="X26" t="s">
        <v>376</v>
      </c>
      <c r="AH26" s="1" t="s">
        <v>664</v>
      </c>
      <c r="AK26">
        <v>509</v>
      </c>
      <c r="AL26">
        <v>187</v>
      </c>
      <c r="AM26" t="s">
        <v>1353</v>
      </c>
      <c r="AN26">
        <v>5</v>
      </c>
      <c r="AP26">
        <v>13</v>
      </c>
      <c r="AR26">
        <v>231</v>
      </c>
      <c r="AU26" t="s">
        <v>1364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399</v>
      </c>
      <c r="BN26">
        <v>113</v>
      </c>
      <c r="BO26">
        <v>18</v>
      </c>
      <c r="BP26">
        <v>247</v>
      </c>
      <c r="BS26" t="s">
        <v>1365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1309</v>
      </c>
    </row>
    <row r="27" spans="1:104" x14ac:dyDescent="0.25">
      <c r="A27" t="s">
        <v>377</v>
      </c>
      <c r="B27" t="s">
        <v>1366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404</v>
      </c>
      <c r="AT27">
        <v>35</v>
      </c>
      <c r="AU27" t="s">
        <v>1367</v>
      </c>
      <c r="BF27">
        <v>5</v>
      </c>
      <c r="BG27">
        <v>18</v>
      </c>
      <c r="BH27">
        <v>19</v>
      </c>
      <c r="BK27" t="s">
        <v>1311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1307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381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1307</v>
      </c>
      <c r="AP28">
        <v>13</v>
      </c>
      <c r="AR28">
        <v>270</v>
      </c>
      <c r="AU28" t="s">
        <v>1368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399</v>
      </c>
      <c r="CT28">
        <v>12</v>
      </c>
      <c r="CU28">
        <v>17</v>
      </c>
      <c r="CV28">
        <v>225</v>
      </c>
      <c r="CY28" t="s">
        <v>1337</v>
      </c>
    </row>
    <row r="29" spans="1:104" x14ac:dyDescent="0.25">
      <c r="A29" t="s">
        <v>383</v>
      </c>
      <c r="B29" t="s">
        <v>1369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399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1316</v>
      </c>
      <c r="CD29">
        <v>5</v>
      </c>
      <c r="CE29">
        <v>17</v>
      </c>
      <c r="CF29">
        <v>18</v>
      </c>
      <c r="CI29" t="s">
        <v>1313</v>
      </c>
      <c r="CT29">
        <v>12</v>
      </c>
      <c r="CV29">
        <v>245</v>
      </c>
      <c r="CY29" t="s">
        <v>1322</v>
      </c>
    </row>
    <row r="30" spans="1:104" x14ac:dyDescent="0.25">
      <c r="A30" t="s">
        <v>600</v>
      </c>
      <c r="B30" t="s">
        <v>1370</v>
      </c>
      <c r="X30" t="s">
        <v>332</v>
      </c>
      <c r="AH30">
        <v>5</v>
      </c>
      <c r="AI30">
        <v>20</v>
      </c>
      <c r="AJ30">
        <v>19</v>
      </c>
      <c r="AM30" t="s">
        <v>1311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1327</v>
      </c>
    </row>
    <row r="31" spans="1:104" x14ac:dyDescent="0.25">
      <c r="A31" t="s">
        <v>602</v>
      </c>
      <c r="B31" t="s">
        <v>1371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1326</v>
      </c>
      <c r="CD31">
        <v>5</v>
      </c>
      <c r="CE31">
        <v>17</v>
      </c>
      <c r="CF31">
        <v>41</v>
      </c>
      <c r="CI31" t="s">
        <v>1320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1372</v>
      </c>
      <c r="AH32">
        <v>5</v>
      </c>
      <c r="AI32">
        <v>20</v>
      </c>
      <c r="AJ32">
        <v>45</v>
      </c>
      <c r="AM32" t="s">
        <v>1373</v>
      </c>
      <c r="BF32">
        <v>12</v>
      </c>
      <c r="BK32" t="s">
        <v>1329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1374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1328</v>
      </c>
      <c r="BL33" t="b">
        <v>0</v>
      </c>
      <c r="CD33">
        <v>5</v>
      </c>
      <c r="CE33">
        <v>17</v>
      </c>
      <c r="CF33">
        <v>70</v>
      </c>
      <c r="CI33" t="s">
        <v>1375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1376</v>
      </c>
      <c r="AH34">
        <v>5</v>
      </c>
      <c r="AI34">
        <v>20</v>
      </c>
      <c r="AJ34">
        <v>68</v>
      </c>
      <c r="AM34" t="s">
        <v>326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1309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1377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1321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1309</v>
      </c>
      <c r="BF36">
        <v>12</v>
      </c>
      <c r="BG36">
        <v>18</v>
      </c>
      <c r="BH36">
        <v>120</v>
      </c>
      <c r="BK36" t="s">
        <v>1337</v>
      </c>
      <c r="CD36">
        <v>5</v>
      </c>
      <c r="CE36">
        <v>17</v>
      </c>
      <c r="CF36">
        <v>114</v>
      </c>
      <c r="CI36" t="s">
        <v>326</v>
      </c>
      <c r="CT36">
        <v>5</v>
      </c>
      <c r="CZ36" t="s">
        <v>551</v>
      </c>
    </row>
    <row r="37" spans="1:104" x14ac:dyDescent="0.25">
      <c r="A37" t="s">
        <v>473</v>
      </c>
      <c r="B37" t="s">
        <v>1378</v>
      </c>
      <c r="AH37">
        <v>111</v>
      </c>
      <c r="AN37">
        <v>2</v>
      </c>
      <c r="BF37">
        <v>12</v>
      </c>
      <c r="BH37">
        <v>140</v>
      </c>
      <c r="BK37" t="s">
        <v>1322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1066</v>
      </c>
      <c r="AH38">
        <v>12</v>
      </c>
      <c r="AI38">
        <v>20</v>
      </c>
      <c r="AJ38">
        <v>115</v>
      </c>
      <c r="AM38" t="s">
        <v>1337</v>
      </c>
      <c r="BF38">
        <v>12</v>
      </c>
      <c r="BH38">
        <v>160</v>
      </c>
      <c r="BK38" t="s">
        <v>1327</v>
      </c>
      <c r="CD38">
        <v>14</v>
      </c>
      <c r="CE38">
        <v>8</v>
      </c>
      <c r="CF38">
        <v>140</v>
      </c>
      <c r="CG38">
        <v>405</v>
      </c>
      <c r="CH38">
        <v>86</v>
      </c>
      <c r="CI38" t="s">
        <v>1309</v>
      </c>
      <c r="CT38">
        <v>5</v>
      </c>
    </row>
    <row r="39" spans="1:104" x14ac:dyDescent="0.25">
      <c r="A39" t="s">
        <v>488</v>
      </c>
      <c r="B39" t="s">
        <v>1379</v>
      </c>
      <c r="AH39">
        <v>12</v>
      </c>
      <c r="AJ39">
        <v>135</v>
      </c>
      <c r="AM39" t="s">
        <v>1322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1380</v>
      </c>
      <c r="AH40">
        <v>12</v>
      </c>
      <c r="AJ40">
        <v>155</v>
      </c>
      <c r="AM40" t="s">
        <v>1327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1337</v>
      </c>
      <c r="CT40">
        <v>5</v>
      </c>
    </row>
    <row r="41" spans="1:104" x14ac:dyDescent="0.25">
      <c r="A41" t="s">
        <v>492</v>
      </c>
      <c r="B41" t="s">
        <v>1381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1322</v>
      </c>
      <c r="CT41">
        <v>5</v>
      </c>
    </row>
    <row r="42" spans="1:104" x14ac:dyDescent="0.25">
      <c r="A42" t="s">
        <v>494</v>
      </c>
      <c r="B42" t="s">
        <v>1305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1327</v>
      </c>
      <c r="CT42">
        <v>5</v>
      </c>
    </row>
    <row r="43" spans="1:104" x14ac:dyDescent="0.25">
      <c r="A43" t="s">
        <v>496</v>
      </c>
      <c r="B43" t="s">
        <v>1382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1383</v>
      </c>
      <c r="BF44" s="1" t="s">
        <v>670</v>
      </c>
      <c r="BI44">
        <v>523</v>
      </c>
      <c r="BJ44">
        <v>191</v>
      </c>
      <c r="BK44" t="s">
        <v>1384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1385</v>
      </c>
    </row>
    <row r="45" spans="1:104" x14ac:dyDescent="0.25">
      <c r="A45" t="s">
        <v>422</v>
      </c>
      <c r="B45" t="s">
        <v>1386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1387</v>
      </c>
      <c r="BF46">
        <v>2</v>
      </c>
      <c r="BG46">
        <v>407</v>
      </c>
      <c r="BH46">
        <v>30</v>
      </c>
      <c r="BI46">
        <v>90</v>
      </c>
      <c r="BK46" t="s">
        <v>1307</v>
      </c>
      <c r="CT46">
        <v>5</v>
      </c>
      <c r="CU46">
        <v>184</v>
      </c>
      <c r="CV46">
        <v>114</v>
      </c>
      <c r="CY46" t="s">
        <v>1388</v>
      </c>
    </row>
    <row r="47" spans="1:104" x14ac:dyDescent="0.25">
      <c r="A47" t="s">
        <v>427</v>
      </c>
      <c r="B47" t="s">
        <v>1389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399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1390</v>
      </c>
      <c r="AH48" s="1" t="s">
        <v>665</v>
      </c>
      <c r="AK48">
        <v>523</v>
      </c>
      <c r="AL48">
        <v>185</v>
      </c>
      <c r="AM48" t="s">
        <v>1356</v>
      </c>
      <c r="AN48">
        <v>5</v>
      </c>
      <c r="BF48">
        <v>5</v>
      </c>
      <c r="BG48">
        <v>18</v>
      </c>
      <c r="BH48">
        <v>19</v>
      </c>
      <c r="BK48" t="s">
        <v>1311</v>
      </c>
    </row>
    <row r="49" spans="1:104" x14ac:dyDescent="0.25">
      <c r="A49" t="s">
        <v>431</v>
      </c>
      <c r="B49" t="s">
        <v>1302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1391</v>
      </c>
      <c r="AH50">
        <v>2</v>
      </c>
      <c r="AI50">
        <v>407</v>
      </c>
      <c r="AJ50">
        <v>30</v>
      </c>
      <c r="AK50">
        <v>90</v>
      </c>
      <c r="AM50" t="s">
        <v>1307</v>
      </c>
      <c r="BF50">
        <v>5</v>
      </c>
      <c r="BG50">
        <v>18</v>
      </c>
      <c r="BH50">
        <v>44</v>
      </c>
      <c r="BK50" t="s">
        <v>1316</v>
      </c>
      <c r="CD50" s="1" t="s">
        <v>672</v>
      </c>
      <c r="CG50">
        <v>550</v>
      </c>
      <c r="CH50">
        <v>227</v>
      </c>
      <c r="CI50" t="s">
        <v>1392</v>
      </c>
      <c r="CJ50">
        <v>5</v>
      </c>
      <c r="CT50">
        <v>5</v>
      </c>
      <c r="CU50">
        <v>17</v>
      </c>
      <c r="CV50">
        <v>101</v>
      </c>
      <c r="CY50" t="s">
        <v>1393</v>
      </c>
      <c r="CZ50" t="s">
        <v>599</v>
      </c>
    </row>
    <row r="51" spans="1:104" x14ac:dyDescent="0.25">
      <c r="A51" t="s">
        <v>439</v>
      </c>
      <c r="B51" t="s">
        <v>1394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399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420</v>
      </c>
      <c r="AH52">
        <v>5</v>
      </c>
      <c r="AI52">
        <v>18</v>
      </c>
      <c r="AJ52">
        <v>19</v>
      </c>
      <c r="AM52" t="s">
        <v>1311</v>
      </c>
      <c r="BF52">
        <v>12</v>
      </c>
      <c r="BG52">
        <v>220</v>
      </c>
      <c r="BH52">
        <v>40</v>
      </c>
      <c r="BK52" t="s">
        <v>1326</v>
      </c>
      <c r="CD52">
        <v>2</v>
      </c>
      <c r="CE52">
        <v>440</v>
      </c>
      <c r="CF52">
        <v>30</v>
      </c>
      <c r="CG52">
        <v>90</v>
      </c>
      <c r="CI52" t="s">
        <v>1307</v>
      </c>
      <c r="CT52">
        <v>5</v>
      </c>
      <c r="CU52">
        <v>132</v>
      </c>
      <c r="CV52">
        <v>101</v>
      </c>
      <c r="CY52" t="s">
        <v>1395</v>
      </c>
    </row>
    <row r="53" spans="1:104" x14ac:dyDescent="0.25">
      <c r="A53" t="s">
        <v>338</v>
      </c>
      <c r="B53" t="s">
        <v>1396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1329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399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1397</v>
      </c>
      <c r="AH54">
        <v>13</v>
      </c>
      <c r="AI54">
        <v>19</v>
      </c>
      <c r="AJ54">
        <v>41</v>
      </c>
      <c r="AM54" t="s">
        <v>1321</v>
      </c>
      <c r="AN54" t="b">
        <v>0</v>
      </c>
      <c r="BF54">
        <v>13</v>
      </c>
      <c r="BG54">
        <v>18</v>
      </c>
      <c r="BH54">
        <v>75</v>
      </c>
      <c r="BK54" t="s">
        <v>1328</v>
      </c>
      <c r="BL54" t="b">
        <v>0</v>
      </c>
      <c r="CD54">
        <v>5</v>
      </c>
      <c r="CE54">
        <v>17</v>
      </c>
      <c r="CF54">
        <v>18</v>
      </c>
      <c r="CI54" t="s">
        <v>1313</v>
      </c>
      <c r="CT54">
        <v>5</v>
      </c>
      <c r="CU54">
        <v>232</v>
      </c>
      <c r="CV54">
        <v>101</v>
      </c>
      <c r="CY54" t="s">
        <v>1398</v>
      </c>
    </row>
    <row r="55" spans="1:104" x14ac:dyDescent="0.25">
      <c r="A55" t="s">
        <v>177</v>
      </c>
      <c r="B55" t="s">
        <v>1399</v>
      </c>
      <c r="AH55">
        <v>5</v>
      </c>
      <c r="AI55">
        <v>20</v>
      </c>
      <c r="AJ55">
        <v>62</v>
      </c>
      <c r="AM55" t="s">
        <v>326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1309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180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1320</v>
      </c>
      <c r="CT56">
        <v>5</v>
      </c>
      <c r="CU56">
        <v>17</v>
      </c>
      <c r="CV56">
        <v>131</v>
      </c>
      <c r="CY56" t="s">
        <v>1400</v>
      </c>
    </row>
    <row r="57" spans="1:104" x14ac:dyDescent="0.25">
      <c r="A57" t="s">
        <v>557</v>
      </c>
      <c r="B57" t="s">
        <v>1401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1309</v>
      </c>
      <c r="BF57">
        <v>12</v>
      </c>
      <c r="BG57">
        <v>18</v>
      </c>
      <c r="BH57">
        <v>120</v>
      </c>
      <c r="BK57" t="s">
        <v>1337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1402</v>
      </c>
      <c r="AH58">
        <v>111</v>
      </c>
      <c r="AN58">
        <v>2</v>
      </c>
      <c r="BF58">
        <v>12</v>
      </c>
      <c r="BH58">
        <v>140</v>
      </c>
      <c r="BK58" t="s">
        <v>1322</v>
      </c>
      <c r="CD58">
        <v>5</v>
      </c>
      <c r="CE58">
        <v>17</v>
      </c>
      <c r="CF58">
        <v>70</v>
      </c>
      <c r="CI58" t="s">
        <v>1375</v>
      </c>
      <c r="CT58">
        <v>5</v>
      </c>
      <c r="CU58">
        <v>288</v>
      </c>
      <c r="CV58">
        <v>131</v>
      </c>
      <c r="CY58" t="s">
        <v>1403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1337</v>
      </c>
      <c r="BF59">
        <v>12</v>
      </c>
      <c r="BH59">
        <v>160</v>
      </c>
      <c r="BK59" t="s">
        <v>1327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1404</v>
      </c>
    </row>
    <row r="60" spans="1:104" x14ac:dyDescent="0.25">
      <c r="A60" t="s">
        <v>564</v>
      </c>
      <c r="B60" t="s">
        <v>1405</v>
      </c>
      <c r="AH60">
        <v>12</v>
      </c>
      <c r="AJ60">
        <v>127</v>
      </c>
      <c r="AM60" t="s">
        <v>1322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1321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1406</v>
      </c>
      <c r="AH61">
        <v>12</v>
      </c>
      <c r="AJ61">
        <v>147</v>
      </c>
      <c r="AM61" t="s">
        <v>1327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326</v>
      </c>
      <c r="CT61">
        <v>5</v>
      </c>
      <c r="CU61">
        <v>288</v>
      </c>
      <c r="CV61">
        <v>153</v>
      </c>
      <c r="CY61" t="s">
        <v>1403</v>
      </c>
    </row>
    <row r="62" spans="1:104" x14ac:dyDescent="0.25">
      <c r="A62" t="s">
        <v>568</v>
      </c>
      <c r="B62" t="s">
        <v>1407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1408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1309</v>
      </c>
      <c r="CT63" t="s">
        <v>554</v>
      </c>
    </row>
    <row r="64" spans="1:104" x14ac:dyDescent="0.25">
      <c r="A64" t="s">
        <v>572</v>
      </c>
      <c r="B64" t="s">
        <v>1301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1355</v>
      </c>
      <c r="CD65">
        <v>12</v>
      </c>
      <c r="CE65">
        <v>17</v>
      </c>
      <c r="CF65">
        <v>156</v>
      </c>
      <c r="CI65" t="s">
        <v>1337</v>
      </c>
      <c r="CT65">
        <v>5</v>
      </c>
    </row>
    <row r="66" spans="1:104" x14ac:dyDescent="0.25">
      <c r="A66" t="s">
        <v>194</v>
      </c>
      <c r="B66" t="s">
        <v>1303</v>
      </c>
      <c r="BF66" t="s">
        <v>334</v>
      </c>
      <c r="CD66">
        <v>12</v>
      </c>
      <c r="CF66">
        <v>176</v>
      </c>
      <c r="CI66" t="s">
        <v>1322</v>
      </c>
      <c r="CT66">
        <v>5</v>
      </c>
    </row>
    <row r="67" spans="1:104" x14ac:dyDescent="0.25">
      <c r="A67" t="s">
        <v>195</v>
      </c>
      <c r="B67" t="s">
        <v>1409</v>
      </c>
      <c r="BF67" s="1" t="s">
        <v>667</v>
      </c>
      <c r="BI67">
        <v>523</v>
      </c>
      <c r="BJ67">
        <v>181</v>
      </c>
      <c r="BK67" t="s">
        <v>1410</v>
      </c>
      <c r="BL67">
        <v>5</v>
      </c>
      <c r="CD67">
        <v>12</v>
      </c>
      <c r="CF67">
        <v>196</v>
      </c>
      <c r="CI67" t="s">
        <v>1327</v>
      </c>
      <c r="CT67">
        <v>5</v>
      </c>
    </row>
    <row r="68" spans="1:104" x14ac:dyDescent="0.25">
      <c r="A68" t="s">
        <v>576</v>
      </c>
      <c r="B68" t="s">
        <v>1411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1412</v>
      </c>
      <c r="AH69" s="1" t="s">
        <v>669</v>
      </c>
      <c r="AK69">
        <v>523</v>
      </c>
      <c r="AL69">
        <v>205</v>
      </c>
      <c r="AM69" t="s">
        <v>1409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1307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1413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399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1414</v>
      </c>
      <c r="AH71">
        <v>2</v>
      </c>
      <c r="AI71">
        <v>407</v>
      </c>
      <c r="AJ71">
        <v>30</v>
      </c>
      <c r="AK71">
        <v>90</v>
      </c>
      <c r="AM71" t="s">
        <v>1307</v>
      </c>
      <c r="BF71">
        <v>5</v>
      </c>
      <c r="BG71">
        <v>18</v>
      </c>
      <c r="BH71">
        <v>19</v>
      </c>
      <c r="BK71" t="s">
        <v>1311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399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1415</v>
      </c>
    </row>
    <row r="73" spans="1:104" x14ac:dyDescent="0.25">
      <c r="A73" t="s">
        <v>203</v>
      </c>
      <c r="B73" t="s">
        <v>1416</v>
      </c>
      <c r="AH73">
        <v>5</v>
      </c>
      <c r="AI73">
        <v>18</v>
      </c>
      <c r="AJ73">
        <v>19</v>
      </c>
      <c r="AM73" t="s">
        <v>1311</v>
      </c>
      <c r="BF73">
        <v>13</v>
      </c>
      <c r="BG73">
        <v>18</v>
      </c>
      <c r="BH73">
        <v>40</v>
      </c>
      <c r="BK73" t="s">
        <v>1328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1417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1309</v>
      </c>
      <c r="CD74" t="s">
        <v>441</v>
      </c>
      <c r="CT74">
        <v>5</v>
      </c>
      <c r="CU74">
        <v>24</v>
      </c>
      <c r="CV74">
        <v>134</v>
      </c>
      <c r="CY74" t="s">
        <v>1418</v>
      </c>
    </row>
    <row r="75" spans="1:104" x14ac:dyDescent="0.25">
      <c r="A75" t="s">
        <v>207</v>
      </c>
      <c r="B75" t="s">
        <v>1419</v>
      </c>
      <c r="AH75">
        <v>13</v>
      </c>
      <c r="AI75">
        <v>18</v>
      </c>
      <c r="AJ75">
        <v>41</v>
      </c>
      <c r="AM75" t="s">
        <v>1328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1420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1421</v>
      </c>
      <c r="AH76">
        <v>5</v>
      </c>
      <c r="AI76">
        <v>18</v>
      </c>
      <c r="AJ76">
        <v>69</v>
      </c>
      <c r="AM76" t="s">
        <v>1422</v>
      </c>
      <c r="BF76">
        <v>12</v>
      </c>
      <c r="BG76">
        <v>18</v>
      </c>
      <c r="BH76">
        <v>86</v>
      </c>
      <c r="BK76" t="s">
        <v>1337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1322</v>
      </c>
      <c r="CD77">
        <v>2</v>
      </c>
      <c r="CE77">
        <v>440</v>
      </c>
      <c r="CF77">
        <v>30</v>
      </c>
      <c r="CG77">
        <v>90</v>
      </c>
      <c r="CI77" t="s">
        <v>1307</v>
      </c>
      <c r="CT77" t="s">
        <v>376</v>
      </c>
    </row>
    <row r="78" spans="1:104" x14ac:dyDescent="0.25">
      <c r="A78" t="s">
        <v>219</v>
      </c>
      <c r="B78" t="s">
        <v>1423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1309</v>
      </c>
      <c r="BF78">
        <v>12</v>
      </c>
      <c r="BH78">
        <v>126</v>
      </c>
      <c r="BK78" t="s">
        <v>1327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399</v>
      </c>
      <c r="CT78">
        <v>5</v>
      </c>
      <c r="CZ78" t="s">
        <v>376</v>
      </c>
    </row>
    <row r="79" spans="1:104" x14ac:dyDescent="0.25">
      <c r="A79" t="s">
        <v>220</v>
      </c>
      <c r="B79" t="s">
        <v>1392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1313</v>
      </c>
      <c r="CT79">
        <v>5</v>
      </c>
    </row>
    <row r="80" spans="1:104" x14ac:dyDescent="0.25">
      <c r="A80" t="s">
        <v>221</v>
      </c>
      <c r="B80" t="s">
        <v>1362</v>
      </c>
      <c r="AH80">
        <v>5</v>
      </c>
      <c r="AI80">
        <v>18</v>
      </c>
      <c r="AJ80">
        <v>112</v>
      </c>
      <c r="AM80" t="s">
        <v>1337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1420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1424</v>
      </c>
      <c r="BL81" t="b">
        <v>0</v>
      </c>
      <c r="CD81">
        <v>5</v>
      </c>
      <c r="CE81">
        <v>17</v>
      </c>
      <c r="CF81">
        <v>41</v>
      </c>
      <c r="CI81" t="s">
        <v>1320</v>
      </c>
      <c r="CT81">
        <v>5</v>
      </c>
    </row>
    <row r="82" spans="1:104" x14ac:dyDescent="0.25">
      <c r="A82" t="s">
        <v>606</v>
      </c>
      <c r="B82" t="s">
        <v>1425</v>
      </c>
      <c r="AH82">
        <v>205</v>
      </c>
      <c r="AI82">
        <v>18</v>
      </c>
      <c r="AJ82">
        <v>132</v>
      </c>
      <c r="AM82" t="s">
        <v>1322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1426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1375</v>
      </c>
      <c r="CT83">
        <v>5</v>
      </c>
    </row>
    <row r="84" spans="1:104" x14ac:dyDescent="0.25">
      <c r="A84" t="s">
        <v>303</v>
      </c>
      <c r="B84" t="s">
        <v>1427</v>
      </c>
      <c r="AH84">
        <v>205</v>
      </c>
      <c r="AI84">
        <v>18</v>
      </c>
      <c r="AJ84">
        <v>152</v>
      </c>
      <c r="AM84" t="s">
        <v>1327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1428</v>
      </c>
      <c r="AH85">
        <v>13</v>
      </c>
      <c r="AI85">
        <v>18</v>
      </c>
      <c r="AJ85">
        <v>175</v>
      </c>
      <c r="AM85" t="s">
        <v>1429</v>
      </c>
      <c r="AN85" t="b">
        <v>0</v>
      </c>
      <c r="CD85">
        <v>13</v>
      </c>
      <c r="CE85">
        <v>18</v>
      </c>
      <c r="CF85">
        <v>87</v>
      </c>
      <c r="CI85" t="s">
        <v>1321</v>
      </c>
      <c r="CJ85" t="b">
        <v>0</v>
      </c>
      <c r="CT85">
        <v>5</v>
      </c>
    </row>
    <row r="86" spans="1:104" x14ac:dyDescent="0.25">
      <c r="A86" t="s">
        <v>228</v>
      </c>
      <c r="B86" t="s">
        <v>1430</v>
      </c>
      <c r="AH86">
        <v>13</v>
      </c>
      <c r="AI86">
        <v>222</v>
      </c>
      <c r="AJ86">
        <v>175</v>
      </c>
      <c r="AM86" t="s">
        <v>1347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326</v>
      </c>
      <c r="CT86">
        <v>5</v>
      </c>
    </row>
    <row r="87" spans="1:104" x14ac:dyDescent="0.25">
      <c r="A87" t="s">
        <v>231</v>
      </c>
      <c r="B87" t="s">
        <v>1431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1432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1309</v>
      </c>
      <c r="CT88">
        <v>5</v>
      </c>
      <c r="CU88">
        <v>26</v>
      </c>
      <c r="CV88">
        <v>108</v>
      </c>
      <c r="CY88" t="s">
        <v>1433</v>
      </c>
    </row>
    <row r="89" spans="1:104" x14ac:dyDescent="0.25">
      <c r="A89" t="s">
        <v>299</v>
      </c>
      <c r="B89" t="s">
        <v>1434</v>
      </c>
      <c r="BF89">
        <v>2</v>
      </c>
      <c r="BG89">
        <v>407</v>
      </c>
      <c r="BH89">
        <v>30</v>
      </c>
      <c r="BI89">
        <v>90</v>
      </c>
      <c r="BK89" t="s">
        <v>1307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1435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399</v>
      </c>
      <c r="CD90">
        <v>12</v>
      </c>
      <c r="CE90">
        <v>17</v>
      </c>
      <c r="CF90">
        <v>152</v>
      </c>
      <c r="CI90" t="s">
        <v>1337</v>
      </c>
    </row>
    <row r="91" spans="1:104" x14ac:dyDescent="0.25">
      <c r="A91" t="s">
        <v>237</v>
      </c>
      <c r="B91" t="s">
        <v>1436</v>
      </c>
      <c r="BF91">
        <v>5</v>
      </c>
      <c r="BG91">
        <v>18</v>
      </c>
      <c r="BH91">
        <v>19</v>
      </c>
      <c r="BK91" t="s">
        <v>1311</v>
      </c>
      <c r="CD91">
        <v>12</v>
      </c>
      <c r="CF91">
        <v>172</v>
      </c>
      <c r="CI91" t="s">
        <v>1322</v>
      </c>
      <c r="CT91" t="s">
        <v>379</v>
      </c>
    </row>
    <row r="92" spans="1:104" x14ac:dyDescent="0.25">
      <c r="A92" t="s">
        <v>239</v>
      </c>
      <c r="B92" t="s">
        <v>1437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1327</v>
      </c>
      <c r="CT92">
        <v>5</v>
      </c>
      <c r="CZ92" t="s">
        <v>379</v>
      </c>
    </row>
    <row r="93" spans="1:104" x14ac:dyDescent="0.25">
      <c r="A93" t="s">
        <v>485</v>
      </c>
      <c r="B93" t="s">
        <v>1438</v>
      </c>
      <c r="BF93">
        <v>5</v>
      </c>
      <c r="BG93">
        <v>18</v>
      </c>
      <c r="BH93">
        <v>43</v>
      </c>
      <c r="BK93" t="s">
        <v>1439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1440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1441</v>
      </c>
      <c r="BF95">
        <v>13</v>
      </c>
      <c r="BG95">
        <v>18</v>
      </c>
      <c r="BH95">
        <v>66</v>
      </c>
      <c r="BK95" t="s">
        <v>1321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1442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1309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1443</v>
      </c>
      <c r="BF98">
        <v>12</v>
      </c>
      <c r="BG98">
        <v>18</v>
      </c>
      <c r="BH98">
        <v>112</v>
      </c>
      <c r="BK98" t="s">
        <v>1337</v>
      </c>
      <c r="CT98">
        <v>5</v>
      </c>
    </row>
    <row r="99" spans="1:104" x14ac:dyDescent="0.25">
      <c r="A99" t="s">
        <v>252</v>
      </c>
      <c r="B99" t="s">
        <v>1444</v>
      </c>
      <c r="BF99">
        <v>12</v>
      </c>
      <c r="BH99">
        <v>132</v>
      </c>
      <c r="BK99" t="s">
        <v>1322</v>
      </c>
      <c r="CD99" t="s">
        <v>357</v>
      </c>
      <c r="CT99">
        <v>5</v>
      </c>
    </row>
    <row r="100" spans="1:104" x14ac:dyDescent="0.25">
      <c r="A100" t="s">
        <v>511</v>
      </c>
      <c r="B100" t="s">
        <v>1445</v>
      </c>
      <c r="BF100">
        <v>12</v>
      </c>
      <c r="BH100">
        <v>152</v>
      </c>
      <c r="BK100" t="s">
        <v>1327</v>
      </c>
      <c r="CD100" s="1" t="s">
        <v>674</v>
      </c>
      <c r="CG100">
        <v>577</v>
      </c>
      <c r="CH100">
        <v>281</v>
      </c>
      <c r="CI100" t="s">
        <v>1441</v>
      </c>
      <c r="CJ100">
        <v>5</v>
      </c>
      <c r="CT100">
        <v>5</v>
      </c>
      <c r="CU100">
        <v>23</v>
      </c>
      <c r="CV100">
        <v>131</v>
      </c>
      <c r="CY100" t="s">
        <v>1446</v>
      </c>
    </row>
    <row r="101" spans="1:104" x14ac:dyDescent="0.25">
      <c r="A101" t="s">
        <v>513</v>
      </c>
      <c r="B101" t="s">
        <v>1447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1384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1307</v>
      </c>
      <c r="CT102">
        <v>5</v>
      </c>
      <c r="CU102">
        <v>25</v>
      </c>
      <c r="CV102">
        <v>108</v>
      </c>
      <c r="CY102" t="s">
        <v>1433</v>
      </c>
    </row>
    <row r="103" spans="1:104" x14ac:dyDescent="0.25">
      <c r="A103" t="s">
        <v>516</v>
      </c>
      <c r="B103" t="s">
        <v>820</v>
      </c>
      <c r="BF103">
        <v>13</v>
      </c>
      <c r="BG103">
        <v>18</v>
      </c>
      <c r="BH103">
        <v>174</v>
      </c>
      <c r="BK103" t="s">
        <v>1448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399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1449</v>
      </c>
      <c r="BF104">
        <v>13</v>
      </c>
      <c r="BK104" t="s">
        <v>1450</v>
      </c>
      <c r="BL104" t="b">
        <v>0</v>
      </c>
      <c r="CD104">
        <v>5</v>
      </c>
      <c r="CE104">
        <v>17</v>
      </c>
      <c r="CF104">
        <v>18</v>
      </c>
      <c r="CI104" t="s">
        <v>1313</v>
      </c>
    </row>
    <row r="105" spans="1:104" x14ac:dyDescent="0.25">
      <c r="A105" t="s">
        <v>534</v>
      </c>
      <c r="B105" t="s">
        <v>1451</v>
      </c>
      <c r="BF105">
        <v>13</v>
      </c>
      <c r="BK105" t="s">
        <v>1429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1452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1320</v>
      </c>
      <c r="CT106">
        <v>5</v>
      </c>
      <c r="CZ106" t="s">
        <v>382</v>
      </c>
    </row>
    <row r="107" spans="1:104" x14ac:dyDescent="0.25">
      <c r="A107" t="s">
        <v>538</v>
      </c>
      <c r="B107" t="s">
        <v>1306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1453</v>
      </c>
      <c r="CD108">
        <v>5</v>
      </c>
      <c r="CE108">
        <v>17</v>
      </c>
      <c r="CF108">
        <v>68</v>
      </c>
      <c r="CI108" t="s">
        <v>1375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1454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1455</v>
      </c>
      <c r="CT112">
        <v>5</v>
      </c>
    </row>
    <row r="113" spans="1:104" x14ac:dyDescent="0.25">
      <c r="A113" t="s">
        <v>539</v>
      </c>
      <c r="B113" t="s">
        <v>1456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1457</v>
      </c>
      <c r="CD114">
        <v>13</v>
      </c>
      <c r="CE114">
        <v>17</v>
      </c>
      <c r="CF114">
        <v>143</v>
      </c>
      <c r="CI114" t="s">
        <v>1321</v>
      </c>
      <c r="CJ114" t="b">
        <v>0</v>
      </c>
      <c r="CT114">
        <v>5</v>
      </c>
    </row>
    <row r="115" spans="1:104" x14ac:dyDescent="0.25">
      <c r="A115" t="s">
        <v>543</v>
      </c>
      <c r="B115" t="s">
        <v>457</v>
      </c>
      <c r="CD115">
        <v>5</v>
      </c>
      <c r="CE115">
        <v>17</v>
      </c>
      <c r="CF115">
        <v>168</v>
      </c>
      <c r="CI115" t="s">
        <v>326</v>
      </c>
      <c r="CT115">
        <v>5</v>
      </c>
    </row>
    <row r="116" spans="1:104" x14ac:dyDescent="0.25">
      <c r="A116" t="s">
        <v>544</v>
      </c>
      <c r="B116" t="s">
        <v>1458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548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1309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1459</v>
      </c>
      <c r="CD118">
        <v>111</v>
      </c>
      <c r="CJ118">
        <v>2</v>
      </c>
    </row>
    <row r="119" spans="1:104" x14ac:dyDescent="0.25">
      <c r="A119" t="s">
        <v>562</v>
      </c>
      <c r="B119" t="s">
        <v>1460</v>
      </c>
      <c r="CD119">
        <v>12</v>
      </c>
      <c r="CE119">
        <v>17</v>
      </c>
      <c r="CF119">
        <v>211</v>
      </c>
      <c r="CI119" t="s">
        <v>1337</v>
      </c>
      <c r="CT119" t="s">
        <v>332</v>
      </c>
    </row>
    <row r="120" spans="1:104" x14ac:dyDescent="0.25">
      <c r="A120" t="s">
        <v>366</v>
      </c>
      <c r="B120" t="s">
        <v>1461</v>
      </c>
      <c r="CD120">
        <v>12</v>
      </c>
      <c r="CF120">
        <v>231</v>
      </c>
      <c r="CI120" t="s">
        <v>1322</v>
      </c>
      <c r="CT120">
        <v>5</v>
      </c>
      <c r="CZ120" t="s">
        <v>332</v>
      </c>
    </row>
    <row r="121" spans="1:104" x14ac:dyDescent="0.25">
      <c r="A121" t="s">
        <v>368</v>
      </c>
      <c r="B121" t="s">
        <v>1462</v>
      </c>
      <c r="CD121">
        <v>12</v>
      </c>
      <c r="CF121">
        <v>251</v>
      </c>
      <c r="CI121" t="s">
        <v>1327</v>
      </c>
      <c r="CT121">
        <v>5</v>
      </c>
    </row>
    <row r="122" spans="1:104" x14ac:dyDescent="0.25">
      <c r="A122" t="s">
        <v>370</v>
      </c>
      <c r="B122" t="s">
        <v>1463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1464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1465</v>
      </c>
      <c r="CT125">
        <v>5</v>
      </c>
    </row>
    <row r="126" spans="1:104" x14ac:dyDescent="0.25">
      <c r="A126" t="s">
        <v>590</v>
      </c>
      <c r="B126" t="s">
        <v>1466</v>
      </c>
      <c r="CT126">
        <v>5</v>
      </c>
    </row>
    <row r="127" spans="1:104" x14ac:dyDescent="0.25">
      <c r="A127" t="s">
        <v>592</v>
      </c>
      <c r="B127" t="s">
        <v>1467</v>
      </c>
      <c r="CT127">
        <v>5</v>
      </c>
    </row>
    <row r="128" spans="1:104" x14ac:dyDescent="0.25">
      <c r="A128" t="s">
        <v>594</v>
      </c>
      <c r="B128" t="s">
        <v>1468</v>
      </c>
      <c r="CT128">
        <v>5</v>
      </c>
    </row>
    <row r="129" spans="1:104" x14ac:dyDescent="0.25">
      <c r="A129" t="s">
        <v>596</v>
      </c>
      <c r="B129" t="s">
        <v>597</v>
      </c>
      <c r="CT129">
        <v>5</v>
      </c>
    </row>
    <row r="130" spans="1:104" x14ac:dyDescent="0.25">
      <c r="A130" t="s">
        <v>277</v>
      </c>
      <c r="B130" t="s">
        <v>1469</v>
      </c>
      <c r="CT130">
        <v>5</v>
      </c>
      <c r="CU130">
        <v>6</v>
      </c>
      <c r="CV130">
        <v>107</v>
      </c>
      <c r="CY130" t="s">
        <v>1352</v>
      </c>
    </row>
    <row r="131" spans="1:104" x14ac:dyDescent="0.25">
      <c r="A131" t="s">
        <v>279</v>
      </c>
      <c r="B131" t="s">
        <v>1470</v>
      </c>
      <c r="CT131">
        <v>10</v>
      </c>
      <c r="CU131">
        <v>8</v>
      </c>
      <c r="CV131">
        <v>123</v>
      </c>
      <c r="CW131">
        <v>303</v>
      </c>
      <c r="CZ131" t="s">
        <v>316</v>
      </c>
    </row>
    <row r="132" spans="1:104" x14ac:dyDescent="0.25">
      <c r="A132" t="s">
        <v>281</v>
      </c>
      <c r="B132" t="s">
        <v>1471</v>
      </c>
    </row>
    <row r="133" spans="1:104" x14ac:dyDescent="0.25">
      <c r="A133" t="s">
        <v>283</v>
      </c>
      <c r="B133" t="s">
        <v>1472</v>
      </c>
    </row>
    <row r="134" spans="1:104" x14ac:dyDescent="0.25">
      <c r="A134" t="s">
        <v>285</v>
      </c>
      <c r="B134" t="s">
        <v>1473</v>
      </c>
      <c r="CT134" t="s">
        <v>287</v>
      </c>
    </row>
    <row r="135" spans="1:104" x14ac:dyDescent="0.25">
      <c r="A135" t="s">
        <v>288</v>
      </c>
      <c r="B135" t="s">
        <v>1474</v>
      </c>
      <c r="CT135" t="s">
        <v>507</v>
      </c>
    </row>
    <row r="136" spans="1:104" x14ac:dyDescent="0.25">
      <c r="A136" t="s">
        <v>290</v>
      </c>
      <c r="B136" t="s">
        <v>1475</v>
      </c>
      <c r="CT136" t="str">
        <f>mg01s.RandUniform</f>
        <v>Jævn</v>
      </c>
      <c r="CU136" t="s">
        <v>551</v>
      </c>
    </row>
    <row r="137" spans="1:104" x14ac:dyDescent="0.25">
      <c r="A137" t="s">
        <v>292</v>
      </c>
      <c r="B137" t="s">
        <v>1476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1477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1478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1479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1480</v>
      </c>
      <c r="CT141" t="str">
        <f>mg01s.RandPatterned</f>
        <v>Sammensat</v>
      </c>
      <c r="CU141" t="s">
        <v>599</v>
      </c>
    </row>
    <row r="142" spans="1:104" x14ac:dyDescent="0.25">
      <c r="A142" t="s">
        <v>92</v>
      </c>
      <c r="B142" t="s">
        <v>1481</v>
      </c>
      <c r="CT142" t="str">
        <f>mg01s.RandDiscrete</f>
        <v>Diskret</v>
      </c>
      <c r="CU142" t="s">
        <v>332</v>
      </c>
    </row>
    <row r="143" spans="1:104" x14ac:dyDescent="0.25">
      <c r="A143" t="s">
        <v>304</v>
      </c>
      <c r="B143" t="s">
        <v>1482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1483</v>
      </c>
    </row>
    <row r="147" spans="1:2" x14ac:dyDescent="0.25">
      <c r="A147" t="s">
        <v>313</v>
      </c>
      <c r="B147" t="s">
        <v>1484</v>
      </c>
    </row>
    <row r="148" spans="1:2" x14ac:dyDescent="0.25">
      <c r="A148" t="s">
        <v>102</v>
      </c>
      <c r="B148" t="s">
        <v>1485</v>
      </c>
    </row>
    <row r="149" spans="1:2" x14ac:dyDescent="0.25">
      <c r="A149" t="s">
        <v>319</v>
      </c>
      <c r="B149" t="s">
        <v>1486</v>
      </c>
    </row>
    <row r="150" spans="1:2" x14ac:dyDescent="0.25">
      <c r="A150" t="s">
        <v>105</v>
      </c>
      <c r="B150" t="s">
        <v>1487</v>
      </c>
    </row>
    <row r="151" spans="1:2" x14ac:dyDescent="0.25">
      <c r="A151" t="s">
        <v>323</v>
      </c>
      <c r="B151" t="s">
        <v>1488</v>
      </c>
    </row>
    <row r="152" spans="1:2" x14ac:dyDescent="0.25">
      <c r="A152" t="s">
        <v>108</v>
      </c>
      <c r="B152" t="s">
        <v>1489</v>
      </c>
    </row>
    <row r="153" spans="1:2" x14ac:dyDescent="0.25">
      <c r="A153" t="s">
        <v>110</v>
      </c>
      <c r="B153" t="s">
        <v>1490</v>
      </c>
    </row>
    <row r="154" spans="1:2" x14ac:dyDescent="0.25">
      <c r="A154" t="s">
        <v>112</v>
      </c>
      <c r="B154" t="s">
        <v>1491</v>
      </c>
    </row>
    <row r="155" spans="1:2" x14ac:dyDescent="0.25">
      <c r="A155" t="s">
        <v>336</v>
      </c>
      <c r="B155" t="s">
        <v>1492</v>
      </c>
    </row>
    <row r="156" spans="1:2" x14ac:dyDescent="0.25">
      <c r="A156" t="s">
        <v>120</v>
      </c>
      <c r="B156" t="s">
        <v>1493</v>
      </c>
    </row>
    <row r="157" spans="1:2" x14ac:dyDescent="0.25">
      <c r="A157" t="s">
        <v>349</v>
      </c>
      <c r="B157" t="s">
        <v>1494</v>
      </c>
    </row>
    <row r="158" spans="1:2" x14ac:dyDescent="0.25">
      <c r="A158" t="s">
        <v>350</v>
      </c>
      <c r="B158" t="s">
        <v>1495</v>
      </c>
    </row>
    <row r="159" spans="1:2" x14ac:dyDescent="0.25">
      <c r="A159" t="s">
        <v>438</v>
      </c>
      <c r="B159" t="s">
        <v>1496</v>
      </c>
    </row>
    <row r="160" spans="1:2" x14ac:dyDescent="0.25">
      <c r="A160" t="s">
        <v>353</v>
      </c>
      <c r="B160" t="s">
        <v>1497</v>
      </c>
    </row>
    <row r="161" spans="1:2" x14ac:dyDescent="0.25">
      <c r="A161" t="s">
        <v>355</v>
      </c>
      <c r="B161" t="s">
        <v>1498</v>
      </c>
    </row>
    <row r="162" spans="1:2" x14ac:dyDescent="0.25">
      <c r="A162" t="s">
        <v>129</v>
      </c>
      <c r="B162" t="s">
        <v>1499</v>
      </c>
    </row>
    <row r="163" spans="1:2" x14ac:dyDescent="0.25">
      <c r="A163" t="s">
        <v>363</v>
      </c>
      <c r="B163" t="s">
        <v>1500</v>
      </c>
    </row>
    <row r="164" spans="1:2" x14ac:dyDescent="0.25">
      <c r="A164" t="s">
        <v>365</v>
      </c>
      <c r="B164" t="s">
        <v>1501</v>
      </c>
    </row>
    <row r="165" spans="1:2" x14ac:dyDescent="0.25">
      <c r="A165" t="s">
        <v>374</v>
      </c>
      <c r="B165" t="s">
        <v>1502</v>
      </c>
    </row>
    <row r="166" spans="1:2" x14ac:dyDescent="0.25">
      <c r="A166" t="s">
        <v>135</v>
      </c>
      <c r="B166" t="s">
        <v>1503</v>
      </c>
    </row>
    <row r="167" spans="1:2" x14ac:dyDescent="0.25">
      <c r="A167" t="s">
        <v>137</v>
      </c>
      <c r="B167" t="s">
        <v>1504</v>
      </c>
    </row>
    <row r="168" spans="1:2" x14ac:dyDescent="0.25">
      <c r="A168" t="s">
        <v>139</v>
      </c>
      <c r="B168" t="s">
        <v>1505</v>
      </c>
    </row>
    <row r="169" spans="1:2" x14ac:dyDescent="0.25">
      <c r="A169" t="s">
        <v>384</v>
      </c>
      <c r="B169" t="s">
        <v>1506</v>
      </c>
    </row>
    <row r="170" spans="1:2" x14ac:dyDescent="0.25">
      <c r="A170" t="s">
        <v>462</v>
      </c>
      <c r="B170" t="s">
        <v>1507</v>
      </c>
    </row>
    <row r="171" spans="1:2" x14ac:dyDescent="0.25">
      <c r="A171" t="s">
        <v>464</v>
      </c>
      <c r="B171" t="s">
        <v>1508</v>
      </c>
    </row>
    <row r="172" spans="1:2" x14ac:dyDescent="0.25">
      <c r="A172" t="s">
        <v>388</v>
      </c>
      <c r="B172" t="s">
        <v>1509</v>
      </c>
    </row>
    <row r="173" spans="1:2" x14ac:dyDescent="0.25">
      <c r="A173" t="s">
        <v>147</v>
      </c>
      <c r="B173" t="s">
        <v>1510</v>
      </c>
    </row>
    <row r="174" spans="1:2" x14ac:dyDescent="0.25">
      <c r="A174" t="s">
        <v>385</v>
      </c>
      <c r="B174" t="s">
        <v>1511</v>
      </c>
    </row>
    <row r="175" spans="1:2" x14ac:dyDescent="0.25">
      <c r="A175" t="s">
        <v>151</v>
      </c>
      <c r="B175" t="s">
        <v>1512</v>
      </c>
    </row>
    <row r="176" spans="1:2" x14ac:dyDescent="0.25">
      <c r="A176" t="s">
        <v>406</v>
      </c>
      <c r="B176" t="s">
        <v>1513</v>
      </c>
    </row>
    <row r="177" spans="1:2" x14ac:dyDescent="0.25">
      <c r="A177" t="s">
        <v>408</v>
      </c>
      <c r="B177" t="s">
        <v>1514</v>
      </c>
    </row>
    <row r="178" spans="1:2" x14ac:dyDescent="0.25">
      <c r="A178" t="s">
        <v>503</v>
      </c>
      <c r="B178" t="s">
        <v>1515</v>
      </c>
    </row>
    <row r="179" spans="1:2" x14ac:dyDescent="0.25">
      <c r="A179" t="s">
        <v>410</v>
      </c>
      <c r="B179" t="s">
        <v>1516</v>
      </c>
    </row>
    <row r="180" spans="1:2" x14ac:dyDescent="0.25">
      <c r="A180" t="s">
        <v>412</v>
      </c>
      <c r="B180" t="s">
        <v>1517</v>
      </c>
    </row>
    <row r="181" spans="1:2" x14ac:dyDescent="0.25">
      <c r="A181" t="s">
        <v>161</v>
      </c>
      <c r="B181" t="s">
        <v>1518</v>
      </c>
    </row>
    <row r="182" spans="1:2" x14ac:dyDescent="0.25">
      <c r="A182" t="s">
        <v>415</v>
      </c>
      <c r="B182" t="s">
        <v>1519</v>
      </c>
    </row>
    <row r="183" spans="1:2" x14ac:dyDescent="0.25">
      <c r="A183" t="s">
        <v>173</v>
      </c>
      <c r="B183" t="s">
        <v>1520</v>
      </c>
    </row>
    <row r="184" spans="1:2" x14ac:dyDescent="0.25">
      <c r="A184" t="s">
        <v>167</v>
      </c>
      <c r="B184" t="s">
        <v>1521</v>
      </c>
    </row>
    <row r="185" spans="1:2" x14ac:dyDescent="0.25">
      <c r="A185" t="s">
        <v>169</v>
      </c>
      <c r="B185" t="s">
        <v>1522</v>
      </c>
    </row>
    <row r="186" spans="1:2" x14ac:dyDescent="0.25">
      <c r="A186" t="s">
        <v>444</v>
      </c>
      <c r="B186" t="s">
        <v>1523</v>
      </c>
    </row>
    <row r="187" spans="1:2" x14ac:dyDescent="0.25">
      <c r="A187" t="s">
        <v>18</v>
      </c>
      <c r="B187" t="s">
        <v>1524</v>
      </c>
    </row>
    <row r="188" spans="1:2" x14ac:dyDescent="0.25">
      <c r="A188" t="s">
        <v>175</v>
      </c>
      <c r="B188" t="s">
        <v>1525</v>
      </c>
    </row>
    <row r="189" spans="1:2" x14ac:dyDescent="0.25">
      <c r="A189" t="s">
        <v>181</v>
      </c>
      <c r="B189" t="s">
        <v>1526</v>
      </c>
    </row>
    <row r="190" spans="1:2" x14ac:dyDescent="0.25">
      <c r="A190" t="s">
        <v>64</v>
      </c>
      <c r="B190" t="s">
        <v>1527</v>
      </c>
    </row>
    <row r="191" spans="1:2" x14ac:dyDescent="0.25">
      <c r="A191" t="s">
        <v>185</v>
      </c>
      <c r="B191" t="s">
        <v>1528</v>
      </c>
    </row>
    <row r="192" spans="1:2" x14ac:dyDescent="0.25">
      <c r="A192" t="s">
        <v>192</v>
      </c>
      <c r="B192" t="s">
        <v>1529</v>
      </c>
    </row>
    <row r="193" spans="1:2" x14ac:dyDescent="0.25">
      <c r="A193" t="s">
        <v>67</v>
      </c>
      <c r="B193" t="s">
        <v>1530</v>
      </c>
    </row>
    <row r="194" spans="1:2" x14ac:dyDescent="0.25">
      <c r="A194" t="s">
        <v>197</v>
      </c>
      <c r="B194" t="s">
        <v>1531</v>
      </c>
    </row>
    <row r="195" spans="1:2" x14ac:dyDescent="0.25">
      <c r="A195" t="s">
        <v>199</v>
      </c>
      <c r="B195" t="s">
        <v>1532</v>
      </c>
    </row>
    <row r="196" spans="1:2" x14ac:dyDescent="0.25">
      <c r="A196" t="s">
        <v>44</v>
      </c>
      <c r="B196" t="s">
        <v>1533</v>
      </c>
    </row>
    <row r="197" spans="1:2" x14ac:dyDescent="0.25">
      <c r="A197" t="s">
        <v>46</v>
      </c>
      <c r="B197" t="s">
        <v>1534</v>
      </c>
    </row>
    <row r="198" spans="1:2" x14ac:dyDescent="0.25">
      <c r="A198" t="s">
        <v>212</v>
      </c>
      <c r="B198" t="s">
        <v>1535</v>
      </c>
    </row>
    <row r="199" spans="1:2" x14ac:dyDescent="0.25">
      <c r="A199" t="s">
        <v>215</v>
      </c>
      <c r="B199" t="s">
        <v>1536</v>
      </c>
    </row>
    <row r="200" spans="1:2" x14ac:dyDescent="0.25">
      <c r="A200" t="s">
        <v>77</v>
      </c>
      <c r="B200" t="s">
        <v>1537</v>
      </c>
    </row>
    <row r="201" spans="1:2" x14ac:dyDescent="0.25">
      <c r="A201" t="s">
        <v>223</v>
      </c>
      <c r="B201" t="s">
        <v>1538</v>
      </c>
    </row>
    <row r="202" spans="1:2" x14ac:dyDescent="0.25">
      <c r="A202" t="s">
        <v>1</v>
      </c>
      <c r="B202" t="s">
        <v>1539</v>
      </c>
    </row>
    <row r="203" spans="1:2" x14ac:dyDescent="0.25">
      <c r="A203" t="s">
        <v>225</v>
      </c>
      <c r="B203" t="s">
        <v>1540</v>
      </c>
    </row>
    <row r="204" spans="1:2" x14ac:dyDescent="0.25">
      <c r="A204" t="s">
        <v>4</v>
      </c>
      <c r="B204" t="s">
        <v>1541</v>
      </c>
    </row>
    <row r="205" spans="1:2" x14ac:dyDescent="0.25">
      <c r="A205" t="s">
        <v>233</v>
      </c>
      <c r="B205" t="s">
        <v>1542</v>
      </c>
    </row>
    <row r="206" spans="1:2" x14ac:dyDescent="0.25">
      <c r="A206" t="s">
        <v>6</v>
      </c>
      <c r="B206" t="s">
        <v>1543</v>
      </c>
    </row>
    <row r="207" spans="1:2" x14ac:dyDescent="0.25">
      <c r="A207" t="s">
        <v>241</v>
      </c>
      <c r="B207" t="s">
        <v>1544</v>
      </c>
    </row>
    <row r="208" spans="1:2" x14ac:dyDescent="0.25">
      <c r="A208" t="s">
        <v>11</v>
      </c>
      <c r="B208" t="s">
        <v>1545</v>
      </c>
    </row>
    <row r="209" spans="1:103" x14ac:dyDescent="0.25">
      <c r="A209" t="s">
        <v>13</v>
      </c>
      <c r="B209" t="s">
        <v>1546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1547</v>
      </c>
    </row>
    <row r="212" spans="1:103" x14ac:dyDescent="0.25">
      <c r="A212" t="s">
        <v>258</v>
      </c>
      <c r="B212" t="s">
        <v>1548</v>
      </c>
    </row>
    <row r="213" spans="1:103" x14ac:dyDescent="0.25">
      <c r="A213" t="s">
        <v>533</v>
      </c>
      <c r="B213" t="s">
        <v>1549</v>
      </c>
      <c r="BS213" t="b">
        <v>1</v>
      </c>
    </row>
    <row r="214" spans="1:103" x14ac:dyDescent="0.25">
      <c r="A214" t="s">
        <v>17</v>
      </c>
      <c r="B214" t="s">
        <v>1550</v>
      </c>
    </row>
    <row r="215" spans="1:103" x14ac:dyDescent="0.25">
      <c r="A215" t="s">
        <v>265</v>
      </c>
      <c r="B215" t="s">
        <v>1551</v>
      </c>
    </row>
    <row r="216" spans="1:103" x14ac:dyDescent="0.25">
      <c r="A216" t="s">
        <v>550</v>
      </c>
      <c r="B216" t="s">
        <v>1552</v>
      </c>
    </row>
    <row r="217" spans="1:103" x14ac:dyDescent="0.25">
      <c r="A217" t="s">
        <v>267</v>
      </c>
      <c r="B217" t="s">
        <v>1553</v>
      </c>
    </row>
    <row r="218" spans="1:103" x14ac:dyDescent="0.25">
      <c r="A218" t="s">
        <v>262</v>
      </c>
      <c r="B218" t="s">
        <v>1554</v>
      </c>
    </row>
    <row r="219" spans="1:103" x14ac:dyDescent="0.25">
      <c r="A219" t="s">
        <v>272</v>
      </c>
      <c r="B219" t="s">
        <v>1555</v>
      </c>
    </row>
    <row r="220" spans="1:103" x14ac:dyDescent="0.25">
      <c r="A220" t="s">
        <v>36</v>
      </c>
      <c r="B220" t="s">
        <v>1556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1557</v>
      </c>
      <c r="AE221" t="b">
        <v>1</v>
      </c>
    </row>
    <row r="222" spans="1:103" x14ac:dyDescent="0.25">
      <c r="A222" t="s">
        <v>269</v>
      </c>
      <c r="B222" t="s">
        <v>1558</v>
      </c>
      <c r="CY222" t="b">
        <v>1</v>
      </c>
    </row>
    <row r="223" spans="1:103" x14ac:dyDescent="0.25">
      <c r="A223" t="s">
        <v>40</v>
      </c>
      <c r="B223" t="s">
        <v>1559</v>
      </c>
    </row>
    <row r="224" spans="1:103" x14ac:dyDescent="0.25">
      <c r="A224" t="s">
        <v>42</v>
      </c>
      <c r="B224" t="s">
        <v>1560</v>
      </c>
      <c r="CI224" t="b">
        <v>1</v>
      </c>
    </row>
    <row r="225" spans="1:2" x14ac:dyDescent="0.25">
      <c r="A225" t="s">
        <v>275</v>
      </c>
      <c r="B225" t="s">
        <v>1561</v>
      </c>
    </row>
    <row r="226" spans="1:2" x14ac:dyDescent="0.25">
      <c r="A226" t="s">
        <v>73</v>
      </c>
      <c r="B226" t="s">
        <v>1562</v>
      </c>
    </row>
    <row r="227" spans="1:2" x14ac:dyDescent="0.25">
      <c r="A227" t="s">
        <v>75</v>
      </c>
      <c r="B227" t="s">
        <v>1563</v>
      </c>
    </row>
    <row r="228" spans="1:2" x14ac:dyDescent="0.25">
      <c r="A228" t="s">
        <v>88</v>
      </c>
      <c r="B228" t="s">
        <v>1564</v>
      </c>
    </row>
    <row r="229" spans="1:2" x14ac:dyDescent="0.25">
      <c r="A229" t="s">
        <v>49</v>
      </c>
      <c r="B229" t="s">
        <v>1565</v>
      </c>
    </row>
    <row r="230" spans="1:2" x14ac:dyDescent="0.25">
      <c r="A230" t="s">
        <v>51</v>
      </c>
      <c r="B230" t="s">
        <v>1566</v>
      </c>
    </row>
    <row r="231" spans="1:2" x14ac:dyDescent="0.25">
      <c r="A231" t="s">
        <v>53</v>
      </c>
      <c r="B231" t="s">
        <v>1567</v>
      </c>
    </row>
    <row r="232" spans="1:2" x14ac:dyDescent="0.25">
      <c r="A232" t="s">
        <v>55</v>
      </c>
      <c r="B232" t="s">
        <v>1568</v>
      </c>
    </row>
    <row r="233" spans="1:2" x14ac:dyDescent="0.25">
      <c r="A233" t="s">
        <v>57</v>
      </c>
      <c r="B233" t="s">
        <v>1569</v>
      </c>
    </row>
    <row r="234" spans="1:2" x14ac:dyDescent="0.25">
      <c r="A234" t="s">
        <v>59</v>
      </c>
      <c r="B234" t="s">
        <v>1570</v>
      </c>
    </row>
    <row r="235" spans="1:2" x14ac:dyDescent="0.25">
      <c r="A235" t="s">
        <v>24</v>
      </c>
      <c r="B235" t="s">
        <v>1571</v>
      </c>
    </row>
    <row r="236" spans="1:2" x14ac:dyDescent="0.25">
      <c r="A236" t="s">
        <v>32</v>
      </c>
      <c r="B236" t="s">
        <v>1572</v>
      </c>
    </row>
    <row r="237" spans="1:2" x14ac:dyDescent="0.25">
      <c r="A237" t="s">
        <v>101</v>
      </c>
      <c r="B237" t="s">
        <v>1573</v>
      </c>
    </row>
    <row r="238" spans="1:2" x14ac:dyDescent="0.25">
      <c r="A238" t="s">
        <v>159</v>
      </c>
      <c r="B238" t="s">
        <v>1574</v>
      </c>
    </row>
    <row r="239" spans="1:2" x14ac:dyDescent="0.25">
      <c r="A239" t="s">
        <v>107</v>
      </c>
      <c r="B239" t="s">
        <v>1575</v>
      </c>
    </row>
    <row r="240" spans="1:2" x14ac:dyDescent="0.25">
      <c r="A240" t="s">
        <v>15</v>
      </c>
      <c r="B240" t="s">
        <v>1576</v>
      </c>
    </row>
    <row r="241" spans="1:2" x14ac:dyDescent="0.25">
      <c r="A241" t="s">
        <v>171</v>
      </c>
      <c r="B241" t="s">
        <v>1577</v>
      </c>
    </row>
    <row r="242" spans="1:2" x14ac:dyDescent="0.25">
      <c r="A242" t="s">
        <v>117</v>
      </c>
      <c r="B242" t="s">
        <v>1578</v>
      </c>
    </row>
    <row r="243" spans="1:2" x14ac:dyDescent="0.25">
      <c r="A243" t="s">
        <v>119</v>
      </c>
      <c r="B243" t="s">
        <v>1579</v>
      </c>
    </row>
    <row r="244" spans="1:2" x14ac:dyDescent="0.25">
      <c r="A244" t="s">
        <v>122</v>
      </c>
      <c r="B244" t="s">
        <v>1580</v>
      </c>
    </row>
    <row r="245" spans="1:2" x14ac:dyDescent="0.25">
      <c r="A245" t="s">
        <v>176</v>
      </c>
      <c r="B245" t="s">
        <v>1581</v>
      </c>
    </row>
    <row r="246" spans="1:2" x14ac:dyDescent="0.25">
      <c r="A246" t="s">
        <v>126</v>
      </c>
      <c r="B246" t="s">
        <v>1582</v>
      </c>
    </row>
    <row r="247" spans="1:2" x14ac:dyDescent="0.25">
      <c r="A247" t="s">
        <v>130</v>
      </c>
      <c r="B247" t="s">
        <v>1583</v>
      </c>
    </row>
    <row r="248" spans="1:2" x14ac:dyDescent="0.25">
      <c r="A248" t="s">
        <v>39</v>
      </c>
      <c r="B248" t="s">
        <v>1584</v>
      </c>
    </row>
    <row r="249" spans="1:2" x14ac:dyDescent="0.25">
      <c r="A249" t="s">
        <v>133</v>
      </c>
      <c r="B249" t="s">
        <v>1585</v>
      </c>
    </row>
    <row r="250" spans="1:2" x14ac:dyDescent="0.25">
      <c r="A250" t="s">
        <v>69</v>
      </c>
      <c r="B250" t="s">
        <v>1586</v>
      </c>
    </row>
    <row r="251" spans="1:2" x14ac:dyDescent="0.25">
      <c r="A251" t="s">
        <v>71</v>
      </c>
      <c r="B251" t="s">
        <v>1587</v>
      </c>
    </row>
    <row r="252" spans="1:2" x14ac:dyDescent="0.25">
      <c r="A252" t="s">
        <v>141</v>
      </c>
      <c r="B252" t="s">
        <v>1588</v>
      </c>
    </row>
    <row r="253" spans="1:2" x14ac:dyDescent="0.25">
      <c r="A253" t="s">
        <v>143</v>
      </c>
      <c r="B253" t="s">
        <v>1589</v>
      </c>
    </row>
    <row r="254" spans="1:2" x14ac:dyDescent="0.25">
      <c r="A254" t="s">
        <v>145</v>
      </c>
      <c r="B254" t="s">
        <v>1590</v>
      </c>
    </row>
    <row r="255" spans="1:2" x14ac:dyDescent="0.25">
      <c r="A255" t="s">
        <v>386</v>
      </c>
      <c r="B255" t="s">
        <v>1591</v>
      </c>
    </row>
    <row r="256" spans="1:2" x14ac:dyDescent="0.25">
      <c r="A256" t="s">
        <v>30</v>
      </c>
      <c r="B256" t="s">
        <v>1592</v>
      </c>
    </row>
    <row r="257" spans="1:2" x14ac:dyDescent="0.25">
      <c r="A257" t="s">
        <v>33</v>
      </c>
      <c r="B257" t="s">
        <v>1593</v>
      </c>
    </row>
    <row r="258" spans="1:2" x14ac:dyDescent="0.25">
      <c r="A258" t="s">
        <v>153</v>
      </c>
      <c r="B258" t="s">
        <v>1594</v>
      </c>
    </row>
    <row r="259" spans="1:2" x14ac:dyDescent="0.25">
      <c r="A259" t="s">
        <v>155</v>
      </c>
      <c r="B259" t="s">
        <v>1595</v>
      </c>
    </row>
    <row r="260" spans="1:2" x14ac:dyDescent="0.25">
      <c r="A260" t="s">
        <v>157</v>
      </c>
      <c r="B260" t="s">
        <v>1596</v>
      </c>
    </row>
    <row r="261" spans="1:2" x14ac:dyDescent="0.25">
      <c r="A261" t="s">
        <v>3</v>
      </c>
      <c r="B261" t="s">
        <v>1597</v>
      </c>
    </row>
    <row r="262" spans="1:2" x14ac:dyDescent="0.25">
      <c r="A262" t="s">
        <v>78</v>
      </c>
      <c r="B262" t="s">
        <v>1598</v>
      </c>
    </row>
    <row r="263" spans="1:2" x14ac:dyDescent="0.25">
      <c r="A263" t="s">
        <v>80</v>
      </c>
      <c r="B263" t="s">
        <v>1599</v>
      </c>
    </row>
    <row r="264" spans="1:2" x14ac:dyDescent="0.25">
      <c r="A264" t="s">
        <v>82</v>
      </c>
      <c r="B264" t="s">
        <v>1600</v>
      </c>
    </row>
    <row r="265" spans="1:2" x14ac:dyDescent="0.25">
      <c r="A265" t="s">
        <v>84</v>
      </c>
      <c r="B265" t="s">
        <v>1601</v>
      </c>
    </row>
    <row r="266" spans="1:2" x14ac:dyDescent="0.25">
      <c r="A266" t="s">
        <v>86</v>
      </c>
      <c r="B266" t="s">
        <v>1602</v>
      </c>
    </row>
    <row r="267" spans="1:2" x14ac:dyDescent="0.25">
      <c r="A267" t="s">
        <v>29</v>
      </c>
      <c r="B267" t="s">
        <v>1603</v>
      </c>
    </row>
    <row r="268" spans="1:2" x14ac:dyDescent="0.25">
      <c r="A268" t="s">
        <v>90</v>
      </c>
      <c r="B268" t="s">
        <v>1604</v>
      </c>
    </row>
    <row r="269" spans="1:2" x14ac:dyDescent="0.25">
      <c r="A269" t="s">
        <v>95</v>
      </c>
      <c r="B269" t="s">
        <v>1605</v>
      </c>
    </row>
    <row r="270" spans="1:2" x14ac:dyDescent="0.25">
      <c r="A270" t="s">
        <v>2</v>
      </c>
      <c r="B270" t="s">
        <v>1606</v>
      </c>
    </row>
    <row r="271" spans="1:2" x14ac:dyDescent="0.25">
      <c r="A271" t="s">
        <v>7</v>
      </c>
      <c r="B271" t="s">
        <v>1607</v>
      </c>
    </row>
    <row r="273" spans="1:2" x14ac:dyDescent="0.25">
      <c r="A273" t="s">
        <v>9</v>
      </c>
      <c r="B273" t="s">
        <v>1608</v>
      </c>
    </row>
    <row r="274" spans="1:2" x14ac:dyDescent="0.25">
      <c r="A274" t="s">
        <v>163</v>
      </c>
      <c r="B274" t="s">
        <v>1609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1351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520</v>
      </c>
      <c r="AD2">
        <v>152</v>
      </c>
      <c r="AE2" t="s">
        <v>1610</v>
      </c>
      <c r="AF2">
        <v>4</v>
      </c>
      <c r="AH2" s="1" t="s">
        <v>656</v>
      </c>
      <c r="AK2">
        <v>515</v>
      </c>
      <c r="AL2">
        <v>223</v>
      </c>
      <c r="AM2" t="s">
        <v>1611</v>
      </c>
      <c r="AN2">
        <v>5</v>
      </c>
      <c r="AP2" s="1" t="s">
        <v>657</v>
      </c>
      <c r="AS2">
        <v>546</v>
      </c>
      <c r="AT2">
        <v>312</v>
      </c>
      <c r="AU2" t="s">
        <v>457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513</v>
      </c>
      <c r="BJ2">
        <v>191</v>
      </c>
      <c r="BK2" t="s">
        <v>1301</v>
      </c>
      <c r="BL2">
        <v>5</v>
      </c>
      <c r="BN2" s="1" t="s">
        <v>659</v>
      </c>
      <c r="BQ2">
        <v>523</v>
      </c>
      <c r="BR2">
        <v>285</v>
      </c>
      <c r="BS2" t="s">
        <v>1612</v>
      </c>
      <c r="BT2">
        <v>5</v>
      </c>
      <c r="BV2" s="1" t="s">
        <v>660</v>
      </c>
      <c r="BY2">
        <v>509</v>
      </c>
      <c r="BZ2">
        <v>195</v>
      </c>
      <c r="CA2" t="s">
        <v>1613</v>
      </c>
      <c r="CB2">
        <v>5</v>
      </c>
      <c r="CD2" s="1" t="s">
        <v>661</v>
      </c>
      <c r="CG2">
        <v>507</v>
      </c>
      <c r="CH2">
        <v>203</v>
      </c>
      <c r="CI2" t="s">
        <v>1614</v>
      </c>
      <c r="CJ2">
        <v>5</v>
      </c>
      <c r="CL2" s="1" t="s">
        <v>662</v>
      </c>
      <c r="CO2">
        <v>523</v>
      </c>
      <c r="CP2">
        <v>263</v>
      </c>
      <c r="CQ2" t="s">
        <v>1615</v>
      </c>
      <c r="CR2">
        <v>5</v>
      </c>
      <c r="CT2" s="1" t="s">
        <v>663</v>
      </c>
      <c r="CW2">
        <v>520</v>
      </c>
      <c r="CX2">
        <v>298</v>
      </c>
      <c r="CY2" t="s">
        <v>1616</v>
      </c>
      <c r="CZ2">
        <v>4</v>
      </c>
    </row>
    <row r="3" spans="1:104" x14ac:dyDescent="0.25">
      <c r="W3" t="str">
        <f>dbCorrelationTitle</f>
        <v>Korrelation</v>
      </c>
      <c r="Z3">
        <v>1</v>
      </c>
      <c r="AA3">
        <v>414</v>
      </c>
      <c r="AB3">
        <v>6</v>
      </c>
      <c r="AC3">
        <v>96</v>
      </c>
      <c r="AE3" t="s">
        <v>390</v>
      </c>
      <c r="AH3">
        <v>1</v>
      </c>
      <c r="AI3">
        <v>412</v>
      </c>
      <c r="AJ3">
        <v>7</v>
      </c>
      <c r="AK3">
        <v>94</v>
      </c>
      <c r="AM3" t="s">
        <v>390</v>
      </c>
      <c r="AP3">
        <v>1</v>
      </c>
      <c r="AQ3">
        <v>443</v>
      </c>
      <c r="AR3">
        <v>8</v>
      </c>
      <c r="AS3">
        <v>94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94</v>
      </c>
      <c r="BK3" t="s">
        <v>390</v>
      </c>
      <c r="BN3">
        <v>1</v>
      </c>
      <c r="BO3">
        <v>407</v>
      </c>
      <c r="BP3">
        <v>7</v>
      </c>
      <c r="BQ3">
        <v>95</v>
      </c>
      <c r="BS3" t="s">
        <v>390</v>
      </c>
      <c r="BV3">
        <v>1</v>
      </c>
      <c r="BW3">
        <v>407</v>
      </c>
      <c r="BX3">
        <v>7</v>
      </c>
      <c r="BY3">
        <v>94</v>
      </c>
      <c r="CA3" t="s">
        <v>390</v>
      </c>
      <c r="CD3">
        <v>1</v>
      </c>
      <c r="CE3">
        <v>407</v>
      </c>
      <c r="CF3">
        <v>7</v>
      </c>
      <c r="CG3">
        <v>94</v>
      </c>
      <c r="CI3" t="s">
        <v>390</v>
      </c>
      <c r="CL3">
        <v>1</v>
      </c>
      <c r="CM3">
        <v>407</v>
      </c>
      <c r="CN3">
        <v>7</v>
      </c>
      <c r="CO3">
        <v>94</v>
      </c>
      <c r="CQ3" t="s">
        <v>390</v>
      </c>
      <c r="CT3">
        <v>1</v>
      </c>
      <c r="CU3">
        <v>419</v>
      </c>
      <c r="CV3">
        <v>8</v>
      </c>
      <c r="CW3">
        <v>94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96</v>
      </c>
      <c r="AE4" t="s">
        <v>1617</v>
      </c>
      <c r="AH4">
        <v>2</v>
      </c>
      <c r="AI4">
        <v>412</v>
      </c>
      <c r="AJ4">
        <v>30</v>
      </c>
      <c r="AK4">
        <v>94</v>
      </c>
      <c r="AM4" t="s">
        <v>1617</v>
      </c>
      <c r="AP4">
        <v>2</v>
      </c>
      <c r="AQ4">
        <v>443</v>
      </c>
      <c r="AR4">
        <v>31</v>
      </c>
      <c r="AS4">
        <v>94</v>
      </c>
      <c r="AU4" t="s">
        <v>1617</v>
      </c>
      <c r="AX4">
        <v>2</v>
      </c>
      <c r="AY4">
        <v>418</v>
      </c>
      <c r="AZ4">
        <v>33</v>
      </c>
      <c r="BA4">
        <v>104</v>
      </c>
      <c r="BC4" t="s">
        <v>1617</v>
      </c>
      <c r="BF4">
        <v>2</v>
      </c>
      <c r="BG4">
        <v>407</v>
      </c>
      <c r="BH4">
        <v>30</v>
      </c>
      <c r="BI4">
        <v>94</v>
      </c>
      <c r="BK4" t="s">
        <v>1617</v>
      </c>
      <c r="BN4">
        <v>2</v>
      </c>
      <c r="BO4">
        <v>407</v>
      </c>
      <c r="BP4">
        <v>30</v>
      </c>
      <c r="BQ4">
        <v>95</v>
      </c>
      <c r="BS4" t="s">
        <v>1617</v>
      </c>
      <c r="BV4">
        <v>2</v>
      </c>
      <c r="BW4">
        <v>407</v>
      </c>
      <c r="BX4">
        <v>30</v>
      </c>
      <c r="BY4">
        <v>94</v>
      </c>
      <c r="CA4" t="s">
        <v>1617</v>
      </c>
      <c r="CD4">
        <v>2</v>
      </c>
      <c r="CE4">
        <v>407</v>
      </c>
      <c r="CF4">
        <v>30</v>
      </c>
      <c r="CG4">
        <v>94</v>
      </c>
      <c r="CI4" t="s">
        <v>1617</v>
      </c>
      <c r="CL4">
        <v>2</v>
      </c>
      <c r="CM4">
        <v>407</v>
      </c>
      <c r="CN4">
        <v>30</v>
      </c>
      <c r="CO4">
        <v>94</v>
      </c>
      <c r="CQ4" t="s">
        <v>1617</v>
      </c>
      <c r="CT4">
        <v>2</v>
      </c>
      <c r="CU4">
        <v>419</v>
      </c>
      <c r="CV4">
        <v>31</v>
      </c>
      <c r="CW4">
        <v>94</v>
      </c>
      <c r="CY4" t="s">
        <v>1617</v>
      </c>
    </row>
    <row r="5" spans="1:104" x14ac:dyDescent="0.25">
      <c r="T5">
        <v>0</v>
      </c>
      <c r="U5" t="str">
        <f>dbAnova1Title</f>
        <v>Anova: Einfaktorielle Varianzanalyse</v>
      </c>
      <c r="V5">
        <v>0</v>
      </c>
      <c r="W5" t="str">
        <f>dbAnova1Title</f>
        <v>Anova: Einfaktorielle Varianzanalyse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1618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1619</v>
      </c>
      <c r="AP5">
        <v>14</v>
      </c>
      <c r="AQ5">
        <v>7</v>
      </c>
      <c r="AR5">
        <v>4</v>
      </c>
      <c r="AS5">
        <v>425</v>
      </c>
      <c r="AT5">
        <v>113</v>
      </c>
      <c r="AU5" t="s">
        <v>1619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1620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1619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1619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1619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1619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1619</v>
      </c>
      <c r="CT5">
        <v>5</v>
      </c>
      <c r="CU5">
        <v>17</v>
      </c>
      <c r="CV5">
        <v>12</v>
      </c>
      <c r="CY5" t="s">
        <v>1621</v>
      </c>
    </row>
    <row r="6" spans="1:104" x14ac:dyDescent="0.25">
      <c r="T6">
        <v>1</v>
      </c>
      <c r="U6" t="str">
        <f>dbAnova2Title</f>
        <v>Anova: Zweifaktorielle Varianzanalyse mit Messwiederholung</v>
      </c>
      <c r="V6">
        <v>1</v>
      </c>
      <c r="W6" t="str">
        <f>dbAnova2Title</f>
        <v>Anova: Zweifaktorielle Varianzanalyse mit Messwiederholung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1622</v>
      </c>
      <c r="AP6">
        <v>5</v>
      </c>
      <c r="AQ6">
        <v>24</v>
      </c>
      <c r="AR6">
        <v>22</v>
      </c>
      <c r="AU6" t="s">
        <v>1623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1622</v>
      </c>
      <c r="BN6">
        <v>5</v>
      </c>
      <c r="BO6">
        <v>18</v>
      </c>
      <c r="BP6">
        <v>19</v>
      </c>
      <c r="BS6" t="s">
        <v>1622</v>
      </c>
      <c r="BV6">
        <v>5</v>
      </c>
      <c r="BW6">
        <v>18</v>
      </c>
      <c r="BX6">
        <v>19</v>
      </c>
      <c r="CA6" t="s">
        <v>1622</v>
      </c>
      <c r="CD6">
        <v>5</v>
      </c>
      <c r="CE6">
        <v>18</v>
      </c>
      <c r="CF6">
        <v>19</v>
      </c>
      <c r="CI6" t="s">
        <v>1624</v>
      </c>
      <c r="CL6">
        <v>5</v>
      </c>
      <c r="CM6">
        <v>18</v>
      </c>
      <c r="CN6">
        <v>19</v>
      </c>
      <c r="CQ6" t="s">
        <v>1622</v>
      </c>
      <c r="CT6">
        <v>7</v>
      </c>
      <c r="CU6">
        <v>244</v>
      </c>
      <c r="CV6">
        <v>10</v>
      </c>
      <c r="CW6">
        <v>165</v>
      </c>
    </row>
    <row r="7" spans="1:104" x14ac:dyDescent="0.25">
      <c r="T7">
        <v>2</v>
      </c>
      <c r="U7" t="str">
        <f>dbAnova3Title</f>
        <v>Anova: Zweifaktorielle Varianzanalyse ohne Messwiederholung</v>
      </c>
      <c r="V7">
        <v>2</v>
      </c>
      <c r="W7" t="str">
        <f>dbAnova3Title</f>
        <v>Anova: Zweifaktorielle Varianzanalyse ohne Messwiederholung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96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181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1625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Korrelation</v>
      </c>
      <c r="V8">
        <v>3</v>
      </c>
      <c r="W8" t="str">
        <f>dbCorrelationTitle</f>
        <v>Korrelation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1626</v>
      </c>
      <c r="AP8">
        <v>5</v>
      </c>
      <c r="AQ8">
        <v>24</v>
      </c>
      <c r="AR8">
        <v>48</v>
      </c>
      <c r="AU8" t="s">
        <v>1627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1626</v>
      </c>
      <c r="BN8">
        <v>5</v>
      </c>
      <c r="BO8">
        <v>18</v>
      </c>
      <c r="BP8">
        <v>44</v>
      </c>
      <c r="BS8" t="s">
        <v>1626</v>
      </c>
      <c r="BV8">
        <v>5</v>
      </c>
      <c r="BW8">
        <v>17</v>
      </c>
      <c r="BX8">
        <v>40</v>
      </c>
      <c r="CA8" t="s">
        <v>1628</v>
      </c>
      <c r="CD8">
        <v>5</v>
      </c>
      <c r="CE8">
        <v>18</v>
      </c>
      <c r="CF8">
        <v>41</v>
      </c>
      <c r="CI8" t="s">
        <v>1629</v>
      </c>
      <c r="CL8">
        <v>13</v>
      </c>
      <c r="CM8">
        <v>18</v>
      </c>
      <c r="CN8">
        <v>39</v>
      </c>
      <c r="CQ8" t="s">
        <v>1630</v>
      </c>
      <c r="CR8" t="b">
        <v>0</v>
      </c>
      <c r="CT8">
        <v>7</v>
      </c>
      <c r="CU8">
        <v>244</v>
      </c>
      <c r="CV8">
        <v>34</v>
      </c>
      <c r="CW8">
        <v>165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Kovarianz</v>
      </c>
      <c r="V9">
        <v>4</v>
      </c>
      <c r="W9" t="str">
        <f>dbCovarianceTitle</f>
        <v>Kovarianz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181</v>
      </c>
      <c r="AV9" t="s">
        <v>316</v>
      </c>
      <c r="AX9">
        <v>12</v>
      </c>
      <c r="AZ9">
        <v>110</v>
      </c>
      <c r="BC9" t="s">
        <v>1631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1632</v>
      </c>
      <c r="CT9">
        <v>5</v>
      </c>
      <c r="CU9">
        <v>17</v>
      </c>
      <c r="CV9">
        <v>63</v>
      </c>
      <c r="CY9" t="s">
        <v>1633</v>
      </c>
    </row>
    <row r="10" spans="1:104" x14ac:dyDescent="0.25">
      <c r="A10" t="s">
        <v>505</v>
      </c>
      <c r="B10" t="s">
        <v>1634</v>
      </c>
      <c r="T10">
        <v>5</v>
      </c>
      <c r="U10" t="str">
        <f>dbDescripTitle</f>
        <v>Populationskenngrößen</v>
      </c>
      <c r="V10">
        <v>5</v>
      </c>
      <c r="W10" t="str">
        <f>dbDescripTitle</f>
        <v>Populationskenngrößen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1635</v>
      </c>
      <c r="AP10">
        <v>13</v>
      </c>
      <c r="AQ10">
        <v>25</v>
      </c>
      <c r="AR10">
        <v>75</v>
      </c>
      <c r="AU10" t="s">
        <v>1630</v>
      </c>
      <c r="AV10" t="b">
        <v>0</v>
      </c>
      <c r="AX10">
        <v>12</v>
      </c>
      <c r="AZ10">
        <v>130</v>
      </c>
      <c r="BC10" t="s">
        <v>1636</v>
      </c>
      <c r="BF10">
        <v>12</v>
      </c>
      <c r="BG10">
        <v>220</v>
      </c>
      <c r="BH10">
        <v>40</v>
      </c>
      <c r="BK10" t="s">
        <v>1635</v>
      </c>
      <c r="BN10">
        <v>12</v>
      </c>
      <c r="BO10">
        <v>220</v>
      </c>
      <c r="BP10">
        <v>40</v>
      </c>
      <c r="BS10" t="s">
        <v>1635</v>
      </c>
      <c r="BV10">
        <v>13</v>
      </c>
      <c r="BW10">
        <v>17</v>
      </c>
      <c r="BX10">
        <v>60</v>
      </c>
      <c r="CA10" t="s">
        <v>1630</v>
      </c>
      <c r="CB10" t="b">
        <v>0</v>
      </c>
      <c r="CD10">
        <v>13</v>
      </c>
      <c r="CE10">
        <v>18</v>
      </c>
      <c r="CF10">
        <v>64</v>
      </c>
      <c r="CI10" t="s">
        <v>1630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223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1637</v>
      </c>
      <c r="T11">
        <v>6</v>
      </c>
      <c r="U11" t="str">
        <f>dbExponentTitle</f>
        <v>Exponentielles Glätten</v>
      </c>
      <c r="V11">
        <v>6</v>
      </c>
      <c r="W11" t="str">
        <f>dbExponentTitle</f>
        <v>Exponentielles Glätten</v>
      </c>
      <c r="X11" t="s">
        <v>452</v>
      </c>
      <c r="Y11" s="1" t="s">
        <v>660</v>
      </c>
      <c r="AH11">
        <v>12</v>
      </c>
      <c r="AM11" t="s">
        <v>1638</v>
      </c>
      <c r="AP11">
        <v>13</v>
      </c>
      <c r="AQ11">
        <v>197</v>
      </c>
      <c r="AR11">
        <v>75</v>
      </c>
      <c r="AU11" t="s">
        <v>1639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1638</v>
      </c>
      <c r="BN11">
        <v>12</v>
      </c>
      <c r="BS11" t="s">
        <v>1638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1620</v>
      </c>
      <c r="CD11">
        <v>5</v>
      </c>
      <c r="CE11">
        <v>18</v>
      </c>
      <c r="CF11">
        <v>85</v>
      </c>
      <c r="CI11" t="s">
        <v>326</v>
      </c>
      <c r="CL11">
        <v>12</v>
      </c>
      <c r="CM11">
        <v>18</v>
      </c>
      <c r="CN11">
        <v>82</v>
      </c>
      <c r="CQ11" t="s">
        <v>1640</v>
      </c>
      <c r="CT11">
        <v>14</v>
      </c>
      <c r="CU11">
        <v>9</v>
      </c>
      <c r="CV11">
        <v>85</v>
      </c>
      <c r="CW11">
        <v>400</v>
      </c>
      <c r="CX11">
        <v>92</v>
      </c>
      <c r="CY11" t="s">
        <v>1641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Zwei-Stichproben F-Test</v>
      </c>
      <c r="V12">
        <v>7</v>
      </c>
      <c r="W12" t="str">
        <f>dbFTestTitle</f>
        <v>Zwei-Stichproben F-Test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1637</v>
      </c>
      <c r="AN12" t="b">
        <v>0</v>
      </c>
      <c r="AP12">
        <v>113</v>
      </c>
      <c r="AQ12">
        <v>25</v>
      </c>
      <c r="AR12">
        <v>93</v>
      </c>
      <c r="AU12" t="s">
        <v>1642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1637</v>
      </c>
      <c r="BL12" t="b">
        <v>0</v>
      </c>
      <c r="BN12">
        <v>13</v>
      </c>
      <c r="BO12">
        <v>18</v>
      </c>
      <c r="BP12">
        <v>75</v>
      </c>
      <c r="BS12" t="s">
        <v>1637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1643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Fourieranalyse</v>
      </c>
      <c r="V13">
        <v>8</v>
      </c>
      <c r="W13" t="str">
        <f>dbFourierTitle</f>
        <v>Fourieranalyse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326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1620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1620</v>
      </c>
      <c r="BV13">
        <v>5</v>
      </c>
      <c r="BW13">
        <v>17</v>
      </c>
      <c r="BX13">
        <v>99</v>
      </c>
      <c r="CA13" t="s">
        <v>1644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1620</v>
      </c>
      <c r="CL13">
        <v>5</v>
      </c>
      <c r="CM13">
        <v>42</v>
      </c>
      <c r="CN13">
        <v>103</v>
      </c>
      <c r="CQ13" t="s">
        <v>1338</v>
      </c>
      <c r="CT13">
        <v>5</v>
      </c>
    </row>
    <row r="14" spans="1:104" x14ac:dyDescent="0.25">
      <c r="A14" t="s">
        <v>404</v>
      </c>
      <c r="B14" t="s">
        <v>1645</v>
      </c>
      <c r="T14">
        <v>9</v>
      </c>
      <c r="U14" t="str">
        <f>dbHistogramTitle</f>
        <v>Histogramm</v>
      </c>
      <c r="V14">
        <v>9</v>
      </c>
      <c r="W14" t="str">
        <f>dbHistogramTitle</f>
        <v>Histogramm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Gleitender Durchschnitt</v>
      </c>
      <c r="V15">
        <v>10</v>
      </c>
      <c r="W15" t="str">
        <f>dbMovingTitle</f>
        <v>Gleitender Durchschnitt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1620</v>
      </c>
      <c r="AP15">
        <v>14</v>
      </c>
      <c r="AQ15">
        <v>7</v>
      </c>
      <c r="AR15">
        <v>124</v>
      </c>
      <c r="AS15">
        <v>425</v>
      </c>
      <c r="AT15">
        <v>179</v>
      </c>
      <c r="AU15" t="s">
        <v>1620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1644</v>
      </c>
      <c r="BN15">
        <v>12</v>
      </c>
      <c r="BO15">
        <v>18</v>
      </c>
      <c r="BP15">
        <v>127</v>
      </c>
      <c r="BS15" t="s">
        <v>1644</v>
      </c>
      <c r="BV15">
        <v>205</v>
      </c>
      <c r="BW15">
        <v>17</v>
      </c>
      <c r="BX15">
        <v>119</v>
      </c>
      <c r="CA15" t="s">
        <v>1631</v>
      </c>
      <c r="CD15">
        <v>12</v>
      </c>
      <c r="CE15">
        <v>18</v>
      </c>
      <c r="CF15">
        <v>132</v>
      </c>
      <c r="CI15" t="s">
        <v>1644</v>
      </c>
      <c r="CL15">
        <v>5</v>
      </c>
      <c r="CM15">
        <v>42</v>
      </c>
      <c r="CN15">
        <v>146</v>
      </c>
      <c r="CQ15" t="s">
        <v>1646</v>
      </c>
      <c r="CT15">
        <v>5</v>
      </c>
    </row>
    <row r="16" spans="1:104" x14ac:dyDescent="0.25">
      <c r="A16" t="s">
        <v>526</v>
      </c>
      <c r="B16" t="s">
        <v>1647</v>
      </c>
      <c r="T16">
        <v>11</v>
      </c>
      <c r="U16" t="str">
        <f>dbRandomTitle</f>
        <v>Zufallszahlengenerierung</v>
      </c>
      <c r="V16">
        <v>11</v>
      </c>
      <c r="W16" t="str">
        <f>dbRandomTitle</f>
        <v>Zufallszahlengenerierung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1631</v>
      </c>
      <c r="BN16">
        <v>12</v>
      </c>
      <c r="BP16">
        <v>147</v>
      </c>
      <c r="BS16" t="s">
        <v>1631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1631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1648</v>
      </c>
      <c r="T17">
        <v>12</v>
      </c>
      <c r="U17" t="str">
        <f>dbRankPerTitle</f>
        <v>Rang und Quantil</v>
      </c>
      <c r="V17">
        <v>12</v>
      </c>
      <c r="W17" t="str">
        <f>dbRankPerTitle</f>
        <v>Rang und Quantil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1644</v>
      </c>
      <c r="AP17">
        <v>12</v>
      </c>
      <c r="AQ17">
        <v>24</v>
      </c>
      <c r="AR17">
        <v>142</v>
      </c>
      <c r="AU17" t="s">
        <v>1644</v>
      </c>
      <c r="BF17">
        <v>12</v>
      </c>
      <c r="BH17">
        <v>160</v>
      </c>
      <c r="BK17" t="s">
        <v>1636</v>
      </c>
      <c r="BN17">
        <v>12</v>
      </c>
      <c r="BP17">
        <v>167</v>
      </c>
      <c r="BS17" t="s">
        <v>1636</v>
      </c>
      <c r="BV17">
        <v>205</v>
      </c>
      <c r="BW17">
        <v>17</v>
      </c>
      <c r="BX17">
        <v>139</v>
      </c>
      <c r="CA17" t="s">
        <v>1636</v>
      </c>
      <c r="CD17">
        <v>12</v>
      </c>
      <c r="CF17">
        <v>172</v>
      </c>
      <c r="CI17" t="s">
        <v>1636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1620</v>
      </c>
      <c r="CT17">
        <v>5</v>
      </c>
    </row>
    <row r="18" spans="1:104" x14ac:dyDescent="0.25">
      <c r="A18" t="s">
        <v>531</v>
      </c>
      <c r="B18" t="s">
        <v>1649</v>
      </c>
      <c r="T18">
        <v>13</v>
      </c>
      <c r="U18" t="str">
        <f>dbRegressionTitle</f>
        <v>Regression</v>
      </c>
      <c r="V18">
        <v>13</v>
      </c>
      <c r="W18" t="str">
        <f>dbRegressionTitle</f>
        <v>Regression</v>
      </c>
      <c r="X18" t="s">
        <v>448</v>
      </c>
      <c r="Y18" s="1" t="s">
        <v>657</v>
      </c>
      <c r="AH18">
        <v>12</v>
      </c>
      <c r="AJ18">
        <v>169</v>
      </c>
      <c r="AM18" t="s">
        <v>1631</v>
      </c>
      <c r="AP18">
        <v>12</v>
      </c>
      <c r="AR18">
        <v>162</v>
      </c>
      <c r="AU18" t="s">
        <v>1631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1650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1651</v>
      </c>
      <c r="T19">
        <v>14</v>
      </c>
      <c r="U19" t="str">
        <f>dbSamplingTitle</f>
        <v>Stichprobenziehung</v>
      </c>
      <c r="V19">
        <v>14</v>
      </c>
      <c r="W19" t="str">
        <f>dbSamplingTitle</f>
        <v>Stichprobenziehung</v>
      </c>
      <c r="X19" t="s">
        <v>585</v>
      </c>
      <c r="Y19" s="1" t="s">
        <v>662</v>
      </c>
      <c r="AH19">
        <v>12</v>
      </c>
      <c r="AJ19">
        <v>189</v>
      </c>
      <c r="AM19" t="s">
        <v>1636</v>
      </c>
      <c r="AP19">
        <v>12</v>
      </c>
      <c r="AR19">
        <v>182</v>
      </c>
      <c r="AU19" t="s">
        <v>1636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1652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1644</v>
      </c>
      <c r="CT19">
        <v>5</v>
      </c>
    </row>
    <row r="20" spans="1:104" x14ac:dyDescent="0.25">
      <c r="A20" t="s">
        <v>343</v>
      </c>
      <c r="B20" t="s">
        <v>1653</v>
      </c>
      <c r="T20">
        <v>15</v>
      </c>
      <c r="U20" t="str">
        <f>dbTTest1Title</f>
        <v>Zweistichproben t-Test bei abhängigen Stichproben</v>
      </c>
      <c r="V20">
        <v>15</v>
      </c>
      <c r="W20" t="str">
        <f>dbTTest1Title</f>
        <v>Zweistichproben t-Test bei abhängigen Stichproben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181</v>
      </c>
      <c r="AV20" t="s">
        <v>316</v>
      </c>
      <c r="BF20">
        <v>24</v>
      </c>
      <c r="BG20">
        <v>407</v>
      </c>
      <c r="BH20">
        <v>57</v>
      </c>
      <c r="BI20">
        <v>94</v>
      </c>
      <c r="BN20">
        <v>13</v>
      </c>
      <c r="BO20">
        <v>18</v>
      </c>
      <c r="BP20">
        <v>189</v>
      </c>
      <c r="BS20" t="s">
        <v>1654</v>
      </c>
      <c r="BT20" t="b">
        <v>0</v>
      </c>
      <c r="BV20">
        <v>24</v>
      </c>
      <c r="BW20">
        <v>407</v>
      </c>
      <c r="BX20">
        <v>57</v>
      </c>
      <c r="BY20">
        <v>94</v>
      </c>
      <c r="CD20">
        <v>24</v>
      </c>
      <c r="CE20">
        <v>407</v>
      </c>
      <c r="CF20">
        <v>57</v>
      </c>
      <c r="CG20">
        <v>94</v>
      </c>
      <c r="CL20">
        <v>12</v>
      </c>
      <c r="CN20">
        <v>210</v>
      </c>
      <c r="CQ20" t="s">
        <v>1631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Zweistichproben t-Test: Gleicher Varianzen</v>
      </c>
      <c r="V21">
        <v>16</v>
      </c>
      <c r="W21" t="str">
        <f>dbTTest2Title</f>
        <v>Zweistichproben t-Test: Gleicher Varianzen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181</v>
      </c>
      <c r="BN21">
        <v>113</v>
      </c>
      <c r="BO21">
        <v>18</v>
      </c>
      <c r="BP21">
        <v>209</v>
      </c>
      <c r="BS21" t="s">
        <v>1655</v>
      </c>
      <c r="BT21" t="b">
        <v>0</v>
      </c>
      <c r="CL21">
        <v>12</v>
      </c>
      <c r="CN21">
        <v>230</v>
      </c>
      <c r="CQ21" t="s">
        <v>1636</v>
      </c>
      <c r="CT21">
        <v>5</v>
      </c>
    </row>
    <row r="22" spans="1:104" x14ac:dyDescent="0.25">
      <c r="A22" t="s">
        <v>440</v>
      </c>
      <c r="B22" t="s">
        <v>1611</v>
      </c>
      <c r="T22">
        <v>17</v>
      </c>
      <c r="U22" t="str">
        <f>dbTTest3Title</f>
        <v>Zweistichproben t-Test: Unterschiedlicher Varianzen</v>
      </c>
      <c r="V22">
        <v>17</v>
      </c>
      <c r="W22" t="str">
        <f>dbTTest3Title</f>
        <v>Zweistichproben t-Test: Unterschiedlicher Varianzen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94</v>
      </c>
      <c r="AP22">
        <v>14</v>
      </c>
      <c r="AQ22">
        <v>15</v>
      </c>
      <c r="AR22">
        <v>202</v>
      </c>
      <c r="AS22">
        <v>404</v>
      </c>
      <c r="AT22">
        <v>53</v>
      </c>
      <c r="AU22" t="s">
        <v>1656</v>
      </c>
      <c r="BF22" t="s">
        <v>483</v>
      </c>
      <c r="BN22">
        <v>208</v>
      </c>
      <c r="BO22">
        <v>300</v>
      </c>
      <c r="BP22">
        <v>209</v>
      </c>
      <c r="BQ22">
        <v>56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1657</v>
      </c>
    </row>
    <row r="23" spans="1:104" x14ac:dyDescent="0.25">
      <c r="A23" t="s">
        <v>443</v>
      </c>
      <c r="B23" t="s">
        <v>1658</v>
      </c>
      <c r="T23">
        <v>18</v>
      </c>
      <c r="U23" t="str">
        <f>dbZTestTitle</f>
        <v>Zweistichproben-Test bei bekannten Varianzen</v>
      </c>
      <c r="V23">
        <v>18</v>
      </c>
      <c r="W23" t="str">
        <f>dbZTestTitle</f>
        <v>Zweistichproben-Test bei bekannten Varianzen</v>
      </c>
      <c r="X23" t="s">
        <v>357</v>
      </c>
      <c r="Y23" s="1" t="s">
        <v>674</v>
      </c>
      <c r="AP23">
        <v>13</v>
      </c>
      <c r="AR23">
        <v>216</v>
      </c>
      <c r="AU23" t="s">
        <v>1659</v>
      </c>
      <c r="AV23" t="b">
        <v>0</v>
      </c>
      <c r="BF23" s="1" t="s">
        <v>666</v>
      </c>
      <c r="BI23">
        <v>511</v>
      </c>
      <c r="BJ23">
        <v>191</v>
      </c>
      <c r="BK23" t="s">
        <v>1660</v>
      </c>
      <c r="BL23">
        <v>5</v>
      </c>
      <c r="BN23">
        <v>5</v>
      </c>
      <c r="BO23">
        <v>363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1661</v>
      </c>
      <c r="X24" t="s">
        <v>551</v>
      </c>
      <c r="AP24">
        <v>13</v>
      </c>
      <c r="AR24">
        <v>231</v>
      </c>
      <c r="AU24" t="s">
        <v>1662</v>
      </c>
      <c r="AV24" t="b">
        <v>0</v>
      </c>
      <c r="BF24">
        <v>1</v>
      </c>
      <c r="BG24">
        <v>407</v>
      </c>
      <c r="BH24">
        <v>7</v>
      </c>
      <c r="BI24">
        <v>94</v>
      </c>
      <c r="BK24" t="s">
        <v>390</v>
      </c>
      <c r="BN24">
        <v>113</v>
      </c>
      <c r="BO24">
        <v>18</v>
      </c>
      <c r="BP24">
        <v>228</v>
      </c>
      <c r="BS24" t="s">
        <v>1663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94</v>
      </c>
      <c r="CT24">
        <v>5</v>
      </c>
      <c r="CU24">
        <v>17</v>
      </c>
      <c r="CV24">
        <v>187</v>
      </c>
      <c r="CY24" t="s">
        <v>1664</v>
      </c>
    </row>
    <row r="25" spans="1:104" x14ac:dyDescent="0.25">
      <c r="A25" t="s">
        <v>552</v>
      </c>
      <c r="B25" t="s">
        <v>1665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1666</v>
      </c>
      <c r="AV25" t="b">
        <v>0</v>
      </c>
      <c r="BF25">
        <v>2</v>
      </c>
      <c r="BG25">
        <v>407</v>
      </c>
      <c r="BH25">
        <v>30</v>
      </c>
      <c r="BI25">
        <v>94</v>
      </c>
      <c r="BK25" t="s">
        <v>1617</v>
      </c>
      <c r="BN25">
        <v>207</v>
      </c>
      <c r="BO25">
        <v>256</v>
      </c>
      <c r="BP25">
        <v>228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1667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1668</v>
      </c>
      <c r="X26" t="s">
        <v>376</v>
      </c>
      <c r="AH26" s="1" t="s">
        <v>664</v>
      </c>
      <c r="AK26">
        <v>509</v>
      </c>
      <c r="AL26">
        <v>187</v>
      </c>
      <c r="AM26" t="s">
        <v>1658</v>
      </c>
      <c r="AN26">
        <v>5</v>
      </c>
      <c r="AP26">
        <v>13</v>
      </c>
      <c r="AR26">
        <v>231</v>
      </c>
      <c r="AU26" t="s">
        <v>1669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1619</v>
      </c>
      <c r="BN26">
        <v>113</v>
      </c>
      <c r="BO26">
        <v>18</v>
      </c>
      <c r="BP26">
        <v>247</v>
      </c>
      <c r="BS26" t="s">
        <v>1670</v>
      </c>
      <c r="BT26" t="b">
        <v>0</v>
      </c>
      <c r="CD26">
        <v>1</v>
      </c>
      <c r="CE26">
        <v>440</v>
      </c>
      <c r="CF26">
        <v>7</v>
      </c>
      <c r="CG26">
        <v>94</v>
      </c>
      <c r="CI26" t="s">
        <v>390</v>
      </c>
      <c r="CT26">
        <v>14</v>
      </c>
      <c r="CU26">
        <v>9</v>
      </c>
      <c r="CV26">
        <v>209</v>
      </c>
      <c r="CW26">
        <v>400</v>
      </c>
      <c r="CX26">
        <v>81</v>
      </c>
      <c r="CY26" t="s">
        <v>1620</v>
      </c>
    </row>
    <row r="27" spans="1:104" x14ac:dyDescent="0.25">
      <c r="A27" t="s">
        <v>377</v>
      </c>
      <c r="B27" t="s">
        <v>1671</v>
      </c>
      <c r="X27" t="s">
        <v>379</v>
      </c>
      <c r="AH27">
        <v>1</v>
      </c>
      <c r="AI27">
        <v>407</v>
      </c>
      <c r="AJ27">
        <v>7</v>
      </c>
      <c r="AK27">
        <v>94</v>
      </c>
      <c r="AM27" t="s">
        <v>390</v>
      </c>
      <c r="AP27">
        <v>14</v>
      </c>
      <c r="AQ27">
        <v>15</v>
      </c>
      <c r="AR27">
        <v>258</v>
      </c>
      <c r="AS27">
        <v>404</v>
      </c>
      <c r="AT27">
        <v>35</v>
      </c>
      <c r="AU27" t="s">
        <v>1672</v>
      </c>
      <c r="BF27">
        <v>5</v>
      </c>
      <c r="BG27">
        <v>18</v>
      </c>
      <c r="BH27">
        <v>19</v>
      </c>
      <c r="BK27" t="s">
        <v>1622</v>
      </c>
      <c r="BN27">
        <v>207</v>
      </c>
      <c r="BO27">
        <v>256</v>
      </c>
      <c r="BP27">
        <v>247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94</v>
      </c>
      <c r="CI27" t="s">
        <v>1617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1673</v>
      </c>
      <c r="X28" t="s">
        <v>382</v>
      </c>
      <c r="AH28">
        <v>2</v>
      </c>
      <c r="AI28">
        <v>407</v>
      </c>
      <c r="AJ28">
        <v>30</v>
      </c>
      <c r="AK28">
        <v>94</v>
      </c>
      <c r="AM28" t="s">
        <v>1617</v>
      </c>
      <c r="AP28">
        <v>13</v>
      </c>
      <c r="AR28">
        <v>270</v>
      </c>
      <c r="AU28" t="s">
        <v>1674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95</v>
      </c>
      <c r="CD28">
        <v>14</v>
      </c>
      <c r="CE28">
        <v>8</v>
      </c>
      <c r="CF28">
        <v>3</v>
      </c>
      <c r="CG28">
        <v>418</v>
      </c>
      <c r="CH28">
        <v>132</v>
      </c>
      <c r="CI28" t="s">
        <v>1619</v>
      </c>
      <c r="CT28">
        <v>12</v>
      </c>
      <c r="CU28">
        <v>17</v>
      </c>
      <c r="CV28">
        <v>225</v>
      </c>
      <c r="CY28" t="s">
        <v>1644</v>
      </c>
    </row>
    <row r="29" spans="1:104" x14ac:dyDescent="0.25">
      <c r="A29" t="s">
        <v>383</v>
      </c>
      <c r="B29" t="s">
        <v>1675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1619</v>
      </c>
      <c r="AP29">
        <v>24</v>
      </c>
      <c r="AQ29">
        <v>443</v>
      </c>
      <c r="AR29">
        <v>64</v>
      </c>
      <c r="AS29">
        <v>94</v>
      </c>
      <c r="BF29">
        <v>5</v>
      </c>
      <c r="BG29">
        <v>18</v>
      </c>
      <c r="BH29">
        <v>44</v>
      </c>
      <c r="BK29" t="s">
        <v>1626</v>
      </c>
      <c r="CD29">
        <v>5</v>
      </c>
      <c r="CE29">
        <v>17</v>
      </c>
      <c r="CF29">
        <v>18</v>
      </c>
      <c r="CI29" t="s">
        <v>1624</v>
      </c>
      <c r="CT29">
        <v>12</v>
      </c>
      <c r="CV29">
        <v>245</v>
      </c>
      <c r="CY29" t="s">
        <v>1631</v>
      </c>
    </row>
    <row r="30" spans="1:104" x14ac:dyDescent="0.25">
      <c r="A30" t="s">
        <v>600</v>
      </c>
      <c r="B30" t="s">
        <v>1676</v>
      </c>
      <c r="X30" t="s">
        <v>332</v>
      </c>
      <c r="AH30">
        <v>5</v>
      </c>
      <c r="AI30">
        <v>20</v>
      </c>
      <c r="AJ30">
        <v>19</v>
      </c>
      <c r="AM30" t="s">
        <v>1622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197</v>
      </c>
      <c r="CJ30" t="s">
        <v>316</v>
      </c>
      <c r="CT30">
        <v>12</v>
      </c>
      <c r="CV30">
        <v>265</v>
      </c>
      <c r="CY30" t="s">
        <v>1636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1635</v>
      </c>
      <c r="CD31">
        <v>5</v>
      </c>
      <c r="CE31">
        <v>17</v>
      </c>
      <c r="CF31">
        <v>41</v>
      </c>
      <c r="CI31" t="s">
        <v>1629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1677</v>
      </c>
      <c r="AH32">
        <v>5</v>
      </c>
      <c r="AI32">
        <v>20</v>
      </c>
      <c r="AJ32">
        <v>45</v>
      </c>
      <c r="AM32" t="s">
        <v>1678</v>
      </c>
      <c r="BF32">
        <v>12</v>
      </c>
      <c r="BK32" t="s">
        <v>1638</v>
      </c>
      <c r="CD32">
        <v>10</v>
      </c>
      <c r="CE32">
        <v>220</v>
      </c>
      <c r="CF32">
        <v>39</v>
      </c>
      <c r="CG32">
        <v>197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1679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1637</v>
      </c>
      <c r="BL33" t="b">
        <v>0</v>
      </c>
      <c r="CD33">
        <v>5</v>
      </c>
      <c r="CE33">
        <v>17</v>
      </c>
      <c r="CF33">
        <v>70</v>
      </c>
      <c r="CI33" t="s">
        <v>1680</v>
      </c>
      <c r="CT33">
        <v>24</v>
      </c>
      <c r="CU33">
        <v>419</v>
      </c>
      <c r="CV33">
        <v>59</v>
      </c>
      <c r="CW33">
        <v>94</v>
      </c>
    </row>
    <row r="34" spans="1:104" x14ac:dyDescent="0.25">
      <c r="A34" t="s">
        <v>309</v>
      </c>
      <c r="B34" t="s">
        <v>1681</v>
      </c>
      <c r="AH34">
        <v>5</v>
      </c>
      <c r="AI34">
        <v>20</v>
      </c>
      <c r="AJ34">
        <v>68</v>
      </c>
      <c r="AM34" t="s">
        <v>326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1620</v>
      </c>
      <c r="CD34">
        <v>8</v>
      </c>
      <c r="CE34">
        <v>325</v>
      </c>
      <c r="CF34">
        <v>68</v>
      </c>
      <c r="CG34">
        <v>89</v>
      </c>
    </row>
    <row r="35" spans="1:104" x14ac:dyDescent="0.25">
      <c r="A35" t="s">
        <v>469</v>
      </c>
      <c r="B35" t="s">
        <v>1682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1630</v>
      </c>
      <c r="CJ35" t="b">
        <v>0</v>
      </c>
      <c r="CT35" t="s">
        <v>551</v>
      </c>
    </row>
    <row r="36" spans="1:104" x14ac:dyDescent="0.25">
      <c r="A36" t="s">
        <v>471</v>
      </c>
      <c r="B36" t="s">
        <v>1683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1620</v>
      </c>
      <c r="BF36">
        <v>12</v>
      </c>
      <c r="BG36">
        <v>18</v>
      </c>
      <c r="BH36">
        <v>120</v>
      </c>
      <c r="BK36" t="s">
        <v>1644</v>
      </c>
      <c r="CD36">
        <v>5</v>
      </c>
      <c r="CE36">
        <v>17</v>
      </c>
      <c r="CF36">
        <v>114</v>
      </c>
      <c r="CI36" t="s">
        <v>326</v>
      </c>
      <c r="CT36">
        <v>5</v>
      </c>
      <c r="CZ36" t="s">
        <v>551</v>
      </c>
    </row>
    <row r="37" spans="1:104" x14ac:dyDescent="0.25">
      <c r="A37" t="s">
        <v>473</v>
      </c>
      <c r="B37" t="s">
        <v>1684</v>
      </c>
      <c r="AH37">
        <v>111</v>
      </c>
      <c r="AN37">
        <v>2</v>
      </c>
      <c r="BF37">
        <v>12</v>
      </c>
      <c r="BH37">
        <v>140</v>
      </c>
      <c r="BK37" t="s">
        <v>1631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1685</v>
      </c>
      <c r="AH38">
        <v>12</v>
      </c>
      <c r="AI38">
        <v>20</v>
      </c>
      <c r="AJ38">
        <v>115</v>
      </c>
      <c r="AM38" t="s">
        <v>1644</v>
      </c>
      <c r="BF38">
        <v>12</v>
      </c>
      <c r="BH38">
        <v>160</v>
      </c>
      <c r="BK38" t="s">
        <v>1636</v>
      </c>
      <c r="CD38">
        <v>14</v>
      </c>
      <c r="CE38">
        <v>8</v>
      </c>
      <c r="CF38">
        <v>140</v>
      </c>
      <c r="CG38">
        <v>418</v>
      </c>
      <c r="CH38">
        <v>81</v>
      </c>
      <c r="CI38" t="s">
        <v>1620</v>
      </c>
      <c r="CT38">
        <v>5</v>
      </c>
    </row>
    <row r="39" spans="1:104" x14ac:dyDescent="0.25">
      <c r="A39" t="s">
        <v>488</v>
      </c>
      <c r="B39" t="s">
        <v>1686</v>
      </c>
      <c r="AH39">
        <v>12</v>
      </c>
      <c r="AJ39">
        <v>135</v>
      </c>
      <c r="AM39" t="s">
        <v>1631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1687</v>
      </c>
      <c r="AH40">
        <v>12</v>
      </c>
      <c r="AJ40">
        <v>155</v>
      </c>
      <c r="AM40" t="s">
        <v>1636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1644</v>
      </c>
      <c r="CT40">
        <v>5</v>
      </c>
    </row>
    <row r="41" spans="1:104" x14ac:dyDescent="0.25">
      <c r="A41" t="s">
        <v>492</v>
      </c>
      <c r="B41" t="s">
        <v>1688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94</v>
      </c>
      <c r="CD41">
        <v>12</v>
      </c>
      <c r="CF41">
        <v>176</v>
      </c>
      <c r="CI41" t="s">
        <v>1631</v>
      </c>
      <c r="CT41">
        <v>5</v>
      </c>
    </row>
    <row r="42" spans="1:104" x14ac:dyDescent="0.25">
      <c r="A42" t="s">
        <v>494</v>
      </c>
      <c r="B42" t="s">
        <v>1689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1636</v>
      </c>
      <c r="CT42">
        <v>5</v>
      </c>
    </row>
    <row r="43" spans="1:104" x14ac:dyDescent="0.25">
      <c r="A43" t="s">
        <v>496</v>
      </c>
      <c r="B43" t="s">
        <v>1690</v>
      </c>
      <c r="AH43">
        <v>24</v>
      </c>
      <c r="AI43">
        <v>407</v>
      </c>
      <c r="AJ43">
        <v>57</v>
      </c>
      <c r="AK43">
        <v>94</v>
      </c>
      <c r="BF43" t="s">
        <v>530</v>
      </c>
      <c r="CD43">
        <v>210</v>
      </c>
      <c r="CE43">
        <v>220</v>
      </c>
      <c r="CF43">
        <v>154</v>
      </c>
      <c r="CG43">
        <v>197</v>
      </c>
      <c r="CJ43" t="s">
        <v>316</v>
      </c>
      <c r="CT43">
        <v>5</v>
      </c>
    </row>
    <row r="44" spans="1:104" x14ac:dyDescent="0.25">
      <c r="A44" t="s">
        <v>400</v>
      </c>
      <c r="B44" t="s">
        <v>1691</v>
      </c>
      <c r="BF44" s="1" t="s">
        <v>670</v>
      </c>
      <c r="BI44">
        <v>511</v>
      </c>
      <c r="BJ44">
        <v>191</v>
      </c>
      <c r="BK44" t="s">
        <v>1692</v>
      </c>
      <c r="BL44">
        <v>5</v>
      </c>
      <c r="CD44">
        <v>6</v>
      </c>
      <c r="CE44">
        <v>220</v>
      </c>
      <c r="CF44">
        <v>174</v>
      </c>
      <c r="CG44">
        <v>197</v>
      </c>
      <c r="CT44">
        <v>5</v>
      </c>
      <c r="CU44">
        <v>25</v>
      </c>
      <c r="CV44">
        <v>114</v>
      </c>
      <c r="CY44" t="s">
        <v>1693</v>
      </c>
    </row>
    <row r="45" spans="1:104" x14ac:dyDescent="0.25">
      <c r="A45" t="s">
        <v>422</v>
      </c>
      <c r="B45" t="s">
        <v>1694</v>
      </c>
      <c r="BF45">
        <v>1</v>
      </c>
      <c r="BG45">
        <v>407</v>
      </c>
      <c r="BH45">
        <v>7</v>
      </c>
      <c r="BI45">
        <v>94</v>
      </c>
      <c r="BK45" t="s">
        <v>390</v>
      </c>
      <c r="CD45">
        <v>24</v>
      </c>
      <c r="CE45">
        <v>440</v>
      </c>
      <c r="CF45">
        <v>57</v>
      </c>
      <c r="CG45">
        <v>94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1695</v>
      </c>
      <c r="BF46">
        <v>2</v>
      </c>
      <c r="BG46">
        <v>407</v>
      </c>
      <c r="BH46">
        <v>30</v>
      </c>
      <c r="BI46">
        <v>94</v>
      </c>
      <c r="BK46" t="s">
        <v>1617</v>
      </c>
      <c r="CT46">
        <v>5</v>
      </c>
      <c r="CU46">
        <v>184</v>
      </c>
      <c r="CV46">
        <v>114</v>
      </c>
      <c r="CY46" t="s">
        <v>1696</v>
      </c>
    </row>
    <row r="47" spans="1:104" x14ac:dyDescent="0.25">
      <c r="A47" t="s">
        <v>427</v>
      </c>
      <c r="B47" t="s">
        <v>1697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1619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1698</v>
      </c>
      <c r="AH48" s="1" t="s">
        <v>665</v>
      </c>
      <c r="AK48">
        <v>523</v>
      </c>
      <c r="AL48">
        <v>185</v>
      </c>
      <c r="AM48" t="s">
        <v>1661</v>
      </c>
      <c r="AN48">
        <v>5</v>
      </c>
      <c r="BF48">
        <v>5</v>
      </c>
      <c r="BG48">
        <v>18</v>
      </c>
      <c r="BH48">
        <v>19</v>
      </c>
      <c r="BK48" t="s">
        <v>1622</v>
      </c>
    </row>
    <row r="49" spans="1:104" x14ac:dyDescent="0.25">
      <c r="A49" t="s">
        <v>431</v>
      </c>
      <c r="B49" t="s">
        <v>1699</v>
      </c>
      <c r="AH49">
        <v>1</v>
      </c>
      <c r="AI49">
        <v>407</v>
      </c>
      <c r="AJ49">
        <v>7</v>
      </c>
      <c r="AK49">
        <v>94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1675</v>
      </c>
      <c r="AH50">
        <v>2</v>
      </c>
      <c r="AI50">
        <v>407</v>
      </c>
      <c r="AJ50">
        <v>30</v>
      </c>
      <c r="AK50">
        <v>94</v>
      </c>
      <c r="AM50" t="s">
        <v>1617</v>
      </c>
      <c r="BF50">
        <v>5</v>
      </c>
      <c r="BG50">
        <v>18</v>
      </c>
      <c r="BH50">
        <v>44</v>
      </c>
      <c r="BK50" t="s">
        <v>1626</v>
      </c>
      <c r="CD50" s="1" t="s">
        <v>672</v>
      </c>
      <c r="CG50">
        <v>550</v>
      </c>
      <c r="CH50">
        <v>227</v>
      </c>
      <c r="CI50" t="s">
        <v>1700</v>
      </c>
      <c r="CJ50">
        <v>5</v>
      </c>
      <c r="CT50">
        <v>5</v>
      </c>
      <c r="CU50">
        <v>17</v>
      </c>
      <c r="CV50">
        <v>101</v>
      </c>
      <c r="CY50" t="s">
        <v>1701</v>
      </c>
      <c r="CZ50" t="s">
        <v>599</v>
      </c>
    </row>
    <row r="51" spans="1:104" x14ac:dyDescent="0.25">
      <c r="A51" t="s">
        <v>439</v>
      </c>
      <c r="B51" t="s">
        <v>1702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1619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94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420</v>
      </c>
      <c r="AH52">
        <v>5</v>
      </c>
      <c r="AI52">
        <v>18</v>
      </c>
      <c r="AJ52">
        <v>19</v>
      </c>
      <c r="AM52" t="s">
        <v>1622</v>
      </c>
      <c r="BF52">
        <v>12</v>
      </c>
      <c r="BG52">
        <v>220</v>
      </c>
      <c r="BH52">
        <v>40</v>
      </c>
      <c r="BK52" t="s">
        <v>1635</v>
      </c>
      <c r="CD52">
        <v>2</v>
      </c>
      <c r="CE52">
        <v>440</v>
      </c>
      <c r="CF52">
        <v>30</v>
      </c>
      <c r="CG52">
        <v>94</v>
      </c>
      <c r="CI52" t="s">
        <v>1617</v>
      </c>
      <c r="CT52">
        <v>5</v>
      </c>
      <c r="CU52">
        <v>132</v>
      </c>
      <c r="CV52">
        <v>101</v>
      </c>
      <c r="CY52" t="s">
        <v>1703</v>
      </c>
    </row>
    <row r="53" spans="1:104" x14ac:dyDescent="0.25">
      <c r="A53" t="s">
        <v>338</v>
      </c>
      <c r="B53" t="s">
        <v>1084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1638</v>
      </c>
      <c r="CD53">
        <v>14</v>
      </c>
      <c r="CE53">
        <v>8</v>
      </c>
      <c r="CF53">
        <v>3</v>
      </c>
      <c r="CG53">
        <v>419</v>
      </c>
      <c r="CH53">
        <v>132</v>
      </c>
      <c r="CI53" t="s">
        <v>1619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1704</v>
      </c>
      <c r="AH54">
        <v>13</v>
      </c>
      <c r="AI54">
        <v>19</v>
      </c>
      <c r="AJ54">
        <v>41</v>
      </c>
      <c r="AM54" t="s">
        <v>1630</v>
      </c>
      <c r="AN54" t="b">
        <v>0</v>
      </c>
      <c r="BF54">
        <v>13</v>
      </c>
      <c r="BG54">
        <v>18</v>
      </c>
      <c r="BH54">
        <v>75</v>
      </c>
      <c r="BK54" t="s">
        <v>1637</v>
      </c>
      <c r="BL54" t="b">
        <v>0</v>
      </c>
      <c r="CD54">
        <v>5</v>
      </c>
      <c r="CE54">
        <v>17</v>
      </c>
      <c r="CF54">
        <v>18</v>
      </c>
      <c r="CI54" t="s">
        <v>1624</v>
      </c>
      <c r="CT54">
        <v>5</v>
      </c>
      <c r="CU54">
        <v>232</v>
      </c>
      <c r="CV54">
        <v>101</v>
      </c>
      <c r="CY54" t="s">
        <v>1705</v>
      </c>
    </row>
    <row r="55" spans="1:104" x14ac:dyDescent="0.25">
      <c r="A55" t="s">
        <v>177</v>
      </c>
      <c r="B55" t="s">
        <v>1706</v>
      </c>
      <c r="AH55">
        <v>5</v>
      </c>
      <c r="AI55">
        <v>20</v>
      </c>
      <c r="AJ55">
        <v>62</v>
      </c>
      <c r="AM55" t="s">
        <v>326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1620</v>
      </c>
      <c r="CD55">
        <v>10</v>
      </c>
      <c r="CE55">
        <v>220</v>
      </c>
      <c r="CF55">
        <v>16</v>
      </c>
      <c r="CG55">
        <v>197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180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1629</v>
      </c>
      <c r="CT56">
        <v>5</v>
      </c>
      <c r="CU56">
        <v>17</v>
      </c>
      <c r="CV56">
        <v>131</v>
      </c>
      <c r="CY56" t="s">
        <v>1707</v>
      </c>
    </row>
    <row r="57" spans="1:104" x14ac:dyDescent="0.25">
      <c r="A57" t="s">
        <v>557</v>
      </c>
      <c r="B57" t="s">
        <v>1708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1620</v>
      </c>
      <c r="BF57">
        <v>12</v>
      </c>
      <c r="BG57">
        <v>18</v>
      </c>
      <c r="BH57">
        <v>120</v>
      </c>
      <c r="BK57" t="s">
        <v>1644</v>
      </c>
      <c r="CD57">
        <v>10</v>
      </c>
      <c r="CE57">
        <v>220</v>
      </c>
      <c r="CF57">
        <v>39</v>
      </c>
      <c r="CG57">
        <v>197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1709</v>
      </c>
      <c r="AH58">
        <v>111</v>
      </c>
      <c r="AN58">
        <v>2</v>
      </c>
      <c r="BF58">
        <v>12</v>
      </c>
      <c r="BH58">
        <v>140</v>
      </c>
      <c r="BK58" t="s">
        <v>1631</v>
      </c>
      <c r="CD58">
        <v>5</v>
      </c>
      <c r="CE58">
        <v>17</v>
      </c>
      <c r="CF58">
        <v>70</v>
      </c>
      <c r="CI58" t="s">
        <v>1680</v>
      </c>
      <c r="CT58">
        <v>5</v>
      </c>
      <c r="CU58">
        <v>288</v>
      </c>
      <c r="CV58">
        <v>131</v>
      </c>
      <c r="CY58" t="s">
        <v>1710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1644</v>
      </c>
      <c r="BF59">
        <v>12</v>
      </c>
      <c r="BH59">
        <v>160</v>
      </c>
      <c r="BK59" t="s">
        <v>1636</v>
      </c>
      <c r="CD59">
        <v>8</v>
      </c>
      <c r="CE59">
        <v>322</v>
      </c>
      <c r="CF59">
        <v>68</v>
      </c>
      <c r="CG59">
        <v>95</v>
      </c>
      <c r="CT59">
        <v>5</v>
      </c>
      <c r="CU59">
        <v>17</v>
      </c>
      <c r="CV59">
        <v>153</v>
      </c>
      <c r="CY59" t="s">
        <v>1711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1631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1630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1712</v>
      </c>
      <c r="AH61">
        <v>12</v>
      </c>
      <c r="AJ61">
        <v>147</v>
      </c>
      <c r="AM61" t="s">
        <v>1636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326</v>
      </c>
      <c r="CT61">
        <v>5</v>
      </c>
      <c r="CU61">
        <v>288</v>
      </c>
      <c r="CV61">
        <v>153</v>
      </c>
      <c r="CY61" t="s">
        <v>1710</v>
      </c>
    </row>
    <row r="62" spans="1:104" x14ac:dyDescent="0.25">
      <c r="A62" t="s">
        <v>568</v>
      </c>
      <c r="B62" t="s">
        <v>1713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94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1714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419</v>
      </c>
      <c r="CH63">
        <v>81</v>
      </c>
      <c r="CI63" t="s">
        <v>1620</v>
      </c>
      <c r="CT63" t="s">
        <v>554</v>
      </c>
    </row>
    <row r="64" spans="1:104" x14ac:dyDescent="0.25">
      <c r="A64" t="s">
        <v>572</v>
      </c>
      <c r="B64" t="s">
        <v>1301</v>
      </c>
      <c r="AH64">
        <v>24</v>
      </c>
      <c r="AI64">
        <v>407</v>
      </c>
      <c r="AJ64">
        <v>57</v>
      </c>
      <c r="AK64">
        <v>94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1660</v>
      </c>
      <c r="CD65">
        <v>12</v>
      </c>
      <c r="CE65">
        <v>17</v>
      </c>
      <c r="CF65">
        <v>156</v>
      </c>
      <c r="CI65" t="s">
        <v>1644</v>
      </c>
      <c r="CT65">
        <v>5</v>
      </c>
    </row>
    <row r="66" spans="1:104" x14ac:dyDescent="0.25">
      <c r="A66" t="s">
        <v>194</v>
      </c>
      <c r="B66" t="s">
        <v>1613</v>
      </c>
      <c r="BF66" t="s">
        <v>334</v>
      </c>
      <c r="CD66">
        <v>12</v>
      </c>
      <c r="CF66">
        <v>176</v>
      </c>
      <c r="CI66" t="s">
        <v>1631</v>
      </c>
      <c r="CT66">
        <v>5</v>
      </c>
    </row>
    <row r="67" spans="1:104" x14ac:dyDescent="0.25">
      <c r="A67" t="s">
        <v>195</v>
      </c>
      <c r="B67" t="s">
        <v>1715</v>
      </c>
      <c r="BF67" s="1" t="s">
        <v>667</v>
      </c>
      <c r="BI67">
        <v>509</v>
      </c>
      <c r="BJ67">
        <v>181</v>
      </c>
      <c r="BK67" t="s">
        <v>1716</v>
      </c>
      <c r="BL67">
        <v>5</v>
      </c>
      <c r="CD67">
        <v>12</v>
      </c>
      <c r="CF67">
        <v>196</v>
      </c>
      <c r="CI67" t="s">
        <v>1636</v>
      </c>
      <c r="CT67">
        <v>5</v>
      </c>
    </row>
    <row r="68" spans="1:104" x14ac:dyDescent="0.25">
      <c r="A68" t="s">
        <v>576</v>
      </c>
      <c r="B68" t="s">
        <v>1717</v>
      </c>
      <c r="AH68" t="s">
        <v>524</v>
      </c>
      <c r="BF68">
        <v>1</v>
      </c>
      <c r="BG68">
        <v>407</v>
      </c>
      <c r="BH68">
        <v>7</v>
      </c>
      <c r="BI68">
        <v>94</v>
      </c>
      <c r="BK68" t="s">
        <v>390</v>
      </c>
      <c r="CD68">
        <v>210</v>
      </c>
      <c r="CE68">
        <v>220</v>
      </c>
      <c r="CF68">
        <v>154</v>
      </c>
      <c r="CG68">
        <v>197</v>
      </c>
      <c r="CJ68" t="s">
        <v>316</v>
      </c>
      <c r="CT68">
        <v>5</v>
      </c>
    </row>
    <row r="69" spans="1:104" x14ac:dyDescent="0.25">
      <c r="A69" t="s">
        <v>578</v>
      </c>
      <c r="B69" t="s">
        <v>1412</v>
      </c>
      <c r="AH69" s="1" t="s">
        <v>669</v>
      </c>
      <c r="AK69">
        <v>509</v>
      </c>
      <c r="AL69">
        <v>205</v>
      </c>
      <c r="AM69" t="s">
        <v>1715</v>
      </c>
      <c r="AN69">
        <v>5</v>
      </c>
      <c r="BF69">
        <v>2</v>
      </c>
      <c r="BG69">
        <v>407</v>
      </c>
      <c r="BH69">
        <v>30</v>
      </c>
      <c r="BI69">
        <v>94</v>
      </c>
      <c r="BK69" t="s">
        <v>1617</v>
      </c>
      <c r="CD69">
        <v>6</v>
      </c>
      <c r="CE69">
        <v>220</v>
      </c>
      <c r="CF69">
        <v>174</v>
      </c>
      <c r="CG69">
        <v>197</v>
      </c>
      <c r="CT69">
        <v>5</v>
      </c>
    </row>
    <row r="70" spans="1:104" x14ac:dyDescent="0.25">
      <c r="A70" t="s">
        <v>580</v>
      </c>
      <c r="B70" t="s">
        <v>1718</v>
      </c>
      <c r="AH70">
        <v>1</v>
      </c>
      <c r="AI70">
        <v>407</v>
      </c>
      <c r="AJ70">
        <v>7</v>
      </c>
      <c r="AK70">
        <v>94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1619</v>
      </c>
      <c r="CD70">
        <v>24</v>
      </c>
      <c r="CE70">
        <v>440</v>
      </c>
      <c r="CF70">
        <v>57</v>
      </c>
      <c r="CG70">
        <v>94</v>
      </c>
      <c r="CT70">
        <v>5</v>
      </c>
    </row>
    <row r="71" spans="1:104" x14ac:dyDescent="0.25">
      <c r="A71" t="s">
        <v>582</v>
      </c>
      <c r="B71" t="s">
        <v>1719</v>
      </c>
      <c r="AH71">
        <v>2</v>
      </c>
      <c r="AI71">
        <v>407</v>
      </c>
      <c r="AJ71">
        <v>30</v>
      </c>
      <c r="AK71">
        <v>94</v>
      </c>
      <c r="AM71" t="s">
        <v>1617</v>
      </c>
      <c r="BF71">
        <v>5</v>
      </c>
      <c r="BG71">
        <v>18</v>
      </c>
      <c r="BH71">
        <v>19</v>
      </c>
      <c r="BK71" t="s">
        <v>1622</v>
      </c>
      <c r="CT71">
        <v>5</v>
      </c>
    </row>
    <row r="72" spans="1:104" x14ac:dyDescent="0.25">
      <c r="A72" t="s">
        <v>200</v>
      </c>
      <c r="B72" t="s">
        <v>1720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1619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1721</v>
      </c>
    </row>
    <row r="73" spans="1:104" x14ac:dyDescent="0.25">
      <c r="A73" t="s">
        <v>203</v>
      </c>
      <c r="B73" t="s">
        <v>1722</v>
      </c>
      <c r="AH73">
        <v>5</v>
      </c>
      <c r="AI73">
        <v>18</v>
      </c>
      <c r="AJ73">
        <v>19</v>
      </c>
      <c r="AM73" t="s">
        <v>1622</v>
      </c>
      <c r="BF73">
        <v>13</v>
      </c>
      <c r="BG73">
        <v>18</v>
      </c>
      <c r="BH73">
        <v>40</v>
      </c>
      <c r="BK73" t="s">
        <v>1637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1723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1620</v>
      </c>
      <c r="CD74" t="s">
        <v>441</v>
      </c>
      <c r="CT74">
        <v>5</v>
      </c>
      <c r="CU74">
        <v>24</v>
      </c>
      <c r="CV74">
        <v>134</v>
      </c>
      <c r="CY74" t="s">
        <v>1724</v>
      </c>
    </row>
    <row r="75" spans="1:104" x14ac:dyDescent="0.25">
      <c r="A75" t="s">
        <v>207</v>
      </c>
      <c r="B75" t="s">
        <v>1725</v>
      </c>
      <c r="AH75">
        <v>13</v>
      </c>
      <c r="AI75">
        <v>18</v>
      </c>
      <c r="AJ75">
        <v>41</v>
      </c>
      <c r="AM75" t="s">
        <v>1637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1726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1727</v>
      </c>
      <c r="AH76">
        <v>5</v>
      </c>
      <c r="AI76">
        <v>18</v>
      </c>
      <c r="AJ76">
        <v>69</v>
      </c>
      <c r="AM76" t="s">
        <v>1728</v>
      </c>
      <c r="BF76">
        <v>12</v>
      </c>
      <c r="BG76">
        <v>18</v>
      </c>
      <c r="BH76">
        <v>86</v>
      </c>
      <c r="BK76" t="s">
        <v>1644</v>
      </c>
      <c r="CD76">
        <v>1</v>
      </c>
      <c r="CE76">
        <v>440</v>
      </c>
      <c r="CF76">
        <v>7</v>
      </c>
      <c r="CG76">
        <v>94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1631</v>
      </c>
      <c r="CD77">
        <v>2</v>
      </c>
      <c r="CE77">
        <v>440</v>
      </c>
      <c r="CF77">
        <v>30</v>
      </c>
      <c r="CG77">
        <v>94</v>
      </c>
      <c r="CI77" t="s">
        <v>1617</v>
      </c>
      <c r="CT77" t="s">
        <v>376</v>
      </c>
    </row>
    <row r="78" spans="1:104" x14ac:dyDescent="0.25">
      <c r="A78" t="s">
        <v>219</v>
      </c>
      <c r="B78" t="s">
        <v>1614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1620</v>
      </c>
      <c r="BF78">
        <v>12</v>
      </c>
      <c r="BH78">
        <v>126</v>
      </c>
      <c r="BK78" t="s">
        <v>1636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1619</v>
      </c>
      <c r="CT78">
        <v>5</v>
      </c>
      <c r="CZ78" t="s">
        <v>376</v>
      </c>
    </row>
    <row r="79" spans="1:104" x14ac:dyDescent="0.25">
      <c r="A79" t="s">
        <v>220</v>
      </c>
      <c r="B79" t="s">
        <v>1729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1624</v>
      </c>
      <c r="CT79">
        <v>5</v>
      </c>
    </row>
    <row r="80" spans="1:104" x14ac:dyDescent="0.25">
      <c r="A80" t="s">
        <v>221</v>
      </c>
      <c r="B80" t="s">
        <v>1730</v>
      </c>
      <c r="AH80">
        <v>5</v>
      </c>
      <c r="AI80">
        <v>18</v>
      </c>
      <c r="AJ80">
        <v>112</v>
      </c>
      <c r="AM80" t="s">
        <v>1644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1731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1732</v>
      </c>
      <c r="BL81" t="b">
        <v>0</v>
      </c>
      <c r="CD81">
        <v>5</v>
      </c>
      <c r="CE81">
        <v>17</v>
      </c>
      <c r="CF81">
        <v>41</v>
      </c>
      <c r="CI81" t="s">
        <v>1629</v>
      </c>
      <c r="CT81">
        <v>5</v>
      </c>
    </row>
    <row r="82" spans="1:104" x14ac:dyDescent="0.25">
      <c r="A82" t="s">
        <v>606</v>
      </c>
      <c r="B82" t="s">
        <v>1733</v>
      </c>
      <c r="AH82">
        <v>205</v>
      </c>
      <c r="AI82">
        <v>18</v>
      </c>
      <c r="AJ82">
        <v>132</v>
      </c>
      <c r="AM82" t="s">
        <v>1631</v>
      </c>
      <c r="BF82">
        <v>24</v>
      </c>
      <c r="BG82">
        <v>407</v>
      </c>
      <c r="BH82">
        <v>57</v>
      </c>
      <c r="BI82">
        <v>94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1734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1680</v>
      </c>
      <c r="CT83">
        <v>5</v>
      </c>
    </row>
    <row r="84" spans="1:104" x14ac:dyDescent="0.25">
      <c r="A84" t="s">
        <v>303</v>
      </c>
      <c r="B84" t="s">
        <v>1735</v>
      </c>
      <c r="AH84">
        <v>205</v>
      </c>
      <c r="AI84">
        <v>18</v>
      </c>
      <c r="AJ84">
        <v>152</v>
      </c>
      <c r="AM84" t="s">
        <v>1636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1736</v>
      </c>
      <c r="AH85">
        <v>13</v>
      </c>
      <c r="AI85">
        <v>18</v>
      </c>
      <c r="AJ85">
        <v>175</v>
      </c>
      <c r="AM85" t="s">
        <v>1650</v>
      </c>
      <c r="AN85" t="b">
        <v>0</v>
      </c>
      <c r="CD85">
        <v>13</v>
      </c>
      <c r="CE85">
        <v>18</v>
      </c>
      <c r="CF85">
        <v>87</v>
      </c>
      <c r="CI85" t="s">
        <v>1630</v>
      </c>
      <c r="CJ85" t="b">
        <v>0</v>
      </c>
      <c r="CT85">
        <v>5</v>
      </c>
    </row>
    <row r="86" spans="1:104" x14ac:dyDescent="0.25">
      <c r="A86" t="s">
        <v>228</v>
      </c>
      <c r="B86" t="s">
        <v>1737</v>
      </c>
      <c r="AH86">
        <v>13</v>
      </c>
      <c r="AI86">
        <v>222</v>
      </c>
      <c r="AJ86">
        <v>175</v>
      </c>
      <c r="AM86" t="s">
        <v>1652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326</v>
      </c>
      <c r="CT86">
        <v>5</v>
      </c>
    </row>
    <row r="87" spans="1:104" x14ac:dyDescent="0.25">
      <c r="A87" t="s">
        <v>231</v>
      </c>
      <c r="B87" t="s">
        <v>1738</v>
      </c>
      <c r="AH87">
        <v>24</v>
      </c>
      <c r="AI87">
        <v>407</v>
      </c>
      <c r="AJ87">
        <v>57</v>
      </c>
      <c r="AK87">
        <v>94</v>
      </c>
      <c r="BF87" s="1" t="s">
        <v>668</v>
      </c>
      <c r="BI87">
        <v>515</v>
      </c>
      <c r="BJ87">
        <v>241</v>
      </c>
      <c r="BK87" t="s">
        <v>1720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1739</v>
      </c>
      <c r="BF88">
        <v>1</v>
      </c>
      <c r="BG88">
        <v>407</v>
      </c>
      <c r="BH88">
        <v>7</v>
      </c>
      <c r="BI88">
        <v>94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1620</v>
      </c>
      <c r="CT88">
        <v>5</v>
      </c>
      <c r="CU88">
        <v>26</v>
      </c>
      <c r="CV88">
        <v>108</v>
      </c>
      <c r="CY88" t="s">
        <v>1740</v>
      </c>
    </row>
    <row r="89" spans="1:104" x14ac:dyDescent="0.25">
      <c r="A89" t="s">
        <v>299</v>
      </c>
      <c r="B89" t="s">
        <v>1741</v>
      </c>
      <c r="BF89">
        <v>2</v>
      </c>
      <c r="BG89">
        <v>407</v>
      </c>
      <c r="BH89">
        <v>30</v>
      </c>
      <c r="BI89">
        <v>94</v>
      </c>
      <c r="BK89" t="s">
        <v>1617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1742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1619</v>
      </c>
      <c r="CD90">
        <v>12</v>
      </c>
      <c r="CE90">
        <v>17</v>
      </c>
      <c r="CF90">
        <v>152</v>
      </c>
      <c r="CI90" t="s">
        <v>1644</v>
      </c>
    </row>
    <row r="91" spans="1:104" x14ac:dyDescent="0.25">
      <c r="A91" t="s">
        <v>237</v>
      </c>
      <c r="B91" t="s">
        <v>1743</v>
      </c>
      <c r="BF91">
        <v>5</v>
      </c>
      <c r="BG91">
        <v>18</v>
      </c>
      <c r="BH91">
        <v>19</v>
      </c>
      <c r="BK91" t="s">
        <v>1622</v>
      </c>
      <c r="CD91">
        <v>12</v>
      </c>
      <c r="CF91">
        <v>172</v>
      </c>
      <c r="CI91" t="s">
        <v>1631</v>
      </c>
      <c r="CT91" t="s">
        <v>379</v>
      </c>
    </row>
    <row r="92" spans="1:104" x14ac:dyDescent="0.25">
      <c r="A92" t="s">
        <v>239</v>
      </c>
      <c r="B92" t="s">
        <v>1744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1636</v>
      </c>
      <c r="CT92">
        <v>5</v>
      </c>
      <c r="CZ92" t="s">
        <v>379</v>
      </c>
    </row>
    <row r="93" spans="1:104" x14ac:dyDescent="0.25">
      <c r="A93" t="s">
        <v>485</v>
      </c>
      <c r="B93" t="s">
        <v>486</v>
      </c>
      <c r="BF93">
        <v>5</v>
      </c>
      <c r="BG93">
        <v>18</v>
      </c>
      <c r="BH93">
        <v>43</v>
      </c>
      <c r="BK93" t="s">
        <v>1745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243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1746</v>
      </c>
      <c r="BF95">
        <v>13</v>
      </c>
      <c r="BG95">
        <v>18</v>
      </c>
      <c r="BH95">
        <v>66</v>
      </c>
      <c r="BK95" t="s">
        <v>1630</v>
      </c>
      <c r="BL95" t="b">
        <v>0</v>
      </c>
      <c r="CD95">
        <v>24</v>
      </c>
      <c r="CE95">
        <v>440</v>
      </c>
      <c r="CF95">
        <v>57</v>
      </c>
      <c r="CG95">
        <v>94</v>
      </c>
      <c r="CT95">
        <v>5</v>
      </c>
    </row>
    <row r="96" spans="1:104" x14ac:dyDescent="0.25">
      <c r="A96" t="s">
        <v>246</v>
      </c>
      <c r="B96" t="s">
        <v>1747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1620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1748</v>
      </c>
      <c r="BF98">
        <v>12</v>
      </c>
      <c r="BG98">
        <v>18</v>
      </c>
      <c r="BH98">
        <v>112</v>
      </c>
      <c r="BK98" t="s">
        <v>1644</v>
      </c>
      <c r="CT98">
        <v>5</v>
      </c>
    </row>
    <row r="99" spans="1:104" x14ac:dyDescent="0.25">
      <c r="A99" t="s">
        <v>252</v>
      </c>
      <c r="B99" t="s">
        <v>1749</v>
      </c>
      <c r="BF99">
        <v>12</v>
      </c>
      <c r="BH99">
        <v>132</v>
      </c>
      <c r="BK99" t="s">
        <v>1631</v>
      </c>
      <c r="CD99" t="s">
        <v>357</v>
      </c>
      <c r="CT99">
        <v>5</v>
      </c>
    </row>
    <row r="100" spans="1:104" x14ac:dyDescent="0.25">
      <c r="A100" t="s">
        <v>511</v>
      </c>
      <c r="B100" t="s">
        <v>1750</v>
      </c>
      <c r="BF100">
        <v>12</v>
      </c>
      <c r="BH100">
        <v>152</v>
      </c>
      <c r="BK100" t="s">
        <v>1636</v>
      </c>
      <c r="CD100" s="1" t="s">
        <v>674</v>
      </c>
      <c r="CG100">
        <v>577</v>
      </c>
      <c r="CH100">
        <v>289</v>
      </c>
      <c r="CI100" t="s">
        <v>1751</v>
      </c>
      <c r="CJ100">
        <v>5</v>
      </c>
      <c r="CT100">
        <v>5</v>
      </c>
      <c r="CU100">
        <v>23</v>
      </c>
      <c r="CV100">
        <v>131</v>
      </c>
      <c r="CY100" t="s">
        <v>1752</v>
      </c>
    </row>
    <row r="101" spans="1:104" x14ac:dyDescent="0.25">
      <c r="A101" t="s">
        <v>513</v>
      </c>
      <c r="B101" t="s">
        <v>1753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462</v>
      </c>
      <c r="CF101">
        <v>11</v>
      </c>
      <c r="CG101">
        <v>100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1692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462</v>
      </c>
      <c r="CF102">
        <v>35</v>
      </c>
      <c r="CG102">
        <v>100</v>
      </c>
      <c r="CI102" t="s">
        <v>1617</v>
      </c>
      <c r="CT102">
        <v>5</v>
      </c>
      <c r="CU102">
        <v>25</v>
      </c>
      <c r="CV102">
        <v>108</v>
      </c>
      <c r="CY102" t="s">
        <v>1740</v>
      </c>
    </row>
    <row r="103" spans="1:104" x14ac:dyDescent="0.25">
      <c r="A103" t="s">
        <v>516</v>
      </c>
      <c r="B103" t="s">
        <v>820</v>
      </c>
      <c r="BF103">
        <v>13</v>
      </c>
      <c r="BG103">
        <v>18</v>
      </c>
      <c r="BH103">
        <v>174</v>
      </c>
      <c r="BK103" t="s">
        <v>1754</v>
      </c>
      <c r="BL103" t="b">
        <v>0</v>
      </c>
      <c r="CD103">
        <v>14</v>
      </c>
      <c r="CE103">
        <v>10</v>
      </c>
      <c r="CF103">
        <v>6</v>
      </c>
      <c r="CG103">
        <v>422</v>
      </c>
      <c r="CH103">
        <v>186</v>
      </c>
      <c r="CI103" t="s">
        <v>1619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1755</v>
      </c>
      <c r="BF104">
        <v>13</v>
      </c>
      <c r="BK104" t="s">
        <v>1756</v>
      </c>
      <c r="BL104" t="b">
        <v>0</v>
      </c>
      <c r="CD104">
        <v>5</v>
      </c>
      <c r="CE104">
        <v>19</v>
      </c>
      <c r="CF104">
        <v>21</v>
      </c>
      <c r="CI104" t="s">
        <v>1624</v>
      </c>
    </row>
    <row r="105" spans="1:104" x14ac:dyDescent="0.25">
      <c r="A105" t="s">
        <v>534</v>
      </c>
      <c r="B105" t="s">
        <v>1718</v>
      </c>
      <c r="BF105">
        <v>13</v>
      </c>
      <c r="BK105" t="s">
        <v>1650</v>
      </c>
      <c r="BL105" t="b">
        <v>0</v>
      </c>
      <c r="CD105">
        <v>10</v>
      </c>
      <c r="CE105">
        <v>224</v>
      </c>
      <c r="CF105">
        <v>19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1757</v>
      </c>
      <c r="BF106">
        <v>24</v>
      </c>
      <c r="BG106">
        <v>407</v>
      </c>
      <c r="BH106">
        <v>57</v>
      </c>
      <c r="BI106">
        <v>94</v>
      </c>
      <c r="CD106">
        <v>5</v>
      </c>
      <c r="CE106">
        <v>19</v>
      </c>
      <c r="CF106">
        <v>44</v>
      </c>
      <c r="CI106" t="s">
        <v>1629</v>
      </c>
      <c r="CT106">
        <v>5</v>
      </c>
      <c r="CZ106" t="s">
        <v>382</v>
      </c>
    </row>
    <row r="107" spans="1:104" x14ac:dyDescent="0.25">
      <c r="A107" t="s">
        <v>538</v>
      </c>
      <c r="B107" t="s">
        <v>1616</v>
      </c>
      <c r="CD107">
        <v>10</v>
      </c>
      <c r="CE107">
        <v>224</v>
      </c>
      <c r="CF107">
        <v>42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1758</v>
      </c>
      <c r="CD108">
        <v>5</v>
      </c>
      <c r="CE108">
        <v>19</v>
      </c>
      <c r="CF108">
        <v>71</v>
      </c>
      <c r="CI108" t="s">
        <v>1680</v>
      </c>
      <c r="CT108">
        <v>5</v>
      </c>
    </row>
    <row r="109" spans="1:104" x14ac:dyDescent="0.25">
      <c r="A109" t="s">
        <v>60</v>
      </c>
      <c r="B109" t="s">
        <v>1759</v>
      </c>
      <c r="CD109">
        <v>8</v>
      </c>
      <c r="CE109">
        <v>330</v>
      </c>
      <c r="CF109">
        <v>69</v>
      </c>
      <c r="CG109">
        <v>85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19</v>
      </c>
      <c r="CF110">
        <v>97</v>
      </c>
      <c r="CI110" t="s">
        <v>1760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330</v>
      </c>
      <c r="CF111">
        <v>95</v>
      </c>
      <c r="CG111">
        <v>85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19</v>
      </c>
      <c r="CF112">
        <v>122</v>
      </c>
      <c r="CI112" t="s">
        <v>1761</v>
      </c>
      <c r="CT112">
        <v>5</v>
      </c>
    </row>
    <row r="113" spans="1:104" x14ac:dyDescent="0.25">
      <c r="A113" t="s">
        <v>539</v>
      </c>
      <c r="B113" t="s">
        <v>1762</v>
      </c>
      <c r="CD113">
        <v>8</v>
      </c>
      <c r="CE113">
        <v>330</v>
      </c>
      <c r="CF113">
        <v>120</v>
      </c>
      <c r="CG113">
        <v>85</v>
      </c>
      <c r="CT113">
        <v>5</v>
      </c>
    </row>
    <row r="114" spans="1:104" x14ac:dyDescent="0.25">
      <c r="A114" t="s">
        <v>541</v>
      </c>
      <c r="B114" t="s">
        <v>1763</v>
      </c>
      <c r="CD114">
        <v>13</v>
      </c>
      <c r="CE114">
        <v>19</v>
      </c>
      <c r="CF114">
        <v>146</v>
      </c>
      <c r="CI114" t="s">
        <v>1630</v>
      </c>
      <c r="CJ114" t="b">
        <v>0</v>
      </c>
      <c r="CT114">
        <v>5</v>
      </c>
    </row>
    <row r="115" spans="1:104" x14ac:dyDescent="0.25">
      <c r="A115" t="s">
        <v>543</v>
      </c>
      <c r="B115" t="s">
        <v>457</v>
      </c>
      <c r="CD115">
        <v>5</v>
      </c>
      <c r="CE115">
        <v>19</v>
      </c>
      <c r="CF115">
        <v>171</v>
      </c>
      <c r="CI115" t="s">
        <v>326</v>
      </c>
      <c r="CT115">
        <v>5</v>
      </c>
    </row>
    <row r="116" spans="1:104" x14ac:dyDescent="0.25">
      <c r="A116" t="s">
        <v>544</v>
      </c>
      <c r="B116" t="s">
        <v>1764</v>
      </c>
      <c r="CD116">
        <v>8</v>
      </c>
      <c r="CE116">
        <v>224</v>
      </c>
      <c r="CF116">
        <v>168</v>
      </c>
      <c r="CG116">
        <v>85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1765</v>
      </c>
      <c r="CD117">
        <v>14</v>
      </c>
      <c r="CE117">
        <v>10</v>
      </c>
      <c r="CF117">
        <v>198</v>
      </c>
      <c r="CG117">
        <v>422</v>
      </c>
      <c r="CH117">
        <v>81</v>
      </c>
      <c r="CI117" t="s">
        <v>1620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1766</v>
      </c>
      <c r="CD118">
        <v>111</v>
      </c>
      <c r="CJ118">
        <v>2</v>
      </c>
    </row>
    <row r="119" spans="1:104" x14ac:dyDescent="0.25">
      <c r="A119" t="s">
        <v>562</v>
      </c>
      <c r="B119" t="s">
        <v>1767</v>
      </c>
      <c r="CD119">
        <v>12</v>
      </c>
      <c r="CE119">
        <v>19</v>
      </c>
      <c r="CF119">
        <v>214</v>
      </c>
      <c r="CI119" t="s">
        <v>1644</v>
      </c>
      <c r="CT119" t="s">
        <v>332</v>
      </c>
    </row>
    <row r="120" spans="1:104" x14ac:dyDescent="0.25">
      <c r="A120" t="s">
        <v>366</v>
      </c>
      <c r="B120" t="s">
        <v>1768</v>
      </c>
      <c r="CD120">
        <v>12</v>
      </c>
      <c r="CF120">
        <v>234</v>
      </c>
      <c r="CI120" t="s">
        <v>1631</v>
      </c>
      <c r="CT120">
        <v>5</v>
      </c>
      <c r="CZ120" t="s">
        <v>332</v>
      </c>
    </row>
    <row r="121" spans="1:104" x14ac:dyDescent="0.25">
      <c r="A121" t="s">
        <v>368</v>
      </c>
      <c r="B121" t="s">
        <v>1769</v>
      </c>
      <c r="CD121">
        <v>12</v>
      </c>
      <c r="CF121">
        <v>254</v>
      </c>
      <c r="CI121" t="s">
        <v>1636</v>
      </c>
      <c r="CT121">
        <v>5</v>
      </c>
    </row>
    <row r="122" spans="1:104" x14ac:dyDescent="0.25">
      <c r="A122" t="s">
        <v>370</v>
      </c>
      <c r="B122" t="s">
        <v>1770</v>
      </c>
      <c r="CD122">
        <v>210</v>
      </c>
      <c r="CE122">
        <v>224</v>
      </c>
      <c r="CF122">
        <v>211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224</v>
      </c>
      <c r="CF123">
        <v>234</v>
      </c>
      <c r="CG123">
        <v>192</v>
      </c>
      <c r="CT123">
        <v>5</v>
      </c>
    </row>
    <row r="124" spans="1:104" x14ac:dyDescent="0.25">
      <c r="A124" t="s">
        <v>294</v>
      </c>
      <c r="B124" t="s">
        <v>1771</v>
      </c>
      <c r="CD124">
        <v>24</v>
      </c>
      <c r="CE124">
        <v>462</v>
      </c>
      <c r="CF124">
        <v>62</v>
      </c>
      <c r="CG124">
        <v>100</v>
      </c>
      <c r="CT124">
        <v>5</v>
      </c>
    </row>
    <row r="125" spans="1:104" x14ac:dyDescent="0.25">
      <c r="A125" t="s">
        <v>296</v>
      </c>
      <c r="B125" t="s">
        <v>1772</v>
      </c>
      <c r="CT125">
        <v>5</v>
      </c>
    </row>
    <row r="126" spans="1:104" x14ac:dyDescent="0.25">
      <c r="A126" t="s">
        <v>590</v>
      </c>
      <c r="B126" t="s">
        <v>1773</v>
      </c>
      <c r="CT126">
        <v>5</v>
      </c>
    </row>
    <row r="127" spans="1:104" x14ac:dyDescent="0.25">
      <c r="A127" t="s">
        <v>592</v>
      </c>
      <c r="B127" t="s">
        <v>1774</v>
      </c>
      <c r="CT127">
        <v>5</v>
      </c>
    </row>
    <row r="128" spans="1:104" x14ac:dyDescent="0.25">
      <c r="A128" t="s">
        <v>594</v>
      </c>
      <c r="B128" t="s">
        <v>1775</v>
      </c>
      <c r="CT128">
        <v>5</v>
      </c>
    </row>
    <row r="129" spans="1:104" x14ac:dyDescent="0.25">
      <c r="A129" t="s">
        <v>596</v>
      </c>
      <c r="B129" t="s">
        <v>1776</v>
      </c>
      <c r="CT129">
        <v>5</v>
      </c>
    </row>
    <row r="130" spans="1:104" x14ac:dyDescent="0.25">
      <c r="A130" t="s">
        <v>277</v>
      </c>
      <c r="B130" t="s">
        <v>1066</v>
      </c>
      <c r="CT130">
        <v>5</v>
      </c>
      <c r="CU130">
        <v>23</v>
      </c>
      <c r="CV130">
        <v>107</v>
      </c>
      <c r="CY130" t="s">
        <v>1657</v>
      </c>
    </row>
    <row r="131" spans="1:104" x14ac:dyDescent="0.25">
      <c r="A131" t="s">
        <v>279</v>
      </c>
      <c r="B131" t="s">
        <v>1777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1778</v>
      </c>
    </row>
    <row r="133" spans="1:104" x14ac:dyDescent="0.25">
      <c r="A133" t="s">
        <v>283</v>
      </c>
      <c r="B133" t="s">
        <v>1779</v>
      </c>
    </row>
    <row r="134" spans="1:104" x14ac:dyDescent="0.25">
      <c r="A134" t="s">
        <v>285</v>
      </c>
      <c r="B134" t="s">
        <v>1780</v>
      </c>
      <c r="CT134" t="s">
        <v>287</v>
      </c>
    </row>
    <row r="135" spans="1:104" x14ac:dyDescent="0.25">
      <c r="A135" t="s">
        <v>288</v>
      </c>
      <c r="B135" t="s">
        <v>1781</v>
      </c>
      <c r="CT135" t="s">
        <v>507</v>
      </c>
    </row>
    <row r="136" spans="1:104" x14ac:dyDescent="0.25">
      <c r="A136" t="s">
        <v>290</v>
      </c>
      <c r="B136" t="s">
        <v>291</v>
      </c>
      <c r="CT136" t="str">
        <f>mg01s.RandUniform</f>
        <v>Gleichverteilt</v>
      </c>
      <c r="CU136" t="s">
        <v>551</v>
      </c>
    </row>
    <row r="137" spans="1:104" x14ac:dyDescent="0.25">
      <c r="A137" t="s">
        <v>292</v>
      </c>
      <c r="B137" t="s">
        <v>1782</v>
      </c>
      <c r="CT137" t="str">
        <f>mg01s.RandNormal</f>
        <v>Standard</v>
      </c>
      <c r="CU137" t="s">
        <v>554</v>
      </c>
    </row>
    <row r="138" spans="1:104" x14ac:dyDescent="0.25">
      <c r="A138" t="s">
        <v>609</v>
      </c>
      <c r="B138" t="s">
        <v>1783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1784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1785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1786</v>
      </c>
      <c r="CT141" t="str">
        <f>mg01s.RandPatterned</f>
        <v>Schematisch</v>
      </c>
      <c r="CU141" t="s">
        <v>599</v>
      </c>
    </row>
    <row r="142" spans="1:104" x14ac:dyDescent="0.25">
      <c r="A142" t="s">
        <v>92</v>
      </c>
      <c r="B142" t="s">
        <v>1615</v>
      </c>
      <c r="CT142" t="str">
        <f>mg01s.RandDiscrete</f>
        <v>Diskrete</v>
      </c>
      <c r="CU142" t="s">
        <v>332</v>
      </c>
    </row>
    <row r="143" spans="1:104" x14ac:dyDescent="0.25">
      <c r="A143" t="s">
        <v>304</v>
      </c>
      <c r="B143" t="s">
        <v>1787</v>
      </c>
    </row>
    <row r="144" spans="1:104" x14ac:dyDescent="0.25">
      <c r="A144" t="s">
        <v>306</v>
      </c>
      <c r="B144" t="s">
        <v>1788</v>
      </c>
    </row>
    <row r="145" spans="1:2" x14ac:dyDescent="0.25">
      <c r="A145" t="s">
        <v>98</v>
      </c>
      <c r="B145" t="s">
        <v>1789</v>
      </c>
    </row>
    <row r="146" spans="1:2" x14ac:dyDescent="0.25">
      <c r="A146" t="s">
        <v>311</v>
      </c>
      <c r="B146" t="s">
        <v>1790</v>
      </c>
    </row>
    <row r="147" spans="1:2" x14ac:dyDescent="0.25">
      <c r="A147" t="s">
        <v>313</v>
      </c>
      <c r="B147" t="s">
        <v>1791</v>
      </c>
    </row>
    <row r="148" spans="1:2" x14ac:dyDescent="0.25">
      <c r="A148" t="s">
        <v>102</v>
      </c>
      <c r="B148" t="s">
        <v>1792</v>
      </c>
    </row>
    <row r="149" spans="1:2" x14ac:dyDescent="0.25">
      <c r="A149" t="s">
        <v>319</v>
      </c>
      <c r="B149" t="s">
        <v>1793</v>
      </c>
    </row>
    <row r="150" spans="1:2" x14ac:dyDescent="0.25">
      <c r="A150" t="s">
        <v>105</v>
      </c>
      <c r="B150" t="s">
        <v>1794</v>
      </c>
    </row>
    <row r="151" spans="1:2" x14ac:dyDescent="0.25">
      <c r="A151" t="s">
        <v>323</v>
      </c>
      <c r="B151" t="s">
        <v>1795</v>
      </c>
    </row>
    <row r="152" spans="1:2" x14ac:dyDescent="0.25">
      <c r="A152" t="s">
        <v>108</v>
      </c>
      <c r="B152" t="s">
        <v>1796</v>
      </c>
    </row>
    <row r="153" spans="1:2" x14ac:dyDescent="0.25">
      <c r="A153" t="s">
        <v>110</v>
      </c>
      <c r="B153" t="s">
        <v>1797</v>
      </c>
    </row>
    <row r="154" spans="1:2" x14ac:dyDescent="0.25">
      <c r="A154" t="s">
        <v>112</v>
      </c>
      <c r="B154" t="s">
        <v>1798</v>
      </c>
    </row>
    <row r="155" spans="1:2" x14ac:dyDescent="0.25">
      <c r="A155" t="s">
        <v>336</v>
      </c>
      <c r="B155" t="s">
        <v>1799</v>
      </c>
    </row>
    <row r="156" spans="1:2" x14ac:dyDescent="0.25">
      <c r="A156" t="s">
        <v>120</v>
      </c>
      <c r="B156" t="s">
        <v>1800</v>
      </c>
    </row>
    <row r="157" spans="1:2" x14ac:dyDescent="0.25">
      <c r="A157" t="s">
        <v>349</v>
      </c>
      <c r="B157" t="s">
        <v>1801</v>
      </c>
    </row>
    <row r="158" spans="1:2" x14ac:dyDescent="0.25">
      <c r="A158" t="s">
        <v>350</v>
      </c>
      <c r="B158" t="s">
        <v>1802</v>
      </c>
    </row>
    <row r="159" spans="1:2" x14ac:dyDescent="0.25">
      <c r="A159" t="s">
        <v>438</v>
      </c>
      <c r="B159" t="s">
        <v>1803</v>
      </c>
    </row>
    <row r="160" spans="1:2" x14ac:dyDescent="0.25">
      <c r="A160" t="s">
        <v>353</v>
      </c>
      <c r="B160" t="s">
        <v>1804</v>
      </c>
    </row>
    <row r="161" spans="1:2" x14ac:dyDescent="0.25">
      <c r="A161" t="s">
        <v>355</v>
      </c>
      <c r="B161" t="s">
        <v>1805</v>
      </c>
    </row>
    <row r="162" spans="1:2" x14ac:dyDescent="0.25">
      <c r="A162" t="s">
        <v>129</v>
      </c>
      <c r="B162" t="s">
        <v>1806</v>
      </c>
    </row>
    <row r="163" spans="1:2" x14ac:dyDescent="0.25">
      <c r="A163" t="s">
        <v>363</v>
      </c>
      <c r="B163" t="s">
        <v>1807</v>
      </c>
    </row>
    <row r="164" spans="1:2" x14ac:dyDescent="0.25">
      <c r="A164" t="s">
        <v>365</v>
      </c>
      <c r="B164" t="s">
        <v>1808</v>
      </c>
    </row>
    <row r="165" spans="1:2" x14ac:dyDescent="0.25">
      <c r="A165" t="s">
        <v>374</v>
      </c>
      <c r="B165" t="s">
        <v>1809</v>
      </c>
    </row>
    <row r="166" spans="1:2" x14ac:dyDescent="0.25">
      <c r="A166" t="s">
        <v>135</v>
      </c>
      <c r="B166" t="s">
        <v>1810</v>
      </c>
    </row>
    <row r="167" spans="1:2" x14ac:dyDescent="0.25">
      <c r="A167" t="s">
        <v>137</v>
      </c>
      <c r="B167" t="s">
        <v>1811</v>
      </c>
    </row>
    <row r="168" spans="1:2" x14ac:dyDescent="0.25">
      <c r="A168" t="s">
        <v>139</v>
      </c>
      <c r="B168" t="s">
        <v>1812</v>
      </c>
    </row>
    <row r="169" spans="1:2" x14ac:dyDescent="0.25">
      <c r="A169" t="s">
        <v>384</v>
      </c>
      <c r="B169" t="s">
        <v>1813</v>
      </c>
    </row>
    <row r="170" spans="1:2" x14ac:dyDescent="0.25">
      <c r="A170" t="s">
        <v>462</v>
      </c>
      <c r="B170" t="s">
        <v>1814</v>
      </c>
    </row>
    <row r="171" spans="1:2" x14ac:dyDescent="0.25">
      <c r="A171" t="s">
        <v>464</v>
      </c>
      <c r="B171" t="s">
        <v>1815</v>
      </c>
    </row>
    <row r="172" spans="1:2" x14ac:dyDescent="0.25">
      <c r="A172" t="s">
        <v>388</v>
      </c>
      <c r="B172" t="s">
        <v>1816</v>
      </c>
    </row>
    <row r="173" spans="1:2" x14ac:dyDescent="0.25">
      <c r="A173" t="s">
        <v>147</v>
      </c>
      <c r="B173" t="s">
        <v>1817</v>
      </c>
    </row>
    <row r="174" spans="1:2" x14ac:dyDescent="0.25">
      <c r="A174" t="s">
        <v>385</v>
      </c>
      <c r="B174" t="s">
        <v>1818</v>
      </c>
    </row>
    <row r="175" spans="1:2" x14ac:dyDescent="0.25">
      <c r="A175" t="s">
        <v>151</v>
      </c>
      <c r="B175" t="s">
        <v>1819</v>
      </c>
    </row>
    <row r="176" spans="1:2" x14ac:dyDescent="0.25">
      <c r="A176" t="s">
        <v>406</v>
      </c>
      <c r="B176" t="s">
        <v>1820</v>
      </c>
    </row>
    <row r="177" spans="1:2" x14ac:dyDescent="0.25">
      <c r="A177" t="s">
        <v>408</v>
      </c>
      <c r="B177" t="s">
        <v>1821</v>
      </c>
    </row>
    <row r="178" spans="1:2" x14ac:dyDescent="0.25">
      <c r="A178" t="s">
        <v>503</v>
      </c>
      <c r="B178" t="s">
        <v>1822</v>
      </c>
    </row>
    <row r="179" spans="1:2" x14ac:dyDescent="0.25">
      <c r="A179" t="s">
        <v>410</v>
      </c>
      <c r="B179" t="s">
        <v>1823</v>
      </c>
    </row>
    <row r="180" spans="1:2" x14ac:dyDescent="0.25">
      <c r="A180" t="s">
        <v>412</v>
      </c>
      <c r="B180" t="s">
        <v>1824</v>
      </c>
    </row>
    <row r="181" spans="1:2" x14ac:dyDescent="0.25">
      <c r="A181" t="s">
        <v>161</v>
      </c>
      <c r="B181" t="s">
        <v>1825</v>
      </c>
    </row>
    <row r="182" spans="1:2" x14ac:dyDescent="0.25">
      <c r="A182" t="s">
        <v>415</v>
      </c>
      <c r="B182" t="s">
        <v>1826</v>
      </c>
    </row>
    <row r="183" spans="1:2" x14ac:dyDescent="0.25">
      <c r="A183" t="s">
        <v>173</v>
      </c>
      <c r="B183" t="s">
        <v>1827</v>
      </c>
    </row>
    <row r="184" spans="1:2" x14ac:dyDescent="0.25">
      <c r="A184" t="s">
        <v>167</v>
      </c>
      <c r="B184" t="s">
        <v>1828</v>
      </c>
    </row>
    <row r="185" spans="1:2" x14ac:dyDescent="0.25">
      <c r="A185" t="s">
        <v>169</v>
      </c>
      <c r="B185" t="s">
        <v>1829</v>
      </c>
    </row>
    <row r="186" spans="1:2" x14ac:dyDescent="0.25">
      <c r="A186" t="s">
        <v>444</v>
      </c>
      <c r="B186" t="s">
        <v>1830</v>
      </c>
    </row>
    <row r="187" spans="1:2" x14ac:dyDescent="0.25">
      <c r="A187" t="s">
        <v>18</v>
      </c>
      <c r="B187" t="s">
        <v>1831</v>
      </c>
    </row>
    <row r="188" spans="1:2" x14ac:dyDescent="0.25">
      <c r="A188" t="s">
        <v>175</v>
      </c>
      <c r="B188" t="s">
        <v>1832</v>
      </c>
    </row>
    <row r="189" spans="1:2" x14ac:dyDescent="0.25">
      <c r="A189" t="s">
        <v>181</v>
      </c>
      <c r="B189" t="s">
        <v>1833</v>
      </c>
    </row>
    <row r="190" spans="1:2" x14ac:dyDescent="0.25">
      <c r="A190" t="s">
        <v>64</v>
      </c>
      <c r="B190" t="s">
        <v>1834</v>
      </c>
    </row>
    <row r="191" spans="1:2" x14ac:dyDescent="0.25">
      <c r="A191" t="s">
        <v>185</v>
      </c>
      <c r="B191" t="s">
        <v>1835</v>
      </c>
    </row>
    <row r="192" spans="1:2" x14ac:dyDescent="0.25">
      <c r="A192" t="s">
        <v>192</v>
      </c>
      <c r="B192" t="s">
        <v>1836</v>
      </c>
    </row>
    <row r="193" spans="1:2" x14ac:dyDescent="0.25">
      <c r="A193" t="s">
        <v>67</v>
      </c>
      <c r="B193" t="s">
        <v>1837</v>
      </c>
    </row>
    <row r="194" spans="1:2" x14ac:dyDescent="0.25">
      <c r="A194" t="s">
        <v>197</v>
      </c>
      <c r="B194" t="s">
        <v>1838</v>
      </c>
    </row>
    <row r="195" spans="1:2" x14ac:dyDescent="0.25">
      <c r="A195" t="s">
        <v>199</v>
      </c>
      <c r="B195" t="s">
        <v>1839</v>
      </c>
    </row>
    <row r="196" spans="1:2" x14ac:dyDescent="0.25">
      <c r="A196" t="s">
        <v>44</v>
      </c>
      <c r="B196" t="s">
        <v>1840</v>
      </c>
    </row>
    <row r="197" spans="1:2" x14ac:dyDescent="0.25">
      <c r="A197" t="s">
        <v>46</v>
      </c>
      <c r="B197" t="s">
        <v>1841</v>
      </c>
    </row>
    <row r="198" spans="1:2" x14ac:dyDescent="0.25">
      <c r="A198" t="s">
        <v>212</v>
      </c>
      <c r="B198" t="s">
        <v>1842</v>
      </c>
    </row>
    <row r="199" spans="1:2" x14ac:dyDescent="0.25">
      <c r="A199" t="s">
        <v>215</v>
      </c>
      <c r="B199" t="s">
        <v>1843</v>
      </c>
    </row>
    <row r="200" spans="1:2" x14ac:dyDescent="0.25">
      <c r="A200" t="s">
        <v>77</v>
      </c>
      <c r="B200" t="s">
        <v>1844</v>
      </c>
    </row>
    <row r="201" spans="1:2" x14ac:dyDescent="0.25">
      <c r="A201" t="s">
        <v>223</v>
      </c>
      <c r="B201" t="s">
        <v>1845</v>
      </c>
    </row>
    <row r="202" spans="1:2" x14ac:dyDescent="0.25">
      <c r="A202" t="s">
        <v>1</v>
      </c>
      <c r="B202" t="s">
        <v>1846</v>
      </c>
    </row>
    <row r="203" spans="1:2" x14ac:dyDescent="0.25">
      <c r="A203" t="s">
        <v>225</v>
      </c>
      <c r="B203" t="s">
        <v>1847</v>
      </c>
    </row>
    <row r="204" spans="1:2" x14ac:dyDescent="0.25">
      <c r="A204" t="s">
        <v>4</v>
      </c>
      <c r="B204" t="s">
        <v>1848</v>
      </c>
    </row>
    <row r="205" spans="1:2" x14ac:dyDescent="0.25">
      <c r="A205" t="s">
        <v>233</v>
      </c>
      <c r="B205" t="s">
        <v>1849</v>
      </c>
    </row>
    <row r="206" spans="1:2" x14ac:dyDescent="0.25">
      <c r="A206" t="s">
        <v>6</v>
      </c>
      <c r="B206" t="s">
        <v>1850</v>
      </c>
    </row>
    <row r="207" spans="1:2" x14ac:dyDescent="0.25">
      <c r="A207" t="s">
        <v>241</v>
      </c>
      <c r="B207" t="s">
        <v>1851</v>
      </c>
    </row>
    <row r="208" spans="1:2" x14ac:dyDescent="0.25">
      <c r="A208" t="s">
        <v>11</v>
      </c>
      <c r="B208" t="s">
        <v>1852</v>
      </c>
    </row>
    <row r="209" spans="1:103" x14ac:dyDescent="0.25">
      <c r="A209" t="s">
        <v>13</v>
      </c>
      <c r="B209" t="s">
        <v>1853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1854</v>
      </c>
    </row>
    <row r="212" spans="1:103" x14ac:dyDescent="0.25">
      <c r="A212" t="s">
        <v>258</v>
      </c>
      <c r="B212" t="s">
        <v>1855</v>
      </c>
    </row>
    <row r="213" spans="1:103" x14ac:dyDescent="0.25">
      <c r="A213" t="s">
        <v>533</v>
      </c>
      <c r="B213" t="s">
        <v>1856</v>
      </c>
      <c r="BS213" t="b">
        <v>1</v>
      </c>
    </row>
    <row r="214" spans="1:103" x14ac:dyDescent="0.25">
      <c r="A214" t="s">
        <v>17</v>
      </c>
      <c r="B214" t="s">
        <v>1857</v>
      </c>
    </row>
    <row r="215" spans="1:103" x14ac:dyDescent="0.25">
      <c r="A215" t="s">
        <v>265</v>
      </c>
      <c r="B215" t="s">
        <v>1858</v>
      </c>
    </row>
    <row r="216" spans="1:103" x14ac:dyDescent="0.25">
      <c r="A216" t="s">
        <v>550</v>
      </c>
      <c r="B216" t="s">
        <v>1859</v>
      </c>
    </row>
    <row r="217" spans="1:103" x14ac:dyDescent="0.25">
      <c r="A217" t="s">
        <v>267</v>
      </c>
      <c r="B217" t="s">
        <v>1860</v>
      </c>
    </row>
    <row r="218" spans="1:103" x14ac:dyDescent="0.25">
      <c r="A218" t="s">
        <v>262</v>
      </c>
      <c r="B218" t="s">
        <v>1861</v>
      </c>
    </row>
    <row r="219" spans="1:103" x14ac:dyDescent="0.25">
      <c r="A219" t="s">
        <v>272</v>
      </c>
      <c r="B219" t="s">
        <v>1862</v>
      </c>
    </row>
    <row r="220" spans="1:103" x14ac:dyDescent="0.25">
      <c r="A220" t="s">
        <v>36</v>
      </c>
      <c r="B220" t="s">
        <v>1863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1864</v>
      </c>
      <c r="AE221" t="b">
        <v>1</v>
      </c>
    </row>
    <row r="222" spans="1:103" x14ac:dyDescent="0.25">
      <c r="A222" t="s">
        <v>269</v>
      </c>
      <c r="B222" t="s">
        <v>1865</v>
      </c>
      <c r="CY222" t="b">
        <v>1</v>
      </c>
    </row>
    <row r="223" spans="1:103" x14ac:dyDescent="0.25">
      <c r="A223" t="s">
        <v>40</v>
      </c>
      <c r="B223" t="s">
        <v>1866</v>
      </c>
    </row>
    <row r="224" spans="1:103" x14ac:dyDescent="0.25">
      <c r="A224" t="s">
        <v>42</v>
      </c>
      <c r="B224" t="s">
        <v>1867</v>
      </c>
      <c r="CI224" t="b">
        <v>1</v>
      </c>
    </row>
    <row r="225" spans="1:2" x14ac:dyDescent="0.25">
      <c r="A225" t="s">
        <v>275</v>
      </c>
      <c r="B225" t="s">
        <v>1868</v>
      </c>
    </row>
    <row r="226" spans="1:2" x14ac:dyDescent="0.25">
      <c r="A226" t="s">
        <v>73</v>
      </c>
      <c r="B226" t="s">
        <v>1869</v>
      </c>
    </row>
    <row r="227" spans="1:2" x14ac:dyDescent="0.25">
      <c r="A227" t="s">
        <v>75</v>
      </c>
      <c r="B227" t="s">
        <v>1870</v>
      </c>
    </row>
    <row r="228" spans="1:2" x14ac:dyDescent="0.25">
      <c r="A228" t="s">
        <v>88</v>
      </c>
      <c r="B228" t="s">
        <v>1871</v>
      </c>
    </row>
    <row r="229" spans="1:2" x14ac:dyDescent="0.25">
      <c r="A229" t="s">
        <v>49</v>
      </c>
      <c r="B229" t="s">
        <v>1872</v>
      </c>
    </row>
    <row r="230" spans="1:2" x14ac:dyDescent="0.25">
      <c r="A230" t="s">
        <v>51</v>
      </c>
      <c r="B230" t="s">
        <v>1873</v>
      </c>
    </row>
    <row r="231" spans="1:2" x14ac:dyDescent="0.25">
      <c r="A231" t="s">
        <v>53</v>
      </c>
      <c r="B231" t="s">
        <v>1874</v>
      </c>
    </row>
    <row r="232" spans="1:2" x14ac:dyDescent="0.25">
      <c r="A232" t="s">
        <v>55</v>
      </c>
      <c r="B232" t="s">
        <v>1874</v>
      </c>
    </row>
    <row r="233" spans="1:2" x14ac:dyDescent="0.25">
      <c r="A233" t="s">
        <v>57</v>
      </c>
      <c r="B233" t="s">
        <v>1875</v>
      </c>
    </row>
    <row r="234" spans="1:2" x14ac:dyDescent="0.25">
      <c r="A234" t="s">
        <v>59</v>
      </c>
      <c r="B234" t="s">
        <v>1876</v>
      </c>
    </row>
    <row r="235" spans="1:2" x14ac:dyDescent="0.25">
      <c r="A235" t="s">
        <v>24</v>
      </c>
      <c r="B235" t="s">
        <v>1877</v>
      </c>
    </row>
    <row r="236" spans="1:2" x14ac:dyDescent="0.25">
      <c r="A236" t="s">
        <v>32</v>
      </c>
      <c r="B236" t="s">
        <v>1878</v>
      </c>
    </row>
    <row r="237" spans="1:2" x14ac:dyDescent="0.25">
      <c r="A237" t="s">
        <v>101</v>
      </c>
      <c r="B237" t="s">
        <v>1879</v>
      </c>
    </row>
    <row r="238" spans="1:2" x14ac:dyDescent="0.25">
      <c r="A238" t="s">
        <v>159</v>
      </c>
      <c r="B238" t="s">
        <v>1880</v>
      </c>
    </row>
    <row r="239" spans="1:2" x14ac:dyDescent="0.25">
      <c r="A239" t="s">
        <v>107</v>
      </c>
      <c r="B239" t="s">
        <v>1881</v>
      </c>
    </row>
    <row r="240" spans="1:2" x14ac:dyDescent="0.25">
      <c r="A240" t="s">
        <v>15</v>
      </c>
      <c r="B240" t="s">
        <v>1882</v>
      </c>
    </row>
    <row r="241" spans="1:2" x14ac:dyDescent="0.25">
      <c r="A241" t="s">
        <v>171</v>
      </c>
      <c r="B241" t="s">
        <v>1883</v>
      </c>
    </row>
    <row r="242" spans="1:2" x14ac:dyDescent="0.25">
      <c r="A242" t="s">
        <v>117</v>
      </c>
      <c r="B242" t="s">
        <v>1884</v>
      </c>
    </row>
    <row r="243" spans="1:2" x14ac:dyDescent="0.25">
      <c r="A243" t="s">
        <v>119</v>
      </c>
      <c r="B243" t="s">
        <v>1885</v>
      </c>
    </row>
    <row r="244" spans="1:2" x14ac:dyDescent="0.25">
      <c r="A244" t="s">
        <v>122</v>
      </c>
      <c r="B244" t="s">
        <v>1886</v>
      </c>
    </row>
    <row r="245" spans="1:2" x14ac:dyDescent="0.25">
      <c r="A245" t="s">
        <v>176</v>
      </c>
      <c r="B245" t="s">
        <v>1887</v>
      </c>
    </row>
    <row r="246" spans="1:2" x14ac:dyDescent="0.25">
      <c r="A246" t="s">
        <v>126</v>
      </c>
      <c r="B246" t="s">
        <v>1888</v>
      </c>
    </row>
    <row r="247" spans="1:2" x14ac:dyDescent="0.25">
      <c r="A247" t="s">
        <v>130</v>
      </c>
      <c r="B247" t="s">
        <v>1889</v>
      </c>
    </row>
    <row r="248" spans="1:2" x14ac:dyDescent="0.25">
      <c r="A248" t="s">
        <v>39</v>
      </c>
      <c r="B248" t="s">
        <v>1890</v>
      </c>
    </row>
    <row r="249" spans="1:2" x14ac:dyDescent="0.25">
      <c r="A249" t="s">
        <v>133</v>
      </c>
      <c r="B249" t="s">
        <v>1891</v>
      </c>
    </row>
    <row r="250" spans="1:2" x14ac:dyDescent="0.25">
      <c r="A250" t="s">
        <v>69</v>
      </c>
      <c r="B250" t="s">
        <v>1892</v>
      </c>
    </row>
    <row r="251" spans="1:2" x14ac:dyDescent="0.25">
      <c r="A251" t="s">
        <v>71</v>
      </c>
      <c r="B251" t="s">
        <v>1893</v>
      </c>
    </row>
    <row r="252" spans="1:2" x14ac:dyDescent="0.25">
      <c r="A252" t="s">
        <v>141</v>
      </c>
      <c r="B252" t="s">
        <v>1894</v>
      </c>
    </row>
    <row r="253" spans="1:2" x14ac:dyDescent="0.25">
      <c r="A253" t="s">
        <v>143</v>
      </c>
      <c r="B253" t="s">
        <v>1895</v>
      </c>
    </row>
    <row r="254" spans="1:2" x14ac:dyDescent="0.25">
      <c r="A254" t="s">
        <v>145</v>
      </c>
      <c r="B254" t="s">
        <v>1896</v>
      </c>
    </row>
    <row r="255" spans="1:2" x14ac:dyDescent="0.25">
      <c r="A255" t="s">
        <v>386</v>
      </c>
      <c r="B255" t="s">
        <v>1897</v>
      </c>
    </row>
    <row r="256" spans="1:2" x14ac:dyDescent="0.25">
      <c r="A256" t="s">
        <v>30</v>
      </c>
      <c r="B256" t="s">
        <v>1898</v>
      </c>
    </row>
    <row r="257" spans="1:2" x14ac:dyDescent="0.25">
      <c r="A257" t="s">
        <v>33</v>
      </c>
      <c r="B257" t="s">
        <v>1899</v>
      </c>
    </row>
    <row r="258" spans="1:2" x14ac:dyDescent="0.25">
      <c r="A258" t="s">
        <v>153</v>
      </c>
      <c r="B258" t="s">
        <v>1900</v>
      </c>
    </row>
    <row r="259" spans="1:2" x14ac:dyDescent="0.25">
      <c r="A259" t="s">
        <v>155</v>
      </c>
      <c r="B259" t="s">
        <v>1901</v>
      </c>
    </row>
    <row r="260" spans="1:2" x14ac:dyDescent="0.25">
      <c r="A260" t="s">
        <v>157</v>
      </c>
      <c r="B260" t="s">
        <v>1902</v>
      </c>
    </row>
    <row r="261" spans="1:2" x14ac:dyDescent="0.25">
      <c r="A261" t="s">
        <v>3</v>
      </c>
      <c r="B261" t="s">
        <v>1903</v>
      </c>
    </row>
    <row r="262" spans="1:2" x14ac:dyDescent="0.25">
      <c r="A262" t="s">
        <v>78</v>
      </c>
      <c r="B262" t="s">
        <v>1904</v>
      </c>
    </row>
    <row r="263" spans="1:2" x14ac:dyDescent="0.25">
      <c r="A263" t="s">
        <v>80</v>
      </c>
      <c r="B263" t="s">
        <v>1905</v>
      </c>
    </row>
    <row r="264" spans="1:2" x14ac:dyDescent="0.25">
      <c r="A264" t="s">
        <v>82</v>
      </c>
      <c r="B264" t="s">
        <v>1906</v>
      </c>
    </row>
    <row r="265" spans="1:2" x14ac:dyDescent="0.25">
      <c r="A265" t="s">
        <v>84</v>
      </c>
      <c r="B265" t="s">
        <v>1907</v>
      </c>
    </row>
    <row r="266" spans="1:2" x14ac:dyDescent="0.25">
      <c r="A266" t="s">
        <v>86</v>
      </c>
      <c r="B266" t="s">
        <v>1908</v>
      </c>
    </row>
    <row r="267" spans="1:2" x14ac:dyDescent="0.25">
      <c r="A267" t="s">
        <v>29</v>
      </c>
      <c r="B267" t="s">
        <v>1909</v>
      </c>
    </row>
    <row r="268" spans="1:2" x14ac:dyDescent="0.25">
      <c r="A268" t="s">
        <v>90</v>
      </c>
      <c r="B268" t="s">
        <v>1910</v>
      </c>
    </row>
    <row r="269" spans="1:2" x14ac:dyDescent="0.25">
      <c r="A269" t="s">
        <v>95</v>
      </c>
      <c r="B269" t="s">
        <v>1911</v>
      </c>
    </row>
    <row r="270" spans="1:2" x14ac:dyDescent="0.25">
      <c r="A270" t="s">
        <v>2</v>
      </c>
      <c r="B270" t="s">
        <v>1912</v>
      </c>
    </row>
    <row r="271" spans="1:2" x14ac:dyDescent="0.25">
      <c r="A271" t="s">
        <v>7</v>
      </c>
      <c r="B271" t="s">
        <v>1913</v>
      </c>
    </row>
    <row r="273" spans="1:2" x14ac:dyDescent="0.25">
      <c r="A273" t="s">
        <v>9</v>
      </c>
      <c r="B273" t="s">
        <v>1914</v>
      </c>
    </row>
    <row r="274" spans="1:2" x14ac:dyDescent="0.25">
      <c r="A274" t="s">
        <v>163</v>
      </c>
      <c r="B274" t="s">
        <v>1915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1656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694</v>
      </c>
      <c r="AD2">
        <v>152</v>
      </c>
      <c r="AE2" t="s">
        <v>1916</v>
      </c>
      <c r="AF2">
        <v>4</v>
      </c>
      <c r="AH2" s="1" t="s">
        <v>656</v>
      </c>
      <c r="AK2">
        <v>515</v>
      </c>
      <c r="AL2">
        <v>223</v>
      </c>
      <c r="AM2" t="s">
        <v>1917</v>
      </c>
      <c r="AN2">
        <v>5</v>
      </c>
      <c r="AP2" s="1" t="s">
        <v>657</v>
      </c>
      <c r="AS2">
        <v>687</v>
      </c>
      <c r="AT2">
        <v>312</v>
      </c>
      <c r="AU2" t="s">
        <v>1918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1919</v>
      </c>
      <c r="BL2">
        <v>5</v>
      </c>
      <c r="BN2" s="1" t="s">
        <v>659</v>
      </c>
      <c r="BQ2">
        <v>507</v>
      </c>
      <c r="BR2">
        <v>280</v>
      </c>
      <c r="BS2" t="s">
        <v>1920</v>
      </c>
      <c r="BT2">
        <v>5</v>
      </c>
      <c r="BV2" s="1" t="s">
        <v>660</v>
      </c>
      <c r="BY2">
        <v>523</v>
      </c>
      <c r="BZ2">
        <v>195</v>
      </c>
      <c r="CA2" t="s">
        <v>1921</v>
      </c>
      <c r="CB2">
        <v>5</v>
      </c>
      <c r="CD2" s="1" t="s">
        <v>661</v>
      </c>
      <c r="CG2">
        <v>523</v>
      </c>
      <c r="CH2">
        <v>203</v>
      </c>
      <c r="CI2" t="s">
        <v>1922</v>
      </c>
      <c r="CJ2">
        <v>5</v>
      </c>
      <c r="CL2" s="1" t="s">
        <v>662</v>
      </c>
      <c r="CO2">
        <v>513</v>
      </c>
      <c r="CP2">
        <v>263</v>
      </c>
      <c r="CQ2" t="s">
        <v>1923</v>
      </c>
      <c r="CR2">
        <v>5</v>
      </c>
      <c r="CT2" s="1" t="s">
        <v>663</v>
      </c>
      <c r="CW2">
        <v>532</v>
      </c>
      <c r="CX2">
        <v>298</v>
      </c>
      <c r="CY2" t="s">
        <v>1924</v>
      </c>
      <c r="CZ2">
        <v>4</v>
      </c>
    </row>
    <row r="3" spans="1:104" x14ac:dyDescent="0.25">
      <c r="W3" t="str">
        <f>dbCorrelationTitle</f>
        <v>Συσχέτιση</v>
      </c>
      <c r="Z3">
        <v>1</v>
      </c>
      <c r="AA3">
        <v>589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581</v>
      </c>
      <c r="AR3">
        <v>11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405</v>
      </c>
      <c r="BP3">
        <v>7</v>
      </c>
      <c r="BQ3">
        <v>90</v>
      </c>
      <c r="BS3" t="s">
        <v>390</v>
      </c>
      <c r="BV3">
        <v>1</v>
      </c>
      <c r="BW3">
        <v>418</v>
      </c>
      <c r="BX3">
        <v>7</v>
      </c>
      <c r="BY3">
        <v>90</v>
      </c>
      <c r="CA3" t="s">
        <v>390</v>
      </c>
      <c r="CD3">
        <v>1</v>
      </c>
      <c r="CE3">
        <v>412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431</v>
      </c>
      <c r="CV3">
        <v>10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589</v>
      </c>
      <c r="AB4">
        <v>30</v>
      </c>
      <c r="AC4">
        <v>88</v>
      </c>
      <c r="AE4" t="s">
        <v>1925</v>
      </c>
      <c r="AH4">
        <v>2</v>
      </c>
      <c r="AI4">
        <v>412</v>
      </c>
      <c r="AJ4">
        <v>30</v>
      </c>
      <c r="AK4">
        <v>90</v>
      </c>
      <c r="AM4" t="s">
        <v>1925</v>
      </c>
      <c r="AP4">
        <v>2</v>
      </c>
      <c r="AQ4">
        <v>581</v>
      </c>
      <c r="AR4">
        <v>34</v>
      </c>
      <c r="AS4">
        <v>90</v>
      </c>
      <c r="AU4" t="s">
        <v>1925</v>
      </c>
      <c r="AX4">
        <v>2</v>
      </c>
      <c r="AY4">
        <v>418</v>
      </c>
      <c r="AZ4">
        <v>33</v>
      </c>
      <c r="BA4">
        <v>104</v>
      </c>
      <c r="BC4" t="s">
        <v>1925</v>
      </c>
      <c r="BF4">
        <v>2</v>
      </c>
      <c r="BG4">
        <v>407</v>
      </c>
      <c r="BH4">
        <v>30</v>
      </c>
      <c r="BI4">
        <v>90</v>
      </c>
      <c r="BK4" t="s">
        <v>1925</v>
      </c>
      <c r="BN4">
        <v>2</v>
      </c>
      <c r="BO4">
        <v>405</v>
      </c>
      <c r="BP4">
        <v>30</v>
      </c>
      <c r="BQ4">
        <v>90</v>
      </c>
      <c r="BS4" t="s">
        <v>1925</v>
      </c>
      <c r="BV4">
        <v>2</v>
      </c>
      <c r="BW4">
        <v>418</v>
      </c>
      <c r="BX4">
        <v>30</v>
      </c>
      <c r="BY4">
        <v>90</v>
      </c>
      <c r="CA4" t="s">
        <v>1925</v>
      </c>
      <c r="CD4">
        <v>2</v>
      </c>
      <c r="CE4">
        <v>412</v>
      </c>
      <c r="CF4">
        <v>30</v>
      </c>
      <c r="CG4">
        <v>90</v>
      </c>
      <c r="CI4" t="s">
        <v>1925</v>
      </c>
      <c r="CL4">
        <v>2</v>
      </c>
      <c r="CM4">
        <v>407</v>
      </c>
      <c r="CN4">
        <v>30</v>
      </c>
      <c r="CO4">
        <v>90</v>
      </c>
      <c r="CQ4" t="s">
        <v>1925</v>
      </c>
      <c r="CT4">
        <v>2</v>
      </c>
      <c r="CU4">
        <v>431</v>
      </c>
      <c r="CV4">
        <v>33</v>
      </c>
      <c r="CW4">
        <v>90</v>
      </c>
      <c r="CY4" t="s">
        <v>1925</v>
      </c>
    </row>
    <row r="5" spans="1:104" x14ac:dyDescent="0.25">
      <c r="T5">
        <v>0</v>
      </c>
      <c r="U5" t="str">
        <f>dbAnova1Title</f>
        <v>Ανάλυση διακύμανσης κατά ένα παράγοντα</v>
      </c>
      <c r="V5">
        <v>0</v>
      </c>
      <c r="W5" t="str">
        <f>dbAnova1Title</f>
        <v>Ανάλυση διακύμανσης κατά ένα παράγοντα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1926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1927</v>
      </c>
      <c r="AP5">
        <v>14</v>
      </c>
      <c r="AQ5">
        <v>7</v>
      </c>
      <c r="AR5">
        <v>4</v>
      </c>
      <c r="AS5">
        <v>561</v>
      </c>
      <c r="AT5">
        <v>113</v>
      </c>
      <c r="AU5" t="s">
        <v>1927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1928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1927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1927</v>
      </c>
      <c r="BV5">
        <v>14</v>
      </c>
      <c r="BW5">
        <v>8</v>
      </c>
      <c r="BX5">
        <v>2</v>
      </c>
      <c r="BY5">
        <v>398</v>
      </c>
      <c r="BZ5">
        <v>79</v>
      </c>
      <c r="CA5" t="s">
        <v>1927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1927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1927</v>
      </c>
      <c r="CT5">
        <v>5</v>
      </c>
      <c r="CU5">
        <v>17</v>
      </c>
      <c r="CV5">
        <v>12</v>
      </c>
      <c r="CY5" t="s">
        <v>1929</v>
      </c>
    </row>
    <row r="6" spans="1:104" x14ac:dyDescent="0.25">
      <c r="T6">
        <v>1</v>
      </c>
      <c r="U6" t="str">
        <f>dbAnova2Title</f>
        <v>Ανάλυση διακύμανσης δύο παραγόντων με αλληλεπίδραση</v>
      </c>
      <c r="V6">
        <v>1</v>
      </c>
      <c r="W6" t="str">
        <f>dbAnova2Title</f>
        <v>Ανάλυση διακύμανσης δύο παραγόντων με αλληλεπίδραση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559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1930</v>
      </c>
      <c r="AP6">
        <v>5</v>
      </c>
      <c r="AQ6">
        <v>24</v>
      </c>
      <c r="AR6">
        <v>22</v>
      </c>
      <c r="AU6" t="s">
        <v>1931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1930</v>
      </c>
      <c r="BN6">
        <v>5</v>
      </c>
      <c r="BO6">
        <v>18</v>
      </c>
      <c r="BP6">
        <v>19</v>
      </c>
      <c r="BS6" t="s">
        <v>1930</v>
      </c>
      <c r="BV6">
        <v>5</v>
      </c>
      <c r="BW6">
        <v>18</v>
      </c>
      <c r="BX6">
        <v>19</v>
      </c>
      <c r="CA6" t="s">
        <v>1930</v>
      </c>
      <c r="CD6">
        <v>5</v>
      </c>
      <c r="CE6">
        <v>18</v>
      </c>
      <c r="CF6">
        <v>19</v>
      </c>
      <c r="CI6" t="s">
        <v>1932</v>
      </c>
      <c r="CL6">
        <v>5</v>
      </c>
      <c r="CM6">
        <v>18</v>
      </c>
      <c r="CN6">
        <v>19</v>
      </c>
      <c r="CQ6" t="s">
        <v>1930</v>
      </c>
      <c r="CT6">
        <v>7</v>
      </c>
      <c r="CU6">
        <v>244</v>
      </c>
      <c r="CV6">
        <v>10</v>
      </c>
      <c r="CW6">
        <v>174</v>
      </c>
    </row>
    <row r="7" spans="1:104" x14ac:dyDescent="0.25">
      <c r="T7">
        <v>2</v>
      </c>
      <c r="U7" t="str">
        <f>dbAnova3Title</f>
        <v>Ανάλυση διακύμανσης δύο παραγόντων χωρίς αλληλεπίδραση</v>
      </c>
      <c r="V7">
        <v>2</v>
      </c>
      <c r="W7" t="str">
        <f>dbAnova3Title</f>
        <v>Ανάλυση διακύμανσης δύο παραγόντων χωρίς αλληλεπίδραση</v>
      </c>
      <c r="X7" t="s">
        <v>315</v>
      </c>
      <c r="Y7" s="1" t="s">
        <v>665</v>
      </c>
      <c r="Z7">
        <v>24</v>
      </c>
      <c r="AA7">
        <v>589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251</v>
      </c>
      <c r="AR7">
        <v>20</v>
      </c>
      <c r="AS7">
        <v>310</v>
      </c>
      <c r="AV7" t="s">
        <v>316</v>
      </c>
      <c r="AX7">
        <v>12</v>
      </c>
      <c r="AY7">
        <v>18</v>
      </c>
      <c r="AZ7">
        <v>55</v>
      </c>
      <c r="BC7" t="s">
        <v>1933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190</v>
      </c>
      <c r="BP7">
        <v>16</v>
      </c>
      <c r="BQ7">
        <v>189</v>
      </c>
      <c r="BT7" t="s">
        <v>316</v>
      </c>
      <c r="BV7">
        <v>10</v>
      </c>
      <c r="BW7">
        <v>234</v>
      </c>
      <c r="BX7">
        <v>16</v>
      </c>
      <c r="BY7">
        <v>159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1934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Συσχέτιση</v>
      </c>
      <c r="V8">
        <v>3</v>
      </c>
      <c r="W8" t="str">
        <f>dbCorrelationTitle</f>
        <v>Συσχέτιση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1935</v>
      </c>
      <c r="AP8">
        <v>5</v>
      </c>
      <c r="AQ8">
        <v>24</v>
      </c>
      <c r="AR8">
        <v>48</v>
      </c>
      <c r="AU8" t="s">
        <v>1936</v>
      </c>
      <c r="AX8">
        <v>12</v>
      </c>
      <c r="AZ8">
        <v>90</v>
      </c>
      <c r="BC8" t="s">
        <v>1937</v>
      </c>
      <c r="BF8">
        <v>5</v>
      </c>
      <c r="BG8">
        <v>18</v>
      </c>
      <c r="BH8">
        <v>44</v>
      </c>
      <c r="BK8" t="s">
        <v>1935</v>
      </c>
      <c r="BN8">
        <v>5</v>
      </c>
      <c r="BO8">
        <v>18</v>
      </c>
      <c r="BP8">
        <v>44</v>
      </c>
      <c r="BS8" t="s">
        <v>1935</v>
      </c>
      <c r="BV8">
        <v>5</v>
      </c>
      <c r="BW8">
        <v>17</v>
      </c>
      <c r="BX8">
        <v>40</v>
      </c>
      <c r="CA8" t="s">
        <v>1938</v>
      </c>
      <c r="CD8">
        <v>5</v>
      </c>
      <c r="CE8">
        <v>18</v>
      </c>
      <c r="CF8">
        <v>41</v>
      </c>
      <c r="CI8" t="s">
        <v>1939</v>
      </c>
      <c r="CL8">
        <v>13</v>
      </c>
      <c r="CM8">
        <v>18</v>
      </c>
      <c r="CN8">
        <v>39</v>
      </c>
      <c r="CQ8" t="s">
        <v>1940</v>
      </c>
      <c r="CR8" t="b">
        <v>0</v>
      </c>
      <c r="CT8">
        <v>7</v>
      </c>
      <c r="CU8">
        <v>244</v>
      </c>
      <c r="CV8">
        <v>34</v>
      </c>
      <c r="CW8">
        <v>174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Συνδιακύμανση</v>
      </c>
      <c r="V9">
        <v>4</v>
      </c>
      <c r="W9" t="str">
        <f>dbCovarianceTitle</f>
        <v>Συνδιακύμανση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251</v>
      </c>
      <c r="AR9">
        <v>46</v>
      </c>
      <c r="AS9">
        <v>310</v>
      </c>
      <c r="AV9" t="s">
        <v>316</v>
      </c>
      <c r="AX9">
        <v>12</v>
      </c>
      <c r="AZ9">
        <v>110</v>
      </c>
      <c r="BC9" t="s">
        <v>1941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235</v>
      </c>
      <c r="BX9">
        <v>38</v>
      </c>
      <c r="BY9">
        <v>72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1942</v>
      </c>
      <c r="CT9">
        <v>5</v>
      </c>
      <c r="CU9">
        <v>17</v>
      </c>
      <c r="CV9">
        <v>63</v>
      </c>
      <c r="CY9" t="s">
        <v>1943</v>
      </c>
    </row>
    <row r="10" spans="1:104" x14ac:dyDescent="0.25">
      <c r="A10" t="s">
        <v>505</v>
      </c>
      <c r="B10" t="s">
        <v>1944</v>
      </c>
      <c r="T10">
        <v>5</v>
      </c>
      <c r="U10" t="str">
        <f>dbDescripTitle</f>
        <v>Περιγραφικά στατιστικά στοιχεία</v>
      </c>
      <c r="V10">
        <v>5</v>
      </c>
      <c r="W10" t="str">
        <f>dbDescripTitle</f>
        <v>Περιγραφικά στατιστικά στοιχεία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1945</v>
      </c>
      <c r="AP10">
        <v>13</v>
      </c>
      <c r="AQ10">
        <v>25</v>
      </c>
      <c r="AR10">
        <v>75</v>
      </c>
      <c r="AU10" t="s">
        <v>1940</v>
      </c>
      <c r="AV10" t="b">
        <v>0</v>
      </c>
      <c r="AX10">
        <v>12</v>
      </c>
      <c r="AZ10">
        <v>130</v>
      </c>
      <c r="BC10" t="s">
        <v>1946</v>
      </c>
      <c r="BF10">
        <v>12</v>
      </c>
      <c r="BG10">
        <v>220</v>
      </c>
      <c r="BH10">
        <v>40</v>
      </c>
      <c r="BK10" t="s">
        <v>1945</v>
      </c>
      <c r="BN10">
        <v>12</v>
      </c>
      <c r="BO10">
        <v>220</v>
      </c>
      <c r="BP10">
        <v>40</v>
      </c>
      <c r="BS10" t="s">
        <v>1945</v>
      </c>
      <c r="BV10">
        <v>13</v>
      </c>
      <c r="BW10">
        <v>17</v>
      </c>
      <c r="BX10">
        <v>60</v>
      </c>
      <c r="CA10" t="s">
        <v>1940</v>
      </c>
      <c r="CB10" t="b">
        <v>0</v>
      </c>
      <c r="CD10">
        <v>13</v>
      </c>
      <c r="CE10">
        <v>18</v>
      </c>
      <c r="CF10">
        <v>64</v>
      </c>
      <c r="CI10" t="s">
        <v>1940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232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1947</v>
      </c>
      <c r="T11">
        <v>6</v>
      </c>
      <c r="U11" t="str">
        <f>dbExponentTitle</f>
        <v>Εκθετική εξομάλυνση</v>
      </c>
      <c r="V11">
        <v>6</v>
      </c>
      <c r="W11" t="str">
        <f>dbExponentTitle</f>
        <v>Εκθετική εξομάλυνση</v>
      </c>
      <c r="X11" t="s">
        <v>452</v>
      </c>
      <c r="Y11" s="1" t="s">
        <v>660</v>
      </c>
      <c r="AH11">
        <v>12</v>
      </c>
      <c r="AM11" t="s">
        <v>1948</v>
      </c>
      <c r="AP11">
        <v>13</v>
      </c>
      <c r="AQ11">
        <v>251</v>
      </c>
      <c r="AR11">
        <v>75</v>
      </c>
      <c r="AU11" t="s">
        <v>1949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1950</v>
      </c>
      <c r="BF11">
        <v>12</v>
      </c>
      <c r="BK11" t="s">
        <v>1948</v>
      </c>
      <c r="BN11">
        <v>12</v>
      </c>
      <c r="BS11" t="s">
        <v>1948</v>
      </c>
      <c r="BV11">
        <v>14</v>
      </c>
      <c r="BW11">
        <v>8</v>
      </c>
      <c r="BX11">
        <v>83</v>
      </c>
      <c r="BY11">
        <v>398</v>
      </c>
      <c r="BZ11">
        <v>100</v>
      </c>
      <c r="CA11" t="s">
        <v>1928</v>
      </c>
      <c r="CD11">
        <v>5</v>
      </c>
      <c r="CE11">
        <v>18</v>
      </c>
      <c r="CF11">
        <v>85</v>
      </c>
      <c r="CI11" t="s">
        <v>1951</v>
      </c>
      <c r="CL11">
        <v>12</v>
      </c>
      <c r="CM11">
        <v>18</v>
      </c>
      <c r="CN11">
        <v>82</v>
      </c>
      <c r="CQ11" t="s">
        <v>1952</v>
      </c>
      <c r="CT11">
        <v>14</v>
      </c>
      <c r="CU11">
        <v>9</v>
      </c>
      <c r="CV11">
        <v>85</v>
      </c>
      <c r="CW11">
        <v>409</v>
      </c>
      <c r="CX11">
        <v>92</v>
      </c>
      <c r="CY11" t="s">
        <v>1953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Έλεγχος F των διακυμάνσεων δύο δειγμάτων</v>
      </c>
      <c r="V12">
        <v>7</v>
      </c>
      <c r="W12" t="str">
        <f>dbFTestTitle</f>
        <v>Έλεγχος F των διακυμάνσεων δύο δειγμάτων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1947</v>
      </c>
      <c r="AN12" t="b">
        <v>0</v>
      </c>
      <c r="AP12">
        <v>113</v>
      </c>
      <c r="AQ12">
        <v>25</v>
      </c>
      <c r="AR12">
        <v>93</v>
      </c>
      <c r="AU12" t="s">
        <v>1954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1947</v>
      </c>
      <c r="BL12" t="b">
        <v>0</v>
      </c>
      <c r="BN12">
        <v>13</v>
      </c>
      <c r="BO12">
        <v>18</v>
      </c>
      <c r="BP12">
        <v>75</v>
      </c>
      <c r="BS12" t="s">
        <v>1947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1955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Ανάλυση Fourier</v>
      </c>
      <c r="V13">
        <v>8</v>
      </c>
      <c r="W13" t="str">
        <f>dbFourierTitle</f>
        <v>Ανάλυση Fourier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1951</v>
      </c>
      <c r="AP13">
        <v>208</v>
      </c>
      <c r="AQ13">
        <v>251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1928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1928</v>
      </c>
      <c r="BV13">
        <v>5</v>
      </c>
      <c r="BW13">
        <v>17</v>
      </c>
      <c r="BX13">
        <v>99</v>
      </c>
      <c r="CA13" t="s">
        <v>1956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1928</v>
      </c>
      <c r="CL13">
        <v>5</v>
      </c>
      <c r="CM13">
        <v>42</v>
      </c>
      <c r="CN13">
        <v>103</v>
      </c>
      <c r="CQ13" t="s">
        <v>1957</v>
      </c>
      <c r="CT13">
        <v>5</v>
      </c>
    </row>
    <row r="14" spans="1:104" x14ac:dyDescent="0.25">
      <c r="A14" t="s">
        <v>404</v>
      </c>
      <c r="B14" t="s">
        <v>1958</v>
      </c>
      <c r="T14">
        <v>9</v>
      </c>
      <c r="U14" t="str">
        <f>dbHistogramTitle</f>
        <v>Ιστόγραμμα</v>
      </c>
      <c r="V14">
        <v>9</v>
      </c>
      <c r="W14" t="str">
        <f>dbHistogramTitle</f>
        <v>Ιστόγραμμα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86</v>
      </c>
      <c r="AN14">
        <v>0.05</v>
      </c>
      <c r="AP14">
        <v>5</v>
      </c>
      <c r="AQ14">
        <v>312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173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1959</v>
      </c>
      <c r="T15">
        <v>10</v>
      </c>
      <c r="U15" t="str">
        <f>dbMovingTitle</f>
        <v>Κυλιόμενος μέσος</v>
      </c>
      <c r="V15">
        <v>10</v>
      </c>
      <c r="W15" t="str">
        <f>dbMovingTitle</f>
        <v>Κυλιόμενος μέσος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1928</v>
      </c>
      <c r="AP15">
        <v>14</v>
      </c>
      <c r="AQ15">
        <v>8</v>
      </c>
      <c r="AR15">
        <v>127</v>
      </c>
      <c r="AS15">
        <v>562</v>
      </c>
      <c r="AT15">
        <v>179</v>
      </c>
      <c r="AU15" t="s">
        <v>1928</v>
      </c>
      <c r="AX15">
        <v>24</v>
      </c>
      <c r="AY15">
        <v>418</v>
      </c>
      <c r="AZ15">
        <v>66</v>
      </c>
      <c r="BA15">
        <v>104</v>
      </c>
      <c r="BC15" t="s">
        <v>1960</v>
      </c>
      <c r="BF15">
        <v>12</v>
      </c>
      <c r="BG15">
        <v>20</v>
      </c>
      <c r="BH15">
        <v>120</v>
      </c>
      <c r="BK15" t="s">
        <v>1956</v>
      </c>
      <c r="BN15">
        <v>12</v>
      </c>
      <c r="BO15">
        <v>18</v>
      </c>
      <c r="BP15">
        <v>127</v>
      </c>
      <c r="BS15" t="s">
        <v>1956</v>
      </c>
      <c r="BV15">
        <v>205</v>
      </c>
      <c r="BW15">
        <v>17</v>
      </c>
      <c r="BX15">
        <v>119</v>
      </c>
      <c r="CA15" t="s">
        <v>1941</v>
      </c>
      <c r="CD15">
        <v>12</v>
      </c>
      <c r="CE15">
        <v>18</v>
      </c>
      <c r="CF15">
        <v>132</v>
      </c>
      <c r="CI15" t="s">
        <v>1956</v>
      </c>
      <c r="CL15">
        <v>5</v>
      </c>
      <c r="CM15">
        <v>42</v>
      </c>
      <c r="CN15">
        <v>146</v>
      </c>
      <c r="CQ15" t="s">
        <v>1961</v>
      </c>
      <c r="CT15">
        <v>5</v>
      </c>
    </row>
    <row r="16" spans="1:104" x14ac:dyDescent="0.25">
      <c r="A16" t="s">
        <v>526</v>
      </c>
      <c r="B16" t="s">
        <v>1962</v>
      </c>
      <c r="T16">
        <v>11</v>
      </c>
      <c r="U16" t="str">
        <f>dbRandomTitle</f>
        <v>Γεννήτρια τυχαίων αριθμών</v>
      </c>
      <c r="V16">
        <v>11</v>
      </c>
      <c r="W16" t="str">
        <f>dbRandomTitle</f>
        <v>Γεννήτρια τυχαίων αριθμών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1941</v>
      </c>
      <c r="BN16">
        <v>12</v>
      </c>
      <c r="BP16">
        <v>147</v>
      </c>
      <c r="BS16" t="s">
        <v>1941</v>
      </c>
      <c r="BV16">
        <v>206</v>
      </c>
      <c r="BW16">
        <v>220</v>
      </c>
      <c r="BX16">
        <v>117</v>
      </c>
      <c r="BY16">
        <v>173</v>
      </c>
      <c r="CD16">
        <v>12</v>
      </c>
      <c r="CF16">
        <v>152</v>
      </c>
      <c r="CI16" t="s">
        <v>1941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1963</v>
      </c>
      <c r="T17">
        <v>12</v>
      </c>
      <c r="U17" t="str">
        <f>dbRankPerTitle</f>
        <v>Τάξη και εκατοστημόρια</v>
      </c>
      <c r="V17">
        <v>12</v>
      </c>
      <c r="W17" t="str">
        <f>dbRankPerTitle</f>
        <v>Τάξη και εκατοστημόρια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1956</v>
      </c>
      <c r="AP17">
        <v>12</v>
      </c>
      <c r="AQ17">
        <v>24</v>
      </c>
      <c r="AR17">
        <v>142</v>
      </c>
      <c r="AU17" t="s">
        <v>1956</v>
      </c>
      <c r="BF17">
        <v>12</v>
      </c>
      <c r="BH17">
        <v>160</v>
      </c>
      <c r="BK17" t="s">
        <v>1946</v>
      </c>
      <c r="BN17">
        <v>12</v>
      </c>
      <c r="BP17">
        <v>167</v>
      </c>
      <c r="BS17" t="s">
        <v>1946</v>
      </c>
      <c r="BV17">
        <v>205</v>
      </c>
      <c r="BW17">
        <v>17</v>
      </c>
      <c r="BX17">
        <v>139</v>
      </c>
      <c r="CA17" t="s">
        <v>1946</v>
      </c>
      <c r="CD17">
        <v>12</v>
      </c>
      <c r="CF17">
        <v>172</v>
      </c>
      <c r="CI17" t="s">
        <v>1946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1928</v>
      </c>
      <c r="CT17">
        <v>5</v>
      </c>
    </row>
    <row r="18" spans="1:104" x14ac:dyDescent="0.25">
      <c r="A18" t="s">
        <v>531</v>
      </c>
      <c r="B18" t="s">
        <v>1964</v>
      </c>
      <c r="T18">
        <v>13</v>
      </c>
      <c r="U18" t="str">
        <f>dbRegressionTitle</f>
        <v>Παλινδρόμηση</v>
      </c>
      <c r="V18">
        <v>13</v>
      </c>
      <c r="W18" t="str">
        <f>dbRegressionTitle</f>
        <v>Παλινδρόμηση</v>
      </c>
      <c r="X18" t="s">
        <v>448</v>
      </c>
      <c r="Y18" s="1" t="s">
        <v>657</v>
      </c>
      <c r="AH18">
        <v>12</v>
      </c>
      <c r="AJ18">
        <v>169</v>
      </c>
      <c r="AM18" t="s">
        <v>1941</v>
      </c>
      <c r="AP18">
        <v>12</v>
      </c>
      <c r="AR18">
        <v>162</v>
      </c>
      <c r="AU18" t="s">
        <v>1941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190</v>
      </c>
      <c r="BP18">
        <v>125</v>
      </c>
      <c r="BQ18">
        <v>189</v>
      </c>
      <c r="BT18" t="s">
        <v>316</v>
      </c>
      <c r="BV18">
        <v>13</v>
      </c>
      <c r="BW18">
        <v>17</v>
      </c>
      <c r="BX18">
        <v>161</v>
      </c>
      <c r="CA18" t="s">
        <v>1965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1966</v>
      </c>
      <c r="T19">
        <v>14</v>
      </c>
      <c r="U19" t="str">
        <f>dbSamplingTitle</f>
        <v>Δειγματοληψία</v>
      </c>
      <c r="V19">
        <v>14</v>
      </c>
      <c r="W19" t="str">
        <f>dbSamplingTitle</f>
        <v>Δειγματοληψία</v>
      </c>
      <c r="X19" t="s">
        <v>585</v>
      </c>
      <c r="Y19" s="1" t="s">
        <v>662</v>
      </c>
      <c r="AH19">
        <v>12</v>
      </c>
      <c r="AJ19">
        <v>189</v>
      </c>
      <c r="AM19" t="s">
        <v>1946</v>
      </c>
      <c r="AP19">
        <v>12</v>
      </c>
      <c r="AR19">
        <v>182</v>
      </c>
      <c r="AU19" t="s">
        <v>1946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190</v>
      </c>
      <c r="BP19">
        <v>145</v>
      </c>
      <c r="BQ19">
        <v>189</v>
      </c>
      <c r="BV19">
        <v>13</v>
      </c>
      <c r="BW19">
        <v>220</v>
      </c>
      <c r="BX19">
        <v>161</v>
      </c>
      <c r="CA19" t="s">
        <v>1967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1956</v>
      </c>
      <c r="CT19">
        <v>5</v>
      </c>
    </row>
    <row r="20" spans="1:104" x14ac:dyDescent="0.25">
      <c r="A20" t="s">
        <v>343</v>
      </c>
      <c r="B20" t="s">
        <v>1916</v>
      </c>
      <c r="T20">
        <v>15</v>
      </c>
      <c r="U20" t="str">
        <f>dbTTest1Title</f>
        <v>Έλεγχος t του μέσου δύο δειγμάτων συσχετισμένων ζευγών</v>
      </c>
      <c r="V20">
        <v>15</v>
      </c>
      <c r="W20" t="str">
        <f>dbTTest1Title</f>
        <v>Έλεγχος t του μέσου δύο δειγμάτων συσχετισμένων ζευγών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251</v>
      </c>
      <c r="AR20">
        <v>140</v>
      </c>
      <c r="AS20">
        <v>310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1968</v>
      </c>
      <c r="BT20" t="b">
        <v>0</v>
      </c>
      <c r="BV20">
        <v>24</v>
      </c>
      <c r="BW20">
        <v>418</v>
      </c>
      <c r="BX20">
        <v>57</v>
      </c>
      <c r="BY20">
        <v>90</v>
      </c>
      <c r="CD20">
        <v>24</v>
      </c>
      <c r="CE20">
        <v>412</v>
      </c>
      <c r="CF20">
        <v>57</v>
      </c>
      <c r="CG20">
        <v>90</v>
      </c>
      <c r="CL20">
        <v>12</v>
      </c>
      <c r="CN20">
        <v>210</v>
      </c>
      <c r="CQ20" t="s">
        <v>1941</v>
      </c>
      <c r="CT20">
        <v>5</v>
      </c>
    </row>
    <row r="21" spans="1:104" x14ac:dyDescent="0.25">
      <c r="A21" t="s">
        <v>346</v>
      </c>
      <c r="B21" t="s">
        <v>1969</v>
      </c>
      <c r="T21">
        <v>16</v>
      </c>
      <c r="U21" t="str">
        <f>dbTTest2Title</f>
        <v>Έλεγχος t δύο δειγμάτων με υποτιθέμενες ίσες διακυμάνσεις</v>
      </c>
      <c r="V21">
        <v>16</v>
      </c>
      <c r="W21" t="str">
        <f>dbTTest2Title</f>
        <v>Έλεγχος t δύο δειγμάτων με υποτιθέμενες ίσες διακυμάνσεις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251</v>
      </c>
      <c r="AR21">
        <v>160</v>
      </c>
      <c r="AS21">
        <v>310</v>
      </c>
      <c r="BN21">
        <v>113</v>
      </c>
      <c r="BO21">
        <v>18</v>
      </c>
      <c r="BP21">
        <v>209</v>
      </c>
      <c r="BS21" t="s">
        <v>1970</v>
      </c>
      <c r="BT21" t="b">
        <v>0</v>
      </c>
      <c r="CL21">
        <v>12</v>
      </c>
      <c r="CN21">
        <v>230</v>
      </c>
      <c r="CQ21" t="s">
        <v>1946</v>
      </c>
      <c r="CT21">
        <v>5</v>
      </c>
    </row>
    <row r="22" spans="1:104" x14ac:dyDescent="0.25">
      <c r="A22" t="s">
        <v>440</v>
      </c>
      <c r="B22" t="s">
        <v>1917</v>
      </c>
      <c r="T22">
        <v>17</v>
      </c>
      <c r="U22" t="str">
        <f>dbTTest3Title</f>
        <v>Έλεγχος t δύο δειγμάτων με υποτιθέμενες άνισες διακυμάνσεις</v>
      </c>
      <c r="V22">
        <v>17</v>
      </c>
      <c r="W22" t="str">
        <f>dbTTest3Title</f>
        <v>Έλεγχος t δύο δειγμάτων με υποτιθέμενες άνισες διακυμάνσεις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546</v>
      </c>
      <c r="AT22">
        <v>53</v>
      </c>
      <c r="AU22" t="s">
        <v>1971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1972</v>
      </c>
    </row>
    <row r="23" spans="1:104" x14ac:dyDescent="0.25">
      <c r="A23" t="s">
        <v>443</v>
      </c>
      <c r="B23" t="s">
        <v>1973</v>
      </c>
      <c r="T23">
        <v>18</v>
      </c>
      <c r="U23" t="str">
        <f>dbZTestTitle</f>
        <v>Έλεγχος z του μέσου δύο δειγμάτων</v>
      </c>
      <c r="V23">
        <v>18</v>
      </c>
      <c r="W23" t="str">
        <f>dbZTestTitle</f>
        <v>Έλεγχος z του μέσου δύο δειγμάτων</v>
      </c>
      <c r="X23" t="s">
        <v>357</v>
      </c>
      <c r="Y23" s="1" t="s">
        <v>674</v>
      </c>
      <c r="AP23">
        <v>13</v>
      </c>
      <c r="AR23">
        <v>216</v>
      </c>
      <c r="AU23" t="s">
        <v>1974</v>
      </c>
      <c r="AV23" t="b">
        <v>0</v>
      </c>
      <c r="BF23" s="1" t="s">
        <v>666</v>
      </c>
      <c r="BI23">
        <v>523</v>
      </c>
      <c r="BJ23">
        <v>191</v>
      </c>
      <c r="BK23" t="s">
        <v>1975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381</v>
      </c>
    </row>
    <row r="24" spans="1:104" x14ac:dyDescent="0.25">
      <c r="A24" t="s">
        <v>360</v>
      </c>
      <c r="B24" t="s">
        <v>1976</v>
      </c>
      <c r="X24" t="s">
        <v>551</v>
      </c>
      <c r="AP24">
        <v>13</v>
      </c>
      <c r="AR24">
        <v>231</v>
      </c>
      <c r="AU24" t="s">
        <v>1977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1978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1979</v>
      </c>
    </row>
    <row r="25" spans="1:104" x14ac:dyDescent="0.25">
      <c r="A25" t="s">
        <v>552</v>
      </c>
      <c r="B25" t="s">
        <v>1980</v>
      </c>
      <c r="X25" t="s">
        <v>554</v>
      </c>
      <c r="AH25" t="s">
        <v>614</v>
      </c>
      <c r="AP25">
        <v>13</v>
      </c>
      <c r="AQ25">
        <v>252</v>
      </c>
      <c r="AR25">
        <v>216</v>
      </c>
      <c r="AU25" t="s">
        <v>1981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1925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586</v>
      </c>
      <c r="CH25">
        <v>227</v>
      </c>
      <c r="CI25" t="s">
        <v>1982</v>
      </c>
      <c r="CJ25">
        <v>5</v>
      </c>
      <c r="CT25">
        <v>7</v>
      </c>
      <c r="CU25">
        <v>220</v>
      </c>
      <c r="CV25">
        <v>185</v>
      </c>
      <c r="CW25">
        <v>184</v>
      </c>
      <c r="CZ25" t="s">
        <v>316</v>
      </c>
    </row>
    <row r="26" spans="1:104" x14ac:dyDescent="0.25">
      <c r="A26" t="s">
        <v>573</v>
      </c>
      <c r="B26" t="s">
        <v>1983</v>
      </c>
      <c r="X26" t="s">
        <v>376</v>
      </c>
      <c r="AH26" s="1" t="s">
        <v>664</v>
      </c>
      <c r="AK26">
        <v>591</v>
      </c>
      <c r="AL26">
        <v>187</v>
      </c>
      <c r="AM26" t="s">
        <v>1973</v>
      </c>
      <c r="AN26">
        <v>5</v>
      </c>
      <c r="AP26">
        <v>13</v>
      </c>
      <c r="AR26">
        <v>231</v>
      </c>
      <c r="AU26" t="s">
        <v>1984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1927</v>
      </c>
      <c r="BN26">
        <v>113</v>
      </c>
      <c r="BO26">
        <v>18</v>
      </c>
      <c r="BP26">
        <v>247</v>
      </c>
      <c r="BS26" t="s">
        <v>1985</v>
      </c>
      <c r="BT26" t="b">
        <v>0</v>
      </c>
      <c r="CD26">
        <v>1</v>
      </c>
      <c r="CE26">
        <v>475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409</v>
      </c>
      <c r="CX26">
        <v>81</v>
      </c>
      <c r="CY26" t="s">
        <v>1928</v>
      </c>
    </row>
    <row r="27" spans="1:104" x14ac:dyDescent="0.25">
      <c r="A27" t="s">
        <v>377</v>
      </c>
      <c r="B27" t="s">
        <v>1986</v>
      </c>
      <c r="X27" t="s">
        <v>379</v>
      </c>
      <c r="AH27">
        <v>1</v>
      </c>
      <c r="AI27">
        <v>477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546</v>
      </c>
      <c r="AT27">
        <v>35</v>
      </c>
      <c r="AU27" t="s">
        <v>1987</v>
      </c>
      <c r="BF27">
        <v>5</v>
      </c>
      <c r="BG27">
        <v>18</v>
      </c>
      <c r="BH27">
        <v>19</v>
      </c>
      <c r="BK27" t="s">
        <v>1930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475</v>
      </c>
      <c r="CF27">
        <v>30</v>
      </c>
      <c r="CG27">
        <v>90</v>
      </c>
      <c r="CI27" t="s">
        <v>1925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1988</v>
      </c>
      <c r="X28" t="s">
        <v>382</v>
      </c>
      <c r="AH28">
        <v>2</v>
      </c>
      <c r="AI28">
        <v>477</v>
      </c>
      <c r="AJ28">
        <v>30</v>
      </c>
      <c r="AK28">
        <v>90</v>
      </c>
      <c r="AM28" t="s">
        <v>1925</v>
      </c>
      <c r="AP28">
        <v>13</v>
      </c>
      <c r="AR28">
        <v>271</v>
      </c>
      <c r="AU28" t="s">
        <v>1989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405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449</v>
      </c>
      <c r="CH28">
        <v>132</v>
      </c>
      <c r="CI28" t="s">
        <v>1927</v>
      </c>
      <c r="CT28">
        <v>12</v>
      </c>
      <c r="CU28">
        <v>17</v>
      </c>
      <c r="CV28">
        <v>225</v>
      </c>
      <c r="CY28" t="s">
        <v>1956</v>
      </c>
    </row>
    <row r="29" spans="1:104" x14ac:dyDescent="0.25">
      <c r="A29" t="s">
        <v>383</v>
      </c>
      <c r="B29" t="s">
        <v>1990</v>
      </c>
      <c r="X29" t="s">
        <v>599</v>
      </c>
      <c r="AH29">
        <v>14</v>
      </c>
      <c r="AI29">
        <v>8</v>
      </c>
      <c r="AJ29">
        <v>3</v>
      </c>
      <c r="AK29">
        <v>445</v>
      </c>
      <c r="AL29">
        <v>89</v>
      </c>
      <c r="AM29" t="s">
        <v>1927</v>
      </c>
      <c r="AP29">
        <v>24</v>
      </c>
      <c r="AQ29">
        <v>581</v>
      </c>
      <c r="AR29">
        <v>67</v>
      </c>
      <c r="AS29">
        <v>90</v>
      </c>
      <c r="BF29">
        <v>5</v>
      </c>
      <c r="BG29">
        <v>18</v>
      </c>
      <c r="BH29">
        <v>44</v>
      </c>
      <c r="BK29" t="s">
        <v>1935</v>
      </c>
      <c r="CD29">
        <v>5</v>
      </c>
      <c r="CE29">
        <v>17</v>
      </c>
      <c r="CF29">
        <v>18</v>
      </c>
      <c r="CI29" t="s">
        <v>1932</v>
      </c>
      <c r="CT29">
        <v>12</v>
      </c>
      <c r="CV29">
        <v>245</v>
      </c>
      <c r="CY29" t="s">
        <v>1941</v>
      </c>
    </row>
    <row r="30" spans="1:104" x14ac:dyDescent="0.25">
      <c r="A30" t="s">
        <v>600</v>
      </c>
      <c r="B30" t="s">
        <v>1991</v>
      </c>
      <c r="X30" t="s">
        <v>332</v>
      </c>
      <c r="AH30">
        <v>5</v>
      </c>
      <c r="AI30">
        <v>20</v>
      </c>
      <c r="AJ30">
        <v>19</v>
      </c>
      <c r="AM30" t="s">
        <v>1930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224</v>
      </c>
      <c r="CJ30" t="s">
        <v>316</v>
      </c>
      <c r="CT30">
        <v>12</v>
      </c>
      <c r="CV30">
        <v>265</v>
      </c>
      <c r="CY30" t="s">
        <v>1946</v>
      </c>
    </row>
    <row r="31" spans="1:104" x14ac:dyDescent="0.25">
      <c r="A31" t="s">
        <v>602</v>
      </c>
      <c r="B31" t="s">
        <v>1992</v>
      </c>
      <c r="X31" t="s">
        <v>263</v>
      </c>
      <c r="AH31">
        <v>10</v>
      </c>
      <c r="AI31">
        <v>218</v>
      </c>
      <c r="AJ31">
        <v>16</v>
      </c>
      <c r="AK31">
        <v>220</v>
      </c>
      <c r="AN31" t="s">
        <v>316</v>
      </c>
      <c r="BF31">
        <v>12</v>
      </c>
      <c r="BG31">
        <v>220</v>
      </c>
      <c r="BH31">
        <v>40</v>
      </c>
      <c r="BK31" t="s">
        <v>1945</v>
      </c>
      <c r="CD31">
        <v>5</v>
      </c>
      <c r="CE31">
        <v>17</v>
      </c>
      <c r="CF31">
        <v>41</v>
      </c>
      <c r="CI31" t="s">
        <v>1939</v>
      </c>
      <c r="CT31">
        <v>210</v>
      </c>
      <c r="CU31">
        <v>220</v>
      </c>
      <c r="CV31">
        <v>223</v>
      </c>
      <c r="CW31">
        <v>184</v>
      </c>
      <c r="CZ31" t="s">
        <v>316</v>
      </c>
    </row>
    <row r="32" spans="1:104" x14ac:dyDescent="0.25">
      <c r="A32" t="s">
        <v>93</v>
      </c>
      <c r="B32" t="s">
        <v>1993</v>
      </c>
      <c r="AH32">
        <v>5</v>
      </c>
      <c r="AI32">
        <v>20</v>
      </c>
      <c r="AJ32">
        <v>45</v>
      </c>
      <c r="AM32" t="s">
        <v>1994</v>
      </c>
      <c r="BF32">
        <v>12</v>
      </c>
      <c r="BK32" t="s">
        <v>1948</v>
      </c>
      <c r="CD32">
        <v>10</v>
      </c>
      <c r="CE32">
        <v>220</v>
      </c>
      <c r="CF32">
        <v>39</v>
      </c>
      <c r="CG32">
        <v>224</v>
      </c>
      <c r="CJ32" t="s">
        <v>316</v>
      </c>
      <c r="CT32">
        <v>6</v>
      </c>
      <c r="CU32">
        <v>220</v>
      </c>
      <c r="CV32">
        <v>243</v>
      </c>
      <c r="CW32">
        <v>184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1947</v>
      </c>
      <c r="BL33" t="b">
        <v>0</v>
      </c>
      <c r="CD33">
        <v>5</v>
      </c>
      <c r="CE33">
        <v>17</v>
      </c>
      <c r="CF33">
        <v>70</v>
      </c>
      <c r="CI33" t="s">
        <v>1995</v>
      </c>
      <c r="CT33">
        <v>24</v>
      </c>
      <c r="CU33">
        <v>431</v>
      </c>
      <c r="CV33">
        <v>62</v>
      </c>
      <c r="CW33">
        <v>90</v>
      </c>
    </row>
    <row r="34" spans="1:104" x14ac:dyDescent="0.25">
      <c r="A34" t="s">
        <v>309</v>
      </c>
      <c r="B34" t="s">
        <v>1996</v>
      </c>
      <c r="AH34">
        <v>5</v>
      </c>
      <c r="AI34">
        <v>20</v>
      </c>
      <c r="AJ34">
        <v>68</v>
      </c>
      <c r="AM34" t="s">
        <v>1951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1928</v>
      </c>
      <c r="CD34">
        <v>8</v>
      </c>
      <c r="CE34">
        <v>307</v>
      </c>
      <c r="CF34">
        <v>68</v>
      </c>
      <c r="CG34">
        <v>135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1940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445</v>
      </c>
      <c r="AL36">
        <v>82</v>
      </c>
      <c r="AM36" t="s">
        <v>1928</v>
      </c>
      <c r="BF36">
        <v>12</v>
      </c>
      <c r="BG36">
        <v>18</v>
      </c>
      <c r="BH36">
        <v>120</v>
      </c>
      <c r="BK36" t="s">
        <v>1956</v>
      </c>
      <c r="CD36">
        <v>5</v>
      </c>
      <c r="CE36">
        <v>17</v>
      </c>
      <c r="CF36">
        <v>114</v>
      </c>
      <c r="CI36" t="s">
        <v>1951</v>
      </c>
      <c r="CT36">
        <v>5</v>
      </c>
      <c r="CZ36" t="s">
        <v>551</v>
      </c>
    </row>
    <row r="37" spans="1:104" x14ac:dyDescent="0.25">
      <c r="A37" t="s">
        <v>473</v>
      </c>
      <c r="B37" t="s">
        <v>1997</v>
      </c>
      <c r="AH37">
        <v>111</v>
      </c>
      <c r="AN37">
        <v>2</v>
      </c>
      <c r="BF37">
        <v>12</v>
      </c>
      <c r="BH37">
        <v>140</v>
      </c>
      <c r="BK37" t="s">
        <v>1941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1998</v>
      </c>
      <c r="AH38">
        <v>12</v>
      </c>
      <c r="AI38">
        <v>20</v>
      </c>
      <c r="AJ38">
        <v>115</v>
      </c>
      <c r="AM38" t="s">
        <v>1956</v>
      </c>
      <c r="BF38">
        <v>12</v>
      </c>
      <c r="BH38">
        <v>160</v>
      </c>
      <c r="BK38" t="s">
        <v>1946</v>
      </c>
      <c r="CD38">
        <v>14</v>
      </c>
      <c r="CE38">
        <v>8</v>
      </c>
      <c r="CF38">
        <v>140</v>
      </c>
      <c r="CG38">
        <v>449</v>
      </c>
      <c r="CH38">
        <v>81</v>
      </c>
      <c r="CI38" t="s">
        <v>1928</v>
      </c>
      <c r="CT38">
        <v>5</v>
      </c>
    </row>
    <row r="39" spans="1:104" x14ac:dyDescent="0.25">
      <c r="A39" t="s">
        <v>488</v>
      </c>
      <c r="B39" t="s">
        <v>1999</v>
      </c>
      <c r="AH39">
        <v>12</v>
      </c>
      <c r="AJ39">
        <v>135</v>
      </c>
      <c r="AM39" t="s">
        <v>1941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2000</v>
      </c>
      <c r="AH40">
        <v>12</v>
      </c>
      <c r="AJ40">
        <v>155</v>
      </c>
      <c r="AM40" t="s">
        <v>1946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1956</v>
      </c>
      <c r="CT40">
        <v>5</v>
      </c>
    </row>
    <row r="41" spans="1:104" x14ac:dyDescent="0.25">
      <c r="A41" t="s">
        <v>492</v>
      </c>
      <c r="B41" t="s">
        <v>2001</v>
      </c>
      <c r="AH41">
        <v>210</v>
      </c>
      <c r="AI41">
        <v>218</v>
      </c>
      <c r="AJ41">
        <v>113</v>
      </c>
      <c r="AK41">
        <v>220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1941</v>
      </c>
      <c r="CT41">
        <v>5</v>
      </c>
    </row>
    <row r="42" spans="1:104" x14ac:dyDescent="0.25">
      <c r="A42" t="s">
        <v>494</v>
      </c>
      <c r="B42" t="s">
        <v>2002</v>
      </c>
      <c r="AH42">
        <v>6</v>
      </c>
      <c r="AI42">
        <v>218</v>
      </c>
      <c r="AJ42">
        <v>133</v>
      </c>
      <c r="AK42">
        <v>220</v>
      </c>
      <c r="CD42">
        <v>12</v>
      </c>
      <c r="CF42">
        <v>196</v>
      </c>
      <c r="CI42" t="s">
        <v>1946</v>
      </c>
      <c r="CT42">
        <v>5</v>
      </c>
    </row>
    <row r="43" spans="1:104" x14ac:dyDescent="0.25">
      <c r="A43" t="s">
        <v>496</v>
      </c>
      <c r="B43" t="s">
        <v>2003</v>
      </c>
      <c r="AH43">
        <v>24</v>
      </c>
      <c r="AI43">
        <v>477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223</v>
      </c>
      <c r="CJ43" t="s">
        <v>316</v>
      </c>
      <c r="CT43">
        <v>5</v>
      </c>
    </row>
    <row r="44" spans="1:104" x14ac:dyDescent="0.25">
      <c r="A44" t="s">
        <v>400</v>
      </c>
      <c r="B44" t="s">
        <v>2004</v>
      </c>
      <c r="BF44" s="1" t="s">
        <v>670</v>
      </c>
      <c r="BI44">
        <v>523</v>
      </c>
      <c r="BJ44">
        <v>191</v>
      </c>
      <c r="BK44" t="s">
        <v>2005</v>
      </c>
      <c r="BL44">
        <v>5</v>
      </c>
      <c r="CD44">
        <v>6</v>
      </c>
      <c r="CE44">
        <v>220</v>
      </c>
      <c r="CF44">
        <v>174</v>
      </c>
      <c r="CG44">
        <v>223</v>
      </c>
      <c r="CT44">
        <v>5</v>
      </c>
      <c r="CU44">
        <v>25</v>
      </c>
      <c r="CV44">
        <v>114</v>
      </c>
      <c r="CY44" t="s">
        <v>2006</v>
      </c>
    </row>
    <row r="45" spans="1:104" x14ac:dyDescent="0.25">
      <c r="A45" t="s">
        <v>422</v>
      </c>
      <c r="B45" t="s">
        <v>2007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475</v>
      </c>
      <c r="CF45">
        <v>57</v>
      </c>
      <c r="CG45">
        <v>90</v>
      </c>
      <c r="CT45">
        <v>8</v>
      </c>
      <c r="CU45">
        <v>102</v>
      </c>
      <c r="CV45">
        <v>112</v>
      </c>
      <c r="CW45">
        <v>116</v>
      </c>
      <c r="CZ45">
        <v>0</v>
      </c>
    </row>
    <row r="46" spans="1:104" x14ac:dyDescent="0.25">
      <c r="A46" t="s">
        <v>424</v>
      </c>
      <c r="B46" t="s">
        <v>2008</v>
      </c>
      <c r="BF46">
        <v>2</v>
      </c>
      <c r="BG46">
        <v>407</v>
      </c>
      <c r="BH46">
        <v>30</v>
      </c>
      <c r="BI46">
        <v>90</v>
      </c>
      <c r="BK46" t="s">
        <v>1925</v>
      </c>
      <c r="CT46">
        <v>5</v>
      </c>
      <c r="CU46">
        <v>237</v>
      </c>
      <c r="CV46">
        <v>114</v>
      </c>
      <c r="CY46" t="s">
        <v>2009</v>
      </c>
    </row>
    <row r="47" spans="1:104" x14ac:dyDescent="0.25">
      <c r="A47" t="s">
        <v>427</v>
      </c>
      <c r="B47" t="s">
        <v>2010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1927</v>
      </c>
      <c r="CT47">
        <v>8</v>
      </c>
      <c r="CU47">
        <v>282</v>
      </c>
      <c r="CV47">
        <v>112</v>
      </c>
      <c r="CW47">
        <v>116</v>
      </c>
      <c r="CZ47">
        <v>1</v>
      </c>
    </row>
    <row r="48" spans="1:104" x14ac:dyDescent="0.25">
      <c r="A48" t="s">
        <v>429</v>
      </c>
      <c r="B48" t="s">
        <v>2011</v>
      </c>
      <c r="AH48" s="1" t="s">
        <v>665</v>
      </c>
      <c r="AK48">
        <v>589</v>
      </c>
      <c r="AL48">
        <v>185</v>
      </c>
      <c r="AM48" t="s">
        <v>1976</v>
      </c>
      <c r="AN48">
        <v>5</v>
      </c>
      <c r="BF48">
        <v>5</v>
      </c>
      <c r="BG48">
        <v>18</v>
      </c>
      <c r="BH48">
        <v>19</v>
      </c>
      <c r="BK48" t="s">
        <v>1930</v>
      </c>
    </row>
    <row r="49" spans="1:104" x14ac:dyDescent="0.25">
      <c r="A49" t="s">
        <v>431</v>
      </c>
      <c r="B49" t="s">
        <v>1920</v>
      </c>
      <c r="AH49">
        <v>1</v>
      </c>
      <c r="AI49">
        <v>480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2012</v>
      </c>
      <c r="AH50">
        <v>2</v>
      </c>
      <c r="AI50">
        <v>480</v>
      </c>
      <c r="AJ50">
        <v>30</v>
      </c>
      <c r="AK50">
        <v>90</v>
      </c>
      <c r="AM50" t="s">
        <v>1925</v>
      </c>
      <c r="BF50">
        <v>5</v>
      </c>
      <c r="BG50">
        <v>18</v>
      </c>
      <c r="BH50">
        <v>44</v>
      </c>
      <c r="BK50" t="s">
        <v>1935</v>
      </c>
      <c r="CD50" s="1" t="s">
        <v>672</v>
      </c>
      <c r="CG50">
        <v>606</v>
      </c>
      <c r="CH50">
        <v>227</v>
      </c>
      <c r="CI50" t="s">
        <v>2013</v>
      </c>
      <c r="CJ50">
        <v>5</v>
      </c>
      <c r="CT50">
        <v>5</v>
      </c>
      <c r="CU50">
        <v>17</v>
      </c>
      <c r="CV50">
        <v>101</v>
      </c>
      <c r="CY50" t="s">
        <v>2014</v>
      </c>
      <c r="CZ50" t="s">
        <v>599</v>
      </c>
    </row>
    <row r="51" spans="1:104" x14ac:dyDescent="0.25">
      <c r="A51" t="s">
        <v>439</v>
      </c>
      <c r="B51" t="s">
        <v>2015</v>
      </c>
      <c r="AH51">
        <v>14</v>
      </c>
      <c r="AI51">
        <v>8</v>
      </c>
      <c r="AJ51">
        <v>3</v>
      </c>
      <c r="AK51">
        <v>454</v>
      </c>
      <c r="AL51">
        <v>83</v>
      </c>
      <c r="AM51" t="s">
        <v>1927</v>
      </c>
      <c r="BF51">
        <v>111</v>
      </c>
      <c r="BL51">
        <v>1</v>
      </c>
      <c r="CD51">
        <v>1</v>
      </c>
      <c r="CE51">
        <v>498</v>
      </c>
      <c r="CF51">
        <v>7</v>
      </c>
      <c r="CG51">
        <v>90</v>
      </c>
      <c r="CI51" t="s">
        <v>390</v>
      </c>
      <c r="CT51">
        <v>8</v>
      </c>
      <c r="CU51">
        <v>60</v>
      </c>
      <c r="CV51">
        <v>99</v>
      </c>
      <c r="CW51">
        <v>60</v>
      </c>
    </row>
    <row r="52" spans="1:104" x14ac:dyDescent="0.25">
      <c r="A52" t="s">
        <v>419</v>
      </c>
      <c r="B52" t="s">
        <v>2016</v>
      </c>
      <c r="AH52">
        <v>5</v>
      </c>
      <c r="AI52">
        <v>18</v>
      </c>
      <c r="AJ52">
        <v>19</v>
      </c>
      <c r="AM52" t="s">
        <v>1930</v>
      </c>
      <c r="BF52">
        <v>12</v>
      </c>
      <c r="BG52">
        <v>220</v>
      </c>
      <c r="BH52">
        <v>40</v>
      </c>
      <c r="BK52" t="s">
        <v>1945</v>
      </c>
      <c r="CD52">
        <v>2</v>
      </c>
      <c r="CE52">
        <v>498</v>
      </c>
      <c r="CF52">
        <v>30</v>
      </c>
      <c r="CG52">
        <v>90</v>
      </c>
      <c r="CI52" t="s">
        <v>1925</v>
      </c>
      <c r="CT52">
        <v>5</v>
      </c>
      <c r="CU52">
        <v>132</v>
      </c>
      <c r="CV52">
        <v>101</v>
      </c>
      <c r="CY52" t="s">
        <v>2017</v>
      </c>
    </row>
    <row r="53" spans="1:104" x14ac:dyDescent="0.25">
      <c r="A53" t="s">
        <v>338</v>
      </c>
      <c r="B53" t="s">
        <v>2018</v>
      </c>
      <c r="AH53">
        <v>10</v>
      </c>
      <c r="AI53">
        <v>222</v>
      </c>
      <c r="AJ53">
        <v>16</v>
      </c>
      <c r="AK53">
        <v>225</v>
      </c>
      <c r="AN53" t="s">
        <v>316</v>
      </c>
      <c r="BF53">
        <v>12</v>
      </c>
      <c r="BK53" t="s">
        <v>1948</v>
      </c>
      <c r="CD53">
        <v>14</v>
      </c>
      <c r="CE53">
        <v>8</v>
      </c>
      <c r="CF53">
        <v>3</v>
      </c>
      <c r="CG53">
        <v>473</v>
      </c>
      <c r="CH53">
        <v>132</v>
      </c>
      <c r="CI53" t="s">
        <v>1927</v>
      </c>
      <c r="CT53">
        <v>8</v>
      </c>
      <c r="CU53">
        <v>179</v>
      </c>
      <c r="CV53">
        <v>99</v>
      </c>
      <c r="CW53">
        <v>60</v>
      </c>
    </row>
    <row r="54" spans="1:104" x14ac:dyDescent="0.25">
      <c r="A54" t="s">
        <v>340</v>
      </c>
      <c r="B54" t="s">
        <v>2019</v>
      </c>
      <c r="AH54">
        <v>13</v>
      </c>
      <c r="AI54">
        <v>19</v>
      </c>
      <c r="AJ54">
        <v>41</v>
      </c>
      <c r="AM54" t="s">
        <v>1940</v>
      </c>
      <c r="AN54" t="b">
        <v>0</v>
      </c>
      <c r="BF54">
        <v>13</v>
      </c>
      <c r="BG54">
        <v>18</v>
      </c>
      <c r="BH54">
        <v>75</v>
      </c>
      <c r="BK54" t="s">
        <v>1947</v>
      </c>
      <c r="BL54" t="b">
        <v>0</v>
      </c>
      <c r="CD54">
        <v>5</v>
      </c>
      <c r="CE54">
        <v>17</v>
      </c>
      <c r="CF54">
        <v>18</v>
      </c>
      <c r="CI54" t="s">
        <v>1932</v>
      </c>
      <c r="CT54">
        <v>5</v>
      </c>
      <c r="CU54">
        <v>256</v>
      </c>
      <c r="CV54">
        <v>101</v>
      </c>
      <c r="CY54" t="s">
        <v>2020</v>
      </c>
    </row>
    <row r="55" spans="1:104" x14ac:dyDescent="0.25">
      <c r="A55" t="s">
        <v>177</v>
      </c>
      <c r="B55" t="s">
        <v>1991</v>
      </c>
      <c r="AH55">
        <v>5</v>
      </c>
      <c r="AI55">
        <v>20</v>
      </c>
      <c r="AJ55">
        <v>62</v>
      </c>
      <c r="AM55" t="s">
        <v>1951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1928</v>
      </c>
      <c r="CD55">
        <v>10</v>
      </c>
      <c r="CE55">
        <v>220</v>
      </c>
      <c r="CF55">
        <v>16</v>
      </c>
      <c r="CG55">
        <v>246</v>
      </c>
      <c r="CJ55" t="s">
        <v>316</v>
      </c>
      <c r="CT55">
        <v>8</v>
      </c>
      <c r="CU55">
        <v>349</v>
      </c>
      <c r="CV55">
        <v>99</v>
      </c>
      <c r="CW55">
        <v>60</v>
      </c>
    </row>
    <row r="56" spans="1:104" x14ac:dyDescent="0.25">
      <c r="A56" t="s">
        <v>179</v>
      </c>
      <c r="B56" t="s">
        <v>2021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1939</v>
      </c>
      <c r="CT56">
        <v>5</v>
      </c>
      <c r="CU56">
        <v>17</v>
      </c>
      <c r="CV56">
        <v>131</v>
      </c>
      <c r="CY56" t="s">
        <v>2022</v>
      </c>
    </row>
    <row r="57" spans="1:104" x14ac:dyDescent="0.25">
      <c r="A57" t="s">
        <v>557</v>
      </c>
      <c r="B57" t="s">
        <v>2023</v>
      </c>
      <c r="AH57">
        <v>14</v>
      </c>
      <c r="AI57">
        <v>8</v>
      </c>
      <c r="AJ57">
        <v>91</v>
      </c>
      <c r="AK57">
        <v>454</v>
      </c>
      <c r="AL57">
        <v>86</v>
      </c>
      <c r="AM57" t="s">
        <v>1928</v>
      </c>
      <c r="BF57">
        <v>12</v>
      </c>
      <c r="BG57">
        <v>18</v>
      </c>
      <c r="BH57">
        <v>120</v>
      </c>
      <c r="BK57" t="s">
        <v>1956</v>
      </c>
      <c r="CD57">
        <v>10</v>
      </c>
      <c r="CE57">
        <v>220</v>
      </c>
      <c r="CF57">
        <v>39</v>
      </c>
      <c r="CG57">
        <v>246</v>
      </c>
      <c r="CJ57" t="s">
        <v>316</v>
      </c>
      <c r="CT57">
        <v>7</v>
      </c>
      <c r="CU57">
        <v>244</v>
      </c>
      <c r="CV57">
        <v>129</v>
      </c>
      <c r="CW57">
        <v>102</v>
      </c>
    </row>
    <row r="58" spans="1:104" x14ac:dyDescent="0.25">
      <c r="A58" t="s">
        <v>559</v>
      </c>
      <c r="B58" t="s">
        <v>2024</v>
      </c>
      <c r="AH58">
        <v>111</v>
      </c>
      <c r="AN58">
        <v>2</v>
      </c>
      <c r="BF58">
        <v>12</v>
      </c>
      <c r="BH58">
        <v>140</v>
      </c>
      <c r="BK58" t="s">
        <v>1941</v>
      </c>
      <c r="CD58">
        <v>5</v>
      </c>
      <c r="CE58">
        <v>17</v>
      </c>
      <c r="CF58">
        <v>70</v>
      </c>
      <c r="CI58" t="s">
        <v>1995</v>
      </c>
      <c r="CT58">
        <v>5</v>
      </c>
      <c r="CU58">
        <v>357</v>
      </c>
      <c r="CV58">
        <v>131</v>
      </c>
      <c r="CY58" t="s">
        <v>2025</v>
      </c>
    </row>
    <row r="59" spans="1:104" x14ac:dyDescent="0.25">
      <c r="A59" t="s">
        <v>188</v>
      </c>
      <c r="B59" t="s">
        <v>2026</v>
      </c>
      <c r="AH59">
        <v>12</v>
      </c>
      <c r="AI59">
        <v>20</v>
      </c>
      <c r="AJ59">
        <v>107</v>
      </c>
      <c r="AM59" t="s">
        <v>1956</v>
      </c>
      <c r="BF59">
        <v>12</v>
      </c>
      <c r="BH59">
        <v>160</v>
      </c>
      <c r="BK59" t="s">
        <v>1946</v>
      </c>
      <c r="CD59">
        <v>8</v>
      </c>
      <c r="CE59">
        <v>307</v>
      </c>
      <c r="CF59">
        <v>68</v>
      </c>
      <c r="CG59">
        <v>157</v>
      </c>
      <c r="CT59">
        <v>5</v>
      </c>
      <c r="CU59">
        <v>17</v>
      </c>
      <c r="CV59">
        <v>153</v>
      </c>
      <c r="CY59" t="s">
        <v>2027</v>
      </c>
    </row>
    <row r="60" spans="1:104" x14ac:dyDescent="0.25">
      <c r="A60" t="s">
        <v>564</v>
      </c>
      <c r="B60" t="s">
        <v>2028</v>
      </c>
      <c r="AH60">
        <v>12</v>
      </c>
      <c r="AJ60">
        <v>127</v>
      </c>
      <c r="AM60" t="s">
        <v>1941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1940</v>
      </c>
      <c r="CJ60" t="b">
        <v>0</v>
      </c>
      <c r="CT60">
        <v>7</v>
      </c>
      <c r="CU60">
        <v>244</v>
      </c>
      <c r="CV60">
        <v>151</v>
      </c>
      <c r="CW60">
        <v>102</v>
      </c>
    </row>
    <row r="61" spans="1:104" x14ac:dyDescent="0.25">
      <c r="A61" t="s">
        <v>566</v>
      </c>
      <c r="B61" t="s">
        <v>2029</v>
      </c>
      <c r="AH61">
        <v>12</v>
      </c>
      <c r="AJ61">
        <v>147</v>
      </c>
      <c r="AM61" t="s">
        <v>1946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1951</v>
      </c>
      <c r="CT61">
        <v>5</v>
      </c>
      <c r="CU61">
        <v>357</v>
      </c>
      <c r="CV61">
        <v>153</v>
      </c>
      <c r="CY61" t="s">
        <v>2025</v>
      </c>
    </row>
    <row r="62" spans="1:104" x14ac:dyDescent="0.25">
      <c r="A62" t="s">
        <v>568</v>
      </c>
      <c r="B62" t="s">
        <v>2030</v>
      </c>
      <c r="AH62">
        <v>210</v>
      </c>
      <c r="AI62">
        <v>222</v>
      </c>
      <c r="AJ62">
        <v>105</v>
      </c>
      <c r="AK62">
        <v>225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2031</v>
      </c>
      <c r="AH63">
        <v>6</v>
      </c>
      <c r="AI63">
        <v>222</v>
      </c>
      <c r="AJ63">
        <v>125</v>
      </c>
      <c r="AK63">
        <v>225</v>
      </c>
      <c r="CD63">
        <v>14</v>
      </c>
      <c r="CE63">
        <v>8</v>
      </c>
      <c r="CF63">
        <v>140</v>
      </c>
      <c r="CG63">
        <v>473</v>
      </c>
      <c r="CH63">
        <v>81</v>
      </c>
      <c r="CI63" t="s">
        <v>1928</v>
      </c>
      <c r="CT63" t="s">
        <v>554</v>
      </c>
    </row>
    <row r="64" spans="1:104" x14ac:dyDescent="0.25">
      <c r="A64" t="s">
        <v>572</v>
      </c>
      <c r="B64" t="s">
        <v>1919</v>
      </c>
      <c r="AH64">
        <v>24</v>
      </c>
      <c r="AI64">
        <v>480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1975</v>
      </c>
      <c r="CD65">
        <v>12</v>
      </c>
      <c r="CE65">
        <v>17</v>
      </c>
      <c r="CF65">
        <v>156</v>
      </c>
      <c r="CI65" t="s">
        <v>1956</v>
      </c>
      <c r="CT65">
        <v>5</v>
      </c>
    </row>
    <row r="66" spans="1:104" x14ac:dyDescent="0.25">
      <c r="A66" t="s">
        <v>194</v>
      </c>
      <c r="B66" t="s">
        <v>1921</v>
      </c>
      <c r="BF66" t="s">
        <v>334</v>
      </c>
      <c r="CD66">
        <v>12</v>
      </c>
      <c r="CF66">
        <v>176</v>
      </c>
      <c r="CI66" t="s">
        <v>1941</v>
      </c>
      <c r="CT66">
        <v>5</v>
      </c>
    </row>
    <row r="67" spans="1:104" x14ac:dyDescent="0.25">
      <c r="A67" t="s">
        <v>195</v>
      </c>
      <c r="B67" t="s">
        <v>2032</v>
      </c>
      <c r="BF67" s="1" t="s">
        <v>667</v>
      </c>
      <c r="BI67">
        <v>523</v>
      </c>
      <c r="BJ67">
        <v>181</v>
      </c>
      <c r="BK67" t="s">
        <v>2033</v>
      </c>
      <c r="BL67">
        <v>5</v>
      </c>
      <c r="CD67">
        <v>12</v>
      </c>
      <c r="CF67">
        <v>196</v>
      </c>
      <c r="CI67" t="s">
        <v>1946</v>
      </c>
      <c r="CT67">
        <v>5</v>
      </c>
    </row>
    <row r="68" spans="1:104" x14ac:dyDescent="0.25">
      <c r="A68" t="s">
        <v>576</v>
      </c>
      <c r="B68" t="s">
        <v>2034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245</v>
      </c>
      <c r="CJ68" t="s">
        <v>316</v>
      </c>
      <c r="CT68">
        <v>5</v>
      </c>
    </row>
    <row r="69" spans="1:104" x14ac:dyDescent="0.25">
      <c r="A69" t="s">
        <v>578</v>
      </c>
      <c r="B69" t="s">
        <v>2035</v>
      </c>
      <c r="AH69" s="1" t="s">
        <v>669</v>
      </c>
      <c r="AK69">
        <v>523</v>
      </c>
      <c r="AL69">
        <v>205</v>
      </c>
      <c r="AM69" t="s">
        <v>2032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1925</v>
      </c>
      <c r="CD69">
        <v>6</v>
      </c>
      <c r="CE69">
        <v>220</v>
      </c>
      <c r="CF69">
        <v>174</v>
      </c>
      <c r="CG69">
        <v>245</v>
      </c>
      <c r="CT69">
        <v>5</v>
      </c>
    </row>
    <row r="70" spans="1:104" x14ac:dyDescent="0.25">
      <c r="A70" t="s">
        <v>580</v>
      </c>
      <c r="B70" t="s">
        <v>2036</v>
      </c>
      <c r="AH70">
        <v>1</v>
      </c>
      <c r="AI70">
        <v>417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1927</v>
      </c>
      <c r="CD70">
        <v>24</v>
      </c>
      <c r="CE70">
        <v>498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2037</v>
      </c>
      <c r="AH71">
        <v>2</v>
      </c>
      <c r="AI71">
        <v>417</v>
      </c>
      <c r="AJ71">
        <v>30</v>
      </c>
      <c r="AK71">
        <v>90</v>
      </c>
      <c r="AM71" t="s">
        <v>1925</v>
      </c>
      <c r="BF71">
        <v>5</v>
      </c>
      <c r="BG71">
        <v>18</v>
      </c>
      <c r="BH71">
        <v>19</v>
      </c>
      <c r="BK71" t="s">
        <v>1930</v>
      </c>
      <c r="CT71">
        <v>5</v>
      </c>
    </row>
    <row r="72" spans="1:104" x14ac:dyDescent="0.25">
      <c r="A72" t="s">
        <v>200</v>
      </c>
      <c r="B72" t="s">
        <v>2038</v>
      </c>
      <c r="AH72">
        <v>14</v>
      </c>
      <c r="AI72">
        <v>8</v>
      </c>
      <c r="AJ72">
        <v>3</v>
      </c>
      <c r="AK72">
        <v>396</v>
      </c>
      <c r="AL72">
        <v>93</v>
      </c>
      <c r="AM72" t="s">
        <v>1927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2039</v>
      </c>
    </row>
    <row r="73" spans="1:104" x14ac:dyDescent="0.25">
      <c r="A73" t="s">
        <v>203</v>
      </c>
      <c r="B73" t="s">
        <v>2040</v>
      </c>
      <c r="AH73">
        <v>5</v>
      </c>
      <c r="AI73">
        <v>18</v>
      </c>
      <c r="AJ73">
        <v>19</v>
      </c>
      <c r="AM73" t="s">
        <v>1930</v>
      </c>
      <c r="BF73">
        <v>13</v>
      </c>
      <c r="BG73">
        <v>18</v>
      </c>
      <c r="BH73">
        <v>40</v>
      </c>
      <c r="BK73" t="s">
        <v>1947</v>
      </c>
      <c r="BL73" t="b">
        <v>0</v>
      </c>
      <c r="CT73">
        <v>8</v>
      </c>
      <c r="CU73">
        <v>186</v>
      </c>
      <c r="CV73">
        <v>109</v>
      </c>
      <c r="CW73">
        <v>87</v>
      </c>
      <c r="CZ73">
        <v>0</v>
      </c>
    </row>
    <row r="74" spans="1:104" x14ac:dyDescent="0.25">
      <c r="A74" t="s">
        <v>205</v>
      </c>
      <c r="B74" t="s">
        <v>2041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1928</v>
      </c>
      <c r="CD74" t="s">
        <v>441</v>
      </c>
      <c r="CT74">
        <v>5</v>
      </c>
      <c r="CU74">
        <v>24</v>
      </c>
      <c r="CV74">
        <v>134</v>
      </c>
      <c r="CY74" t="s">
        <v>2042</v>
      </c>
    </row>
    <row r="75" spans="1:104" x14ac:dyDescent="0.25">
      <c r="A75" t="s">
        <v>207</v>
      </c>
      <c r="B75" t="s">
        <v>2043</v>
      </c>
      <c r="AH75">
        <v>13</v>
      </c>
      <c r="AI75">
        <v>18</v>
      </c>
      <c r="AJ75">
        <v>41</v>
      </c>
      <c r="AM75" t="s">
        <v>1947</v>
      </c>
      <c r="AN75" t="b">
        <v>0</v>
      </c>
      <c r="BF75">
        <v>111</v>
      </c>
      <c r="BL75">
        <v>2</v>
      </c>
      <c r="CD75" s="1" t="s">
        <v>673</v>
      </c>
      <c r="CG75">
        <v>652</v>
      </c>
      <c r="CH75">
        <v>223</v>
      </c>
      <c r="CI75" t="s">
        <v>2044</v>
      </c>
      <c r="CJ75">
        <v>5</v>
      </c>
      <c r="CT75">
        <v>8</v>
      </c>
      <c r="CU75">
        <v>186</v>
      </c>
      <c r="CV75">
        <v>132</v>
      </c>
      <c r="CW75">
        <v>87</v>
      </c>
      <c r="CZ75">
        <v>1</v>
      </c>
    </row>
    <row r="76" spans="1:104" x14ac:dyDescent="0.25">
      <c r="A76" t="s">
        <v>210</v>
      </c>
      <c r="B76" t="s">
        <v>2029</v>
      </c>
      <c r="AH76">
        <v>5</v>
      </c>
      <c r="AI76">
        <v>18</v>
      </c>
      <c r="AJ76">
        <v>69</v>
      </c>
      <c r="AM76" t="s">
        <v>2045</v>
      </c>
      <c r="BF76">
        <v>12</v>
      </c>
      <c r="BG76">
        <v>18</v>
      </c>
      <c r="BH76">
        <v>86</v>
      </c>
      <c r="BK76" t="s">
        <v>1956</v>
      </c>
      <c r="CD76">
        <v>1</v>
      </c>
      <c r="CE76">
        <v>535</v>
      </c>
      <c r="CF76">
        <v>8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1941</v>
      </c>
      <c r="CD77">
        <v>2</v>
      </c>
      <c r="CE77">
        <v>535</v>
      </c>
      <c r="CF77">
        <v>31</v>
      </c>
      <c r="CG77">
        <v>90</v>
      </c>
      <c r="CI77" t="s">
        <v>1925</v>
      </c>
      <c r="CT77" t="s">
        <v>376</v>
      </c>
    </row>
    <row r="78" spans="1:104" x14ac:dyDescent="0.25">
      <c r="A78" t="s">
        <v>219</v>
      </c>
      <c r="B78" t="s">
        <v>1922</v>
      </c>
      <c r="AH78">
        <v>14</v>
      </c>
      <c r="AI78">
        <v>8</v>
      </c>
      <c r="AJ78">
        <v>96</v>
      </c>
      <c r="AK78">
        <v>396</v>
      </c>
      <c r="AL78">
        <v>105</v>
      </c>
      <c r="AM78" t="s">
        <v>1928</v>
      </c>
      <c r="BF78">
        <v>12</v>
      </c>
      <c r="BH78">
        <v>126</v>
      </c>
      <c r="BK78" t="s">
        <v>1946</v>
      </c>
      <c r="CD78">
        <v>14</v>
      </c>
      <c r="CE78">
        <v>8</v>
      </c>
      <c r="CF78">
        <v>3</v>
      </c>
      <c r="CG78">
        <v>504</v>
      </c>
      <c r="CH78">
        <v>128</v>
      </c>
      <c r="CI78" t="s">
        <v>1927</v>
      </c>
      <c r="CT78">
        <v>5</v>
      </c>
      <c r="CZ78" t="s">
        <v>376</v>
      </c>
    </row>
    <row r="79" spans="1:104" x14ac:dyDescent="0.25">
      <c r="A79" t="s">
        <v>220</v>
      </c>
      <c r="B79" t="s">
        <v>2013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1932</v>
      </c>
      <c r="CT79">
        <v>5</v>
      </c>
    </row>
    <row r="80" spans="1:104" x14ac:dyDescent="0.25">
      <c r="A80" t="s">
        <v>221</v>
      </c>
      <c r="B80" t="s">
        <v>1982</v>
      </c>
      <c r="AH80">
        <v>5</v>
      </c>
      <c r="AI80">
        <v>18</v>
      </c>
      <c r="AJ80">
        <v>112</v>
      </c>
      <c r="AM80" t="s">
        <v>1956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277</v>
      </c>
      <c r="CT80">
        <v>5</v>
      </c>
    </row>
    <row r="81" spans="1:104" x14ac:dyDescent="0.25">
      <c r="A81" t="s">
        <v>604</v>
      </c>
      <c r="B81" t="s">
        <v>2044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2046</v>
      </c>
      <c r="BL81" t="b">
        <v>0</v>
      </c>
      <c r="CD81">
        <v>5</v>
      </c>
      <c r="CE81">
        <v>17</v>
      </c>
      <c r="CF81">
        <v>41</v>
      </c>
      <c r="CI81" t="s">
        <v>1939</v>
      </c>
      <c r="CT81">
        <v>5</v>
      </c>
    </row>
    <row r="82" spans="1:104" x14ac:dyDescent="0.25">
      <c r="A82" t="s">
        <v>606</v>
      </c>
      <c r="B82" t="s">
        <v>2047</v>
      </c>
      <c r="AH82">
        <v>205</v>
      </c>
      <c r="AI82">
        <v>18</v>
      </c>
      <c r="AJ82">
        <v>132</v>
      </c>
      <c r="AM82" t="s">
        <v>1941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277</v>
      </c>
      <c r="CT82">
        <v>5</v>
      </c>
    </row>
    <row r="83" spans="1:104" x14ac:dyDescent="0.25">
      <c r="A83" t="s">
        <v>608</v>
      </c>
      <c r="B83" t="s">
        <v>2048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1995</v>
      </c>
      <c r="CT83">
        <v>5</v>
      </c>
    </row>
    <row r="84" spans="1:104" x14ac:dyDescent="0.25">
      <c r="A84" t="s">
        <v>303</v>
      </c>
      <c r="B84" t="s">
        <v>2049</v>
      </c>
      <c r="AH84">
        <v>205</v>
      </c>
      <c r="AI84">
        <v>18</v>
      </c>
      <c r="AJ84">
        <v>152</v>
      </c>
      <c r="AM84" t="s">
        <v>1946</v>
      </c>
      <c r="CD84">
        <v>8</v>
      </c>
      <c r="CE84">
        <v>307</v>
      </c>
      <c r="CF84">
        <v>66</v>
      </c>
      <c r="CG84">
        <v>188</v>
      </c>
      <c r="CT84">
        <v>5</v>
      </c>
    </row>
    <row r="85" spans="1:104" x14ac:dyDescent="0.25">
      <c r="A85" t="s">
        <v>467</v>
      </c>
      <c r="B85" t="s">
        <v>2050</v>
      </c>
      <c r="AH85">
        <v>13</v>
      </c>
      <c r="AI85">
        <v>18</v>
      </c>
      <c r="AJ85">
        <v>175</v>
      </c>
      <c r="AM85" t="s">
        <v>1965</v>
      </c>
      <c r="AN85" t="b">
        <v>0</v>
      </c>
      <c r="CD85">
        <v>13</v>
      </c>
      <c r="CE85">
        <v>18</v>
      </c>
      <c r="CF85">
        <v>87</v>
      </c>
      <c r="CI85" t="s">
        <v>1940</v>
      </c>
      <c r="CJ85" t="b">
        <v>0</v>
      </c>
      <c r="CT85">
        <v>5</v>
      </c>
    </row>
    <row r="86" spans="1:104" x14ac:dyDescent="0.25">
      <c r="A86" t="s">
        <v>228</v>
      </c>
      <c r="B86" t="s">
        <v>2051</v>
      </c>
      <c r="AH86">
        <v>13</v>
      </c>
      <c r="AI86">
        <v>222</v>
      </c>
      <c r="AJ86">
        <v>175</v>
      </c>
      <c r="AM86" t="s">
        <v>1967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1951</v>
      </c>
      <c r="CT86">
        <v>5</v>
      </c>
    </row>
    <row r="87" spans="1:104" x14ac:dyDescent="0.25">
      <c r="A87" t="s">
        <v>231</v>
      </c>
      <c r="B87" t="s">
        <v>2052</v>
      </c>
      <c r="AH87">
        <v>24</v>
      </c>
      <c r="AI87">
        <v>417</v>
      </c>
      <c r="AJ87">
        <v>57</v>
      </c>
      <c r="AK87">
        <v>90</v>
      </c>
      <c r="BF87" s="1" t="s">
        <v>668</v>
      </c>
      <c r="BI87">
        <v>537</v>
      </c>
      <c r="BJ87">
        <v>241</v>
      </c>
      <c r="BK87" t="s">
        <v>2038</v>
      </c>
      <c r="BL87">
        <v>5</v>
      </c>
      <c r="CD87">
        <v>8</v>
      </c>
      <c r="CE87">
        <v>73</v>
      </c>
      <c r="CF87">
        <v>105</v>
      </c>
      <c r="CG87">
        <v>69</v>
      </c>
      <c r="CJ87">
        <v>0.05</v>
      </c>
      <c r="CT87">
        <v>5</v>
      </c>
    </row>
    <row r="88" spans="1:104" x14ac:dyDescent="0.25">
      <c r="A88" t="s">
        <v>616</v>
      </c>
      <c r="B88" t="s">
        <v>2053</v>
      </c>
      <c r="BF88">
        <v>1</v>
      </c>
      <c r="BG88">
        <v>433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504</v>
      </c>
      <c r="CH88">
        <v>81</v>
      </c>
      <c r="CI88" t="s">
        <v>1928</v>
      </c>
      <c r="CT88">
        <v>5</v>
      </c>
      <c r="CU88">
        <v>26</v>
      </c>
      <c r="CV88">
        <v>108</v>
      </c>
      <c r="CY88" t="s">
        <v>2054</v>
      </c>
    </row>
    <row r="89" spans="1:104" x14ac:dyDescent="0.25">
      <c r="A89" t="s">
        <v>299</v>
      </c>
      <c r="B89" t="s">
        <v>2055</v>
      </c>
      <c r="BF89">
        <v>2</v>
      </c>
      <c r="BG89">
        <v>433</v>
      </c>
      <c r="BH89">
        <v>30</v>
      </c>
      <c r="BI89">
        <v>90</v>
      </c>
      <c r="BK89" t="s">
        <v>1925</v>
      </c>
      <c r="CD89">
        <v>111</v>
      </c>
      <c r="CJ89">
        <v>2</v>
      </c>
      <c r="CT89">
        <v>8</v>
      </c>
      <c r="CU89">
        <v>220</v>
      </c>
      <c r="CV89">
        <v>106</v>
      </c>
      <c r="CW89">
        <v>87</v>
      </c>
    </row>
    <row r="90" spans="1:104" x14ac:dyDescent="0.25">
      <c r="A90" t="s">
        <v>235</v>
      </c>
      <c r="B90" t="s">
        <v>2056</v>
      </c>
      <c r="BF90">
        <v>14</v>
      </c>
      <c r="BG90">
        <v>8</v>
      </c>
      <c r="BH90">
        <v>3</v>
      </c>
      <c r="BI90">
        <v>410</v>
      </c>
      <c r="BJ90">
        <v>86</v>
      </c>
      <c r="BK90" t="s">
        <v>1927</v>
      </c>
      <c r="CD90">
        <v>12</v>
      </c>
      <c r="CE90">
        <v>17</v>
      </c>
      <c r="CF90">
        <v>152</v>
      </c>
      <c r="CI90" t="s">
        <v>1956</v>
      </c>
    </row>
    <row r="91" spans="1:104" x14ac:dyDescent="0.25">
      <c r="A91" t="s">
        <v>237</v>
      </c>
      <c r="B91" t="s">
        <v>2057</v>
      </c>
      <c r="BF91">
        <v>5</v>
      </c>
      <c r="BG91">
        <v>18</v>
      </c>
      <c r="BH91">
        <v>19</v>
      </c>
      <c r="BK91" t="s">
        <v>1930</v>
      </c>
      <c r="CD91">
        <v>12</v>
      </c>
      <c r="CF91">
        <v>172</v>
      </c>
      <c r="CI91" t="s">
        <v>1941</v>
      </c>
      <c r="CT91" t="s">
        <v>379</v>
      </c>
    </row>
    <row r="92" spans="1:104" x14ac:dyDescent="0.25">
      <c r="A92" t="s">
        <v>239</v>
      </c>
      <c r="B92" t="s">
        <v>2058</v>
      </c>
      <c r="BF92">
        <v>10</v>
      </c>
      <c r="BG92">
        <v>246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1946</v>
      </c>
      <c r="CT92">
        <v>5</v>
      </c>
      <c r="CZ92" t="s">
        <v>379</v>
      </c>
    </row>
    <row r="93" spans="1:104" x14ac:dyDescent="0.25">
      <c r="A93" t="s">
        <v>485</v>
      </c>
      <c r="B93" t="s">
        <v>2059</v>
      </c>
      <c r="BF93">
        <v>5</v>
      </c>
      <c r="BG93">
        <v>18</v>
      </c>
      <c r="BH93">
        <v>43</v>
      </c>
      <c r="BK93" t="s">
        <v>2060</v>
      </c>
      <c r="CD93">
        <v>210</v>
      </c>
      <c r="CE93">
        <v>220</v>
      </c>
      <c r="CF93">
        <v>150</v>
      </c>
      <c r="CG93">
        <v>276</v>
      </c>
      <c r="CT93">
        <v>5</v>
      </c>
    </row>
    <row r="94" spans="1:104" x14ac:dyDescent="0.25">
      <c r="A94" t="s">
        <v>242</v>
      </c>
      <c r="B94" t="s">
        <v>2061</v>
      </c>
      <c r="BF94">
        <v>10</v>
      </c>
      <c r="BG94">
        <v>246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276</v>
      </c>
      <c r="CT94">
        <v>5</v>
      </c>
    </row>
    <row r="95" spans="1:104" x14ac:dyDescent="0.25">
      <c r="A95" t="s">
        <v>244</v>
      </c>
      <c r="B95" t="s">
        <v>2062</v>
      </c>
      <c r="BF95">
        <v>13</v>
      </c>
      <c r="BG95">
        <v>18</v>
      </c>
      <c r="BH95">
        <v>66</v>
      </c>
      <c r="BK95" t="s">
        <v>1940</v>
      </c>
      <c r="BL95" t="b">
        <v>0</v>
      </c>
      <c r="CD95">
        <v>24</v>
      </c>
      <c r="CE95">
        <v>535</v>
      </c>
      <c r="CF95">
        <v>58</v>
      </c>
      <c r="CG95">
        <v>90</v>
      </c>
      <c r="CT95">
        <v>5</v>
      </c>
    </row>
    <row r="96" spans="1:104" x14ac:dyDescent="0.25">
      <c r="A96" t="s">
        <v>246</v>
      </c>
      <c r="B96" t="s">
        <v>2063</v>
      </c>
      <c r="BF96">
        <v>14</v>
      </c>
      <c r="BG96">
        <v>8</v>
      </c>
      <c r="BH96">
        <v>96</v>
      </c>
      <c r="BI96">
        <v>410</v>
      </c>
      <c r="BJ96">
        <v>135</v>
      </c>
      <c r="BK96" t="s">
        <v>1928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2064</v>
      </c>
      <c r="BF98">
        <v>12</v>
      </c>
      <c r="BG98">
        <v>18</v>
      </c>
      <c r="BH98">
        <v>112</v>
      </c>
      <c r="BK98" t="s">
        <v>1956</v>
      </c>
      <c r="CT98">
        <v>5</v>
      </c>
    </row>
    <row r="99" spans="1:104" x14ac:dyDescent="0.25">
      <c r="A99" t="s">
        <v>252</v>
      </c>
      <c r="B99" t="s">
        <v>2065</v>
      </c>
      <c r="BF99">
        <v>12</v>
      </c>
      <c r="BH99">
        <v>132</v>
      </c>
      <c r="BK99" t="s">
        <v>1941</v>
      </c>
      <c r="CD99" t="s">
        <v>357</v>
      </c>
      <c r="CT99">
        <v>5</v>
      </c>
    </row>
    <row r="100" spans="1:104" x14ac:dyDescent="0.25">
      <c r="A100" t="s">
        <v>511</v>
      </c>
      <c r="B100" t="s">
        <v>2066</v>
      </c>
      <c r="BF100">
        <v>12</v>
      </c>
      <c r="BH100">
        <v>152</v>
      </c>
      <c r="BK100" t="s">
        <v>1946</v>
      </c>
      <c r="CD100" s="1" t="s">
        <v>674</v>
      </c>
      <c r="CG100">
        <v>599</v>
      </c>
      <c r="CH100">
        <v>281</v>
      </c>
      <c r="CI100" t="s">
        <v>2062</v>
      </c>
      <c r="CJ100">
        <v>5</v>
      </c>
      <c r="CT100">
        <v>5</v>
      </c>
      <c r="CU100">
        <v>23</v>
      </c>
      <c r="CV100">
        <v>131</v>
      </c>
      <c r="CY100" t="s">
        <v>2067</v>
      </c>
    </row>
    <row r="101" spans="1:104" x14ac:dyDescent="0.25">
      <c r="A101" t="s">
        <v>513</v>
      </c>
      <c r="B101" t="s">
        <v>2068</v>
      </c>
      <c r="BF101">
        <v>210</v>
      </c>
      <c r="BG101">
        <v>246</v>
      </c>
      <c r="BH101">
        <v>110</v>
      </c>
      <c r="BI101">
        <v>160</v>
      </c>
      <c r="BL101" t="s">
        <v>316</v>
      </c>
      <c r="CD101">
        <v>1</v>
      </c>
      <c r="CE101">
        <v>497</v>
      </c>
      <c r="CF101">
        <v>7</v>
      </c>
      <c r="CG101">
        <v>90</v>
      </c>
      <c r="CI101" t="s">
        <v>390</v>
      </c>
      <c r="CT101">
        <v>7</v>
      </c>
      <c r="CU101">
        <v>220</v>
      </c>
      <c r="CV101">
        <v>128</v>
      </c>
      <c r="CW101">
        <v>60</v>
      </c>
    </row>
    <row r="102" spans="1:104" x14ac:dyDescent="0.25">
      <c r="A102" t="s">
        <v>515</v>
      </c>
      <c r="B102" t="s">
        <v>2069</v>
      </c>
      <c r="BF102">
        <v>6</v>
      </c>
      <c r="BG102">
        <v>246</v>
      </c>
      <c r="BH102">
        <v>130</v>
      </c>
      <c r="BI102">
        <v>160</v>
      </c>
      <c r="CD102">
        <v>2</v>
      </c>
      <c r="CE102">
        <v>497</v>
      </c>
      <c r="CF102">
        <v>30</v>
      </c>
      <c r="CG102">
        <v>90</v>
      </c>
      <c r="CI102" t="s">
        <v>1925</v>
      </c>
      <c r="CT102">
        <v>5</v>
      </c>
      <c r="CU102">
        <v>25</v>
      </c>
      <c r="CV102">
        <v>108</v>
      </c>
      <c r="CY102" t="s">
        <v>2070</v>
      </c>
    </row>
    <row r="103" spans="1:104" x14ac:dyDescent="0.25">
      <c r="A103" t="s">
        <v>516</v>
      </c>
      <c r="B103" t="s">
        <v>2071</v>
      </c>
      <c r="BF103">
        <v>13</v>
      </c>
      <c r="BG103">
        <v>18</v>
      </c>
      <c r="BH103">
        <v>174</v>
      </c>
      <c r="BK103" t="s">
        <v>2072</v>
      </c>
      <c r="BL103" t="b">
        <v>0</v>
      </c>
      <c r="CD103">
        <v>14</v>
      </c>
      <c r="CE103">
        <v>8</v>
      </c>
      <c r="CF103">
        <v>3</v>
      </c>
      <c r="CG103">
        <v>478</v>
      </c>
      <c r="CH103">
        <v>186</v>
      </c>
      <c r="CI103" t="s">
        <v>1927</v>
      </c>
      <c r="CT103">
        <v>8</v>
      </c>
      <c r="CU103">
        <v>220</v>
      </c>
      <c r="CV103">
        <v>105</v>
      </c>
      <c r="CW103">
        <v>60</v>
      </c>
    </row>
    <row r="104" spans="1:104" x14ac:dyDescent="0.25">
      <c r="A104" t="s">
        <v>519</v>
      </c>
      <c r="B104" t="s">
        <v>2073</v>
      </c>
      <c r="BF104">
        <v>13</v>
      </c>
      <c r="BK104" t="s">
        <v>2074</v>
      </c>
      <c r="BL104" t="b">
        <v>0</v>
      </c>
      <c r="CD104">
        <v>5</v>
      </c>
      <c r="CE104">
        <v>17</v>
      </c>
      <c r="CF104">
        <v>18</v>
      </c>
      <c r="CI104" t="s">
        <v>1932</v>
      </c>
    </row>
    <row r="105" spans="1:104" x14ac:dyDescent="0.25">
      <c r="A105" t="s">
        <v>534</v>
      </c>
      <c r="B105" t="s">
        <v>2075</v>
      </c>
      <c r="BF105">
        <v>13</v>
      </c>
      <c r="BK105" t="s">
        <v>1965</v>
      </c>
      <c r="BL105" t="b">
        <v>0</v>
      </c>
      <c r="CD105">
        <v>10</v>
      </c>
      <c r="CE105">
        <v>222</v>
      </c>
      <c r="CF105">
        <v>16</v>
      </c>
      <c r="CG105">
        <v>252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2076</v>
      </c>
      <c r="BF106">
        <v>24</v>
      </c>
      <c r="BG106">
        <v>433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1939</v>
      </c>
      <c r="CT106">
        <v>5</v>
      </c>
      <c r="CZ106" t="s">
        <v>382</v>
      </c>
    </row>
    <row r="107" spans="1:104" x14ac:dyDescent="0.25">
      <c r="A107" t="s">
        <v>538</v>
      </c>
      <c r="B107" t="s">
        <v>2077</v>
      </c>
      <c r="CD107">
        <v>10</v>
      </c>
      <c r="CE107">
        <v>222</v>
      </c>
      <c r="CF107">
        <v>39</v>
      </c>
      <c r="CG107">
        <v>252</v>
      </c>
      <c r="CJ107" t="s">
        <v>316</v>
      </c>
      <c r="CT107">
        <v>5</v>
      </c>
    </row>
    <row r="108" spans="1:104" x14ac:dyDescent="0.25">
      <c r="A108" t="s">
        <v>259</v>
      </c>
      <c r="B108" t="s">
        <v>2078</v>
      </c>
      <c r="CD108">
        <v>5</v>
      </c>
      <c r="CE108">
        <v>17</v>
      </c>
      <c r="CF108">
        <v>68</v>
      </c>
      <c r="CI108" t="s">
        <v>1995</v>
      </c>
      <c r="CT108">
        <v>5</v>
      </c>
    </row>
    <row r="109" spans="1:104" x14ac:dyDescent="0.25">
      <c r="A109" t="s">
        <v>60</v>
      </c>
      <c r="B109" t="s">
        <v>2079</v>
      </c>
      <c r="CD109">
        <v>8</v>
      </c>
      <c r="CE109">
        <v>313</v>
      </c>
      <c r="CF109">
        <v>66</v>
      </c>
      <c r="CG109">
        <v>161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17</v>
      </c>
      <c r="CF110">
        <v>95</v>
      </c>
      <c r="CI110" t="s">
        <v>2080</v>
      </c>
      <c r="CT110">
        <v>5</v>
      </c>
    </row>
    <row r="111" spans="1:104" x14ac:dyDescent="0.25">
      <c r="A111" t="s">
        <v>434</v>
      </c>
      <c r="B111" t="s">
        <v>2081</v>
      </c>
      <c r="CD111">
        <v>8</v>
      </c>
      <c r="CE111">
        <v>313</v>
      </c>
      <c r="CF111">
        <v>93</v>
      </c>
      <c r="CG111">
        <v>161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2082</v>
      </c>
      <c r="CT112">
        <v>5</v>
      </c>
    </row>
    <row r="113" spans="1:104" x14ac:dyDescent="0.25">
      <c r="A113" t="s">
        <v>539</v>
      </c>
      <c r="B113" t="s">
        <v>2083</v>
      </c>
      <c r="CD113">
        <v>8</v>
      </c>
      <c r="CE113">
        <v>313</v>
      </c>
      <c r="CF113">
        <v>117</v>
      </c>
      <c r="CG113">
        <v>161</v>
      </c>
      <c r="CT113">
        <v>5</v>
      </c>
    </row>
    <row r="114" spans="1:104" x14ac:dyDescent="0.25">
      <c r="A114" t="s">
        <v>541</v>
      </c>
      <c r="B114" t="s">
        <v>2084</v>
      </c>
      <c r="CD114">
        <v>13</v>
      </c>
      <c r="CE114">
        <v>17</v>
      </c>
      <c r="CF114">
        <v>143</v>
      </c>
      <c r="CI114" t="s">
        <v>1940</v>
      </c>
      <c r="CJ114" t="b">
        <v>0</v>
      </c>
      <c r="CT114">
        <v>5</v>
      </c>
    </row>
    <row r="115" spans="1:104" x14ac:dyDescent="0.25">
      <c r="A115" t="s">
        <v>543</v>
      </c>
      <c r="B115" t="s">
        <v>1918</v>
      </c>
      <c r="CD115">
        <v>5</v>
      </c>
      <c r="CE115">
        <v>17</v>
      </c>
      <c r="CF115">
        <v>168</v>
      </c>
      <c r="CI115" t="s">
        <v>1951</v>
      </c>
      <c r="CT115">
        <v>5</v>
      </c>
    </row>
    <row r="116" spans="1:104" x14ac:dyDescent="0.25">
      <c r="A116" t="s">
        <v>544</v>
      </c>
      <c r="B116" t="s">
        <v>2085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2086</v>
      </c>
    </row>
    <row r="117" spans="1:104" x14ac:dyDescent="0.25">
      <c r="A117" t="s">
        <v>547</v>
      </c>
      <c r="B117" t="s">
        <v>2047</v>
      </c>
      <c r="CD117">
        <v>14</v>
      </c>
      <c r="CE117">
        <v>8</v>
      </c>
      <c r="CF117">
        <v>195</v>
      </c>
      <c r="CG117">
        <v>478</v>
      </c>
      <c r="CH117">
        <v>81</v>
      </c>
      <c r="CI117" t="s">
        <v>1928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2087</v>
      </c>
      <c r="CD118">
        <v>111</v>
      </c>
      <c r="CJ118">
        <v>2</v>
      </c>
    </row>
    <row r="119" spans="1:104" x14ac:dyDescent="0.25">
      <c r="A119" t="s">
        <v>562</v>
      </c>
      <c r="B119" t="s">
        <v>2088</v>
      </c>
      <c r="CD119">
        <v>12</v>
      </c>
      <c r="CE119">
        <v>17</v>
      </c>
      <c r="CF119">
        <v>211</v>
      </c>
      <c r="CI119" t="s">
        <v>1956</v>
      </c>
      <c r="CT119" t="s">
        <v>332</v>
      </c>
    </row>
    <row r="120" spans="1:104" x14ac:dyDescent="0.25">
      <c r="A120" t="s">
        <v>366</v>
      </c>
      <c r="B120" t="s">
        <v>2089</v>
      </c>
      <c r="CD120">
        <v>12</v>
      </c>
      <c r="CF120">
        <v>231</v>
      </c>
      <c r="CI120" t="s">
        <v>1941</v>
      </c>
      <c r="CT120">
        <v>5</v>
      </c>
      <c r="CZ120" t="s">
        <v>332</v>
      </c>
    </row>
    <row r="121" spans="1:104" x14ac:dyDescent="0.25">
      <c r="A121" t="s">
        <v>368</v>
      </c>
      <c r="B121" t="s">
        <v>2090</v>
      </c>
      <c r="CD121">
        <v>12</v>
      </c>
      <c r="CF121">
        <v>251</v>
      </c>
      <c r="CI121" t="s">
        <v>1946</v>
      </c>
      <c r="CT121">
        <v>5</v>
      </c>
    </row>
    <row r="122" spans="1:104" x14ac:dyDescent="0.25">
      <c r="A122" t="s">
        <v>370</v>
      </c>
      <c r="B122" t="s">
        <v>2091</v>
      </c>
      <c r="CD122">
        <v>210</v>
      </c>
      <c r="CE122">
        <v>222</v>
      </c>
      <c r="CF122">
        <v>209</v>
      </c>
      <c r="CG122">
        <v>250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250</v>
      </c>
      <c r="CT123">
        <v>5</v>
      </c>
    </row>
    <row r="124" spans="1:104" x14ac:dyDescent="0.25">
      <c r="A124" t="s">
        <v>294</v>
      </c>
      <c r="B124" t="s">
        <v>2092</v>
      </c>
      <c r="CD124">
        <v>24</v>
      </c>
      <c r="CE124">
        <v>497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2093</v>
      </c>
      <c r="CT125">
        <v>5</v>
      </c>
    </row>
    <row r="126" spans="1:104" x14ac:dyDescent="0.25">
      <c r="A126" t="s">
        <v>590</v>
      </c>
      <c r="B126" t="s">
        <v>2094</v>
      </c>
      <c r="CT126">
        <v>5</v>
      </c>
    </row>
    <row r="127" spans="1:104" x14ac:dyDescent="0.25">
      <c r="A127" t="s">
        <v>592</v>
      </c>
      <c r="B127" t="s">
        <v>2095</v>
      </c>
      <c r="CT127">
        <v>5</v>
      </c>
    </row>
    <row r="128" spans="1:104" x14ac:dyDescent="0.25">
      <c r="A128" t="s">
        <v>594</v>
      </c>
      <c r="B128" t="s">
        <v>2096</v>
      </c>
      <c r="CT128">
        <v>5</v>
      </c>
    </row>
    <row r="129" spans="1:104" x14ac:dyDescent="0.25">
      <c r="A129" t="s">
        <v>596</v>
      </c>
      <c r="B129" t="s">
        <v>2097</v>
      </c>
      <c r="CT129">
        <v>5</v>
      </c>
    </row>
    <row r="130" spans="1:104" x14ac:dyDescent="0.25">
      <c r="A130" t="s">
        <v>277</v>
      </c>
      <c r="B130" t="s">
        <v>2098</v>
      </c>
      <c r="CT130">
        <v>5</v>
      </c>
      <c r="CU130">
        <v>23</v>
      </c>
      <c r="CV130">
        <v>107</v>
      </c>
      <c r="CY130" t="s">
        <v>1972</v>
      </c>
    </row>
    <row r="131" spans="1:104" x14ac:dyDescent="0.25">
      <c r="A131" t="s">
        <v>279</v>
      </c>
      <c r="B131" t="s">
        <v>2099</v>
      </c>
      <c r="CT131">
        <v>10</v>
      </c>
      <c r="CU131">
        <v>21</v>
      </c>
      <c r="CV131">
        <v>123</v>
      </c>
      <c r="CW131">
        <v>381</v>
      </c>
      <c r="CZ131" t="s">
        <v>316</v>
      </c>
    </row>
    <row r="132" spans="1:104" x14ac:dyDescent="0.25">
      <c r="A132" t="s">
        <v>281</v>
      </c>
      <c r="B132" t="s">
        <v>2100</v>
      </c>
    </row>
    <row r="133" spans="1:104" x14ac:dyDescent="0.25">
      <c r="A133" t="s">
        <v>283</v>
      </c>
      <c r="B133" t="s">
        <v>2101</v>
      </c>
    </row>
    <row r="134" spans="1:104" x14ac:dyDescent="0.25">
      <c r="A134" t="s">
        <v>285</v>
      </c>
      <c r="B134" t="s">
        <v>2102</v>
      </c>
      <c r="CT134" t="s">
        <v>287</v>
      </c>
    </row>
    <row r="135" spans="1:104" x14ac:dyDescent="0.25">
      <c r="A135" t="s">
        <v>288</v>
      </c>
      <c r="B135" t="s">
        <v>2103</v>
      </c>
      <c r="CT135" t="s">
        <v>507</v>
      </c>
    </row>
    <row r="136" spans="1:104" x14ac:dyDescent="0.25">
      <c r="A136" t="s">
        <v>290</v>
      </c>
      <c r="B136" t="s">
        <v>2104</v>
      </c>
      <c r="CT136" t="str">
        <f>mg01s.RandUniform</f>
        <v>Ομοιόμορφη</v>
      </c>
      <c r="CU136" t="s">
        <v>551</v>
      </c>
    </row>
    <row r="137" spans="1:104" x14ac:dyDescent="0.25">
      <c r="A137" t="s">
        <v>292</v>
      </c>
      <c r="B137" t="s">
        <v>2105</v>
      </c>
      <c r="CT137" t="str">
        <f>mg01s.RandNormal</f>
        <v>Κανονική</v>
      </c>
      <c r="CU137" t="s">
        <v>554</v>
      </c>
    </row>
    <row r="138" spans="1:104" x14ac:dyDescent="0.25">
      <c r="A138" t="s">
        <v>609</v>
      </c>
      <c r="B138" t="s">
        <v>2106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2107</v>
      </c>
      <c r="CT139" t="str">
        <f>mg01s.RandBinomial</f>
        <v>Διωνυμική</v>
      </c>
      <c r="CU139" t="s">
        <v>379</v>
      </c>
    </row>
    <row r="140" spans="1:104" x14ac:dyDescent="0.25">
      <c r="A140" t="s">
        <v>613</v>
      </c>
      <c r="B140" t="s">
        <v>2108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2109</v>
      </c>
      <c r="CT141" t="str">
        <f>mg01s.RandPatterned</f>
        <v>Με υπόδειγμα</v>
      </c>
      <c r="CU141" t="s">
        <v>599</v>
      </c>
    </row>
    <row r="142" spans="1:104" x14ac:dyDescent="0.25">
      <c r="A142" t="s">
        <v>92</v>
      </c>
      <c r="B142" t="s">
        <v>1923</v>
      </c>
      <c r="CT142" t="str">
        <f>mg01s.RandDiscrete</f>
        <v>Διακριτή</v>
      </c>
      <c r="CU142" t="s">
        <v>332</v>
      </c>
    </row>
    <row r="143" spans="1:104" x14ac:dyDescent="0.25">
      <c r="A143" t="s">
        <v>304</v>
      </c>
      <c r="B143" t="s">
        <v>2110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2111</v>
      </c>
    </row>
    <row r="147" spans="1:2" x14ac:dyDescent="0.25">
      <c r="A147" t="s">
        <v>313</v>
      </c>
      <c r="B147" t="s">
        <v>2112</v>
      </c>
    </row>
    <row r="148" spans="1:2" x14ac:dyDescent="0.25">
      <c r="A148" t="s">
        <v>102</v>
      </c>
      <c r="B148" t="s">
        <v>2113</v>
      </c>
    </row>
    <row r="149" spans="1:2" x14ac:dyDescent="0.25">
      <c r="A149" t="s">
        <v>319</v>
      </c>
      <c r="B149" t="s">
        <v>2114</v>
      </c>
    </row>
    <row r="150" spans="1:2" x14ac:dyDescent="0.25">
      <c r="A150" t="s">
        <v>105</v>
      </c>
      <c r="B150" t="s">
        <v>2115</v>
      </c>
    </row>
    <row r="151" spans="1:2" x14ac:dyDescent="0.25">
      <c r="A151" t="s">
        <v>323</v>
      </c>
      <c r="B151" t="s">
        <v>2116</v>
      </c>
    </row>
    <row r="152" spans="1:2" x14ac:dyDescent="0.25">
      <c r="A152" t="s">
        <v>108</v>
      </c>
      <c r="B152" t="s">
        <v>2117</v>
      </c>
    </row>
    <row r="153" spans="1:2" x14ac:dyDescent="0.25">
      <c r="A153" t="s">
        <v>110</v>
      </c>
      <c r="B153" t="s">
        <v>2118</v>
      </c>
    </row>
    <row r="154" spans="1:2" x14ac:dyDescent="0.25">
      <c r="A154" t="s">
        <v>112</v>
      </c>
      <c r="B154" t="s">
        <v>2119</v>
      </c>
    </row>
    <row r="155" spans="1:2" x14ac:dyDescent="0.25">
      <c r="A155" t="s">
        <v>336</v>
      </c>
      <c r="B155" t="s">
        <v>2120</v>
      </c>
    </row>
    <row r="156" spans="1:2" x14ac:dyDescent="0.25">
      <c r="A156" t="s">
        <v>120</v>
      </c>
      <c r="B156" t="s">
        <v>2121</v>
      </c>
    </row>
    <row r="157" spans="1:2" x14ac:dyDescent="0.25">
      <c r="A157" t="s">
        <v>349</v>
      </c>
      <c r="B157" t="s">
        <v>2122</v>
      </c>
    </row>
    <row r="158" spans="1:2" x14ac:dyDescent="0.25">
      <c r="A158" t="s">
        <v>350</v>
      </c>
      <c r="B158" t="s">
        <v>2123</v>
      </c>
    </row>
    <row r="159" spans="1:2" x14ac:dyDescent="0.25">
      <c r="A159" t="s">
        <v>438</v>
      </c>
      <c r="B159" t="s">
        <v>2124</v>
      </c>
    </row>
    <row r="160" spans="1:2" x14ac:dyDescent="0.25">
      <c r="A160" t="s">
        <v>353</v>
      </c>
      <c r="B160" t="s">
        <v>2125</v>
      </c>
    </row>
    <row r="161" spans="1:2" x14ac:dyDescent="0.25">
      <c r="A161" t="s">
        <v>355</v>
      </c>
      <c r="B161" t="s">
        <v>2126</v>
      </c>
    </row>
    <row r="162" spans="1:2" x14ac:dyDescent="0.25">
      <c r="A162" t="s">
        <v>129</v>
      </c>
      <c r="B162" t="s">
        <v>2127</v>
      </c>
    </row>
    <row r="163" spans="1:2" x14ac:dyDescent="0.25">
      <c r="A163" t="s">
        <v>363</v>
      </c>
      <c r="B163" t="s">
        <v>2128</v>
      </c>
    </row>
    <row r="164" spans="1:2" x14ac:dyDescent="0.25">
      <c r="A164" t="s">
        <v>365</v>
      </c>
      <c r="B164" t="s">
        <v>2129</v>
      </c>
    </row>
    <row r="165" spans="1:2" x14ac:dyDescent="0.25">
      <c r="A165" t="s">
        <v>374</v>
      </c>
      <c r="B165" t="s">
        <v>2130</v>
      </c>
    </row>
    <row r="166" spans="1:2" x14ac:dyDescent="0.25">
      <c r="A166" t="s">
        <v>135</v>
      </c>
      <c r="B166" t="s">
        <v>2131</v>
      </c>
    </row>
    <row r="167" spans="1:2" x14ac:dyDescent="0.25">
      <c r="A167" t="s">
        <v>137</v>
      </c>
      <c r="B167" t="s">
        <v>2132</v>
      </c>
    </row>
    <row r="168" spans="1:2" x14ac:dyDescent="0.25">
      <c r="A168" t="s">
        <v>139</v>
      </c>
      <c r="B168" t="s">
        <v>2133</v>
      </c>
    </row>
    <row r="169" spans="1:2" x14ac:dyDescent="0.25">
      <c r="A169" t="s">
        <v>384</v>
      </c>
      <c r="B169" t="s">
        <v>2134</v>
      </c>
    </row>
    <row r="170" spans="1:2" x14ac:dyDescent="0.25">
      <c r="A170" t="s">
        <v>462</v>
      </c>
      <c r="B170" t="s">
        <v>2135</v>
      </c>
    </row>
    <row r="171" spans="1:2" x14ac:dyDescent="0.25">
      <c r="A171" t="s">
        <v>464</v>
      </c>
      <c r="B171" t="s">
        <v>2136</v>
      </c>
    </row>
    <row r="172" spans="1:2" x14ac:dyDescent="0.25">
      <c r="A172" t="s">
        <v>388</v>
      </c>
      <c r="B172" t="s">
        <v>2137</v>
      </c>
    </row>
    <row r="173" spans="1:2" x14ac:dyDescent="0.25">
      <c r="A173" t="s">
        <v>147</v>
      </c>
      <c r="B173" t="s">
        <v>2138</v>
      </c>
    </row>
    <row r="174" spans="1:2" x14ac:dyDescent="0.25">
      <c r="A174" t="s">
        <v>385</v>
      </c>
      <c r="B174" t="s">
        <v>2139</v>
      </c>
    </row>
    <row r="175" spans="1:2" x14ac:dyDescent="0.25">
      <c r="A175" t="s">
        <v>151</v>
      </c>
      <c r="B175" t="s">
        <v>2140</v>
      </c>
    </row>
    <row r="176" spans="1:2" x14ac:dyDescent="0.25">
      <c r="A176" t="s">
        <v>406</v>
      </c>
      <c r="B176" t="s">
        <v>2141</v>
      </c>
    </row>
    <row r="177" spans="1:2" x14ac:dyDescent="0.25">
      <c r="A177" t="s">
        <v>408</v>
      </c>
      <c r="B177" t="s">
        <v>2142</v>
      </c>
    </row>
    <row r="178" spans="1:2" x14ac:dyDescent="0.25">
      <c r="A178" t="s">
        <v>503</v>
      </c>
      <c r="B178" t="s">
        <v>2143</v>
      </c>
    </row>
    <row r="179" spans="1:2" x14ac:dyDescent="0.25">
      <c r="A179" t="s">
        <v>410</v>
      </c>
      <c r="B179" t="s">
        <v>2144</v>
      </c>
    </row>
    <row r="180" spans="1:2" x14ac:dyDescent="0.25">
      <c r="A180" t="s">
        <v>412</v>
      </c>
      <c r="B180" t="s">
        <v>2145</v>
      </c>
    </row>
    <row r="181" spans="1:2" x14ac:dyDescent="0.25">
      <c r="A181" t="s">
        <v>161</v>
      </c>
      <c r="B181" t="s">
        <v>2146</v>
      </c>
    </row>
    <row r="182" spans="1:2" x14ac:dyDescent="0.25">
      <c r="A182" t="s">
        <v>415</v>
      </c>
      <c r="B182" t="s">
        <v>2147</v>
      </c>
    </row>
    <row r="183" spans="1:2" x14ac:dyDescent="0.25">
      <c r="A183" t="s">
        <v>173</v>
      </c>
      <c r="B183" t="s">
        <v>2148</v>
      </c>
    </row>
    <row r="184" spans="1:2" x14ac:dyDescent="0.25">
      <c r="A184" t="s">
        <v>167</v>
      </c>
      <c r="B184" t="s">
        <v>2149</v>
      </c>
    </row>
    <row r="185" spans="1:2" x14ac:dyDescent="0.25">
      <c r="A185" t="s">
        <v>169</v>
      </c>
      <c r="B185" t="s">
        <v>2150</v>
      </c>
    </row>
    <row r="186" spans="1:2" x14ac:dyDescent="0.25">
      <c r="A186" t="s">
        <v>444</v>
      </c>
      <c r="B186" t="s">
        <v>2151</v>
      </c>
    </row>
    <row r="187" spans="1:2" x14ac:dyDescent="0.25">
      <c r="A187" t="s">
        <v>18</v>
      </c>
      <c r="B187" t="s">
        <v>2152</v>
      </c>
    </row>
    <row r="188" spans="1:2" x14ac:dyDescent="0.25">
      <c r="A188" t="s">
        <v>175</v>
      </c>
      <c r="B188" t="s">
        <v>2153</v>
      </c>
    </row>
    <row r="189" spans="1:2" x14ac:dyDescent="0.25">
      <c r="A189" t="s">
        <v>181</v>
      </c>
      <c r="B189" t="s">
        <v>2154</v>
      </c>
    </row>
    <row r="190" spans="1:2" x14ac:dyDescent="0.25">
      <c r="A190" t="s">
        <v>64</v>
      </c>
      <c r="B190" t="s">
        <v>2155</v>
      </c>
    </row>
    <row r="191" spans="1:2" x14ac:dyDescent="0.25">
      <c r="A191" t="s">
        <v>185</v>
      </c>
      <c r="B191" t="s">
        <v>2156</v>
      </c>
    </row>
    <row r="192" spans="1:2" x14ac:dyDescent="0.25">
      <c r="A192" t="s">
        <v>192</v>
      </c>
      <c r="B192" t="s">
        <v>2157</v>
      </c>
    </row>
    <row r="193" spans="1:2" x14ac:dyDescent="0.25">
      <c r="A193" t="s">
        <v>67</v>
      </c>
      <c r="B193" t="s">
        <v>2158</v>
      </c>
    </row>
    <row r="194" spans="1:2" x14ac:dyDescent="0.25">
      <c r="A194" t="s">
        <v>197</v>
      </c>
      <c r="B194" t="s">
        <v>2159</v>
      </c>
    </row>
    <row r="195" spans="1:2" x14ac:dyDescent="0.25">
      <c r="A195" t="s">
        <v>199</v>
      </c>
      <c r="B195" t="s">
        <v>2160</v>
      </c>
    </row>
    <row r="196" spans="1:2" x14ac:dyDescent="0.25">
      <c r="A196" t="s">
        <v>44</v>
      </c>
      <c r="B196" t="s">
        <v>2161</v>
      </c>
    </row>
    <row r="197" spans="1:2" x14ac:dyDescent="0.25">
      <c r="A197" t="s">
        <v>46</v>
      </c>
      <c r="B197" t="s">
        <v>2162</v>
      </c>
    </row>
    <row r="198" spans="1:2" x14ac:dyDescent="0.25">
      <c r="A198" t="s">
        <v>212</v>
      </c>
      <c r="B198" t="s">
        <v>2163</v>
      </c>
    </row>
    <row r="199" spans="1:2" x14ac:dyDescent="0.25">
      <c r="A199" t="s">
        <v>215</v>
      </c>
      <c r="B199" t="s">
        <v>2164</v>
      </c>
    </row>
    <row r="200" spans="1:2" x14ac:dyDescent="0.25">
      <c r="A200" t="s">
        <v>77</v>
      </c>
      <c r="B200" t="s">
        <v>2165</v>
      </c>
    </row>
    <row r="201" spans="1:2" x14ac:dyDescent="0.25">
      <c r="A201" t="s">
        <v>223</v>
      </c>
      <c r="B201" t="s">
        <v>2166</v>
      </c>
    </row>
    <row r="202" spans="1:2" x14ac:dyDescent="0.25">
      <c r="A202" t="s">
        <v>1</v>
      </c>
      <c r="B202" t="s">
        <v>2167</v>
      </c>
    </row>
    <row r="203" spans="1:2" x14ac:dyDescent="0.25">
      <c r="A203" t="s">
        <v>225</v>
      </c>
      <c r="B203" t="s">
        <v>2168</v>
      </c>
    </row>
    <row r="204" spans="1:2" x14ac:dyDescent="0.25">
      <c r="A204" t="s">
        <v>4</v>
      </c>
      <c r="B204" t="s">
        <v>2169</v>
      </c>
    </row>
    <row r="205" spans="1:2" x14ac:dyDescent="0.25">
      <c r="A205" t="s">
        <v>233</v>
      </c>
      <c r="B205" t="s">
        <v>2170</v>
      </c>
    </row>
    <row r="206" spans="1:2" x14ac:dyDescent="0.25">
      <c r="A206" t="s">
        <v>6</v>
      </c>
      <c r="B206" t="s">
        <v>2171</v>
      </c>
    </row>
    <row r="207" spans="1:2" x14ac:dyDescent="0.25">
      <c r="A207" t="s">
        <v>241</v>
      </c>
      <c r="B207" t="s">
        <v>2172</v>
      </c>
    </row>
    <row r="208" spans="1:2" x14ac:dyDescent="0.25">
      <c r="A208" t="s">
        <v>11</v>
      </c>
      <c r="B208" t="s">
        <v>2173</v>
      </c>
    </row>
    <row r="209" spans="1:103" x14ac:dyDescent="0.25">
      <c r="A209" t="s">
        <v>13</v>
      </c>
      <c r="B209" t="s">
        <v>2174</v>
      </c>
    </row>
    <row r="210" spans="1:103" x14ac:dyDescent="0.25">
      <c r="A210" t="s">
        <v>254</v>
      </c>
      <c r="B210" t="s">
        <v>2175</v>
      </c>
    </row>
    <row r="211" spans="1:103" x14ac:dyDescent="0.25">
      <c r="A211" t="s">
        <v>256</v>
      </c>
      <c r="B211" t="s">
        <v>2176</v>
      </c>
    </row>
    <row r="212" spans="1:103" x14ac:dyDescent="0.25">
      <c r="A212" t="s">
        <v>258</v>
      </c>
      <c r="B212" t="s">
        <v>2177</v>
      </c>
    </row>
    <row r="213" spans="1:103" x14ac:dyDescent="0.25">
      <c r="A213" t="s">
        <v>533</v>
      </c>
      <c r="B213" t="s">
        <v>2178</v>
      </c>
      <c r="BS213" t="b">
        <v>1</v>
      </c>
    </row>
    <row r="214" spans="1:103" x14ac:dyDescent="0.25">
      <c r="A214" t="s">
        <v>17</v>
      </c>
      <c r="B214" t="s">
        <v>2179</v>
      </c>
    </row>
    <row r="215" spans="1:103" x14ac:dyDescent="0.25">
      <c r="A215" t="s">
        <v>265</v>
      </c>
      <c r="B215" t="s">
        <v>2180</v>
      </c>
    </row>
    <row r="216" spans="1:103" x14ac:dyDescent="0.25">
      <c r="A216" t="s">
        <v>550</v>
      </c>
      <c r="B216" t="s">
        <v>2181</v>
      </c>
    </row>
    <row r="217" spans="1:103" x14ac:dyDescent="0.25">
      <c r="A217" t="s">
        <v>267</v>
      </c>
      <c r="B217" t="s">
        <v>2182</v>
      </c>
    </row>
    <row r="218" spans="1:103" x14ac:dyDescent="0.25">
      <c r="A218" t="s">
        <v>262</v>
      </c>
      <c r="B218" t="s">
        <v>2183</v>
      </c>
    </row>
    <row r="219" spans="1:103" x14ac:dyDescent="0.25">
      <c r="A219" t="s">
        <v>272</v>
      </c>
      <c r="B219" t="s">
        <v>2184</v>
      </c>
    </row>
    <row r="220" spans="1:103" x14ac:dyDescent="0.25">
      <c r="A220" t="s">
        <v>36</v>
      </c>
      <c r="B220" t="s">
        <v>2185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2186</v>
      </c>
      <c r="AE221" t="b">
        <v>1</v>
      </c>
    </row>
    <row r="222" spans="1:103" x14ac:dyDescent="0.25">
      <c r="A222" t="s">
        <v>269</v>
      </c>
      <c r="B222" t="s">
        <v>2187</v>
      </c>
      <c r="CY222" t="b">
        <v>1</v>
      </c>
    </row>
    <row r="223" spans="1:103" x14ac:dyDescent="0.25">
      <c r="A223" t="s">
        <v>40</v>
      </c>
      <c r="B223" t="s">
        <v>2188</v>
      </c>
    </row>
    <row r="224" spans="1:103" x14ac:dyDescent="0.25">
      <c r="A224" t="s">
        <v>42</v>
      </c>
      <c r="B224" t="s">
        <v>2189</v>
      </c>
      <c r="CI224" t="b">
        <v>1</v>
      </c>
    </row>
    <row r="225" spans="1:2" x14ac:dyDescent="0.25">
      <c r="A225" t="s">
        <v>275</v>
      </c>
      <c r="B225" t="s">
        <v>2190</v>
      </c>
    </row>
    <row r="226" spans="1:2" x14ac:dyDescent="0.25">
      <c r="A226" t="s">
        <v>73</v>
      </c>
      <c r="B226" t="s">
        <v>2191</v>
      </c>
    </row>
    <row r="227" spans="1:2" x14ac:dyDescent="0.25">
      <c r="A227" t="s">
        <v>75</v>
      </c>
      <c r="B227" t="s">
        <v>2192</v>
      </c>
    </row>
    <row r="228" spans="1:2" x14ac:dyDescent="0.25">
      <c r="A228" t="s">
        <v>88</v>
      </c>
      <c r="B228" t="s">
        <v>2193</v>
      </c>
    </row>
    <row r="229" spans="1:2" x14ac:dyDescent="0.25">
      <c r="A229" t="s">
        <v>49</v>
      </c>
      <c r="B229" t="s">
        <v>2194</v>
      </c>
    </row>
    <row r="230" spans="1:2" x14ac:dyDescent="0.25">
      <c r="A230" t="s">
        <v>51</v>
      </c>
      <c r="B230" t="s">
        <v>2195</v>
      </c>
    </row>
    <row r="231" spans="1:2" x14ac:dyDescent="0.25">
      <c r="A231" t="s">
        <v>53</v>
      </c>
      <c r="B231" t="s">
        <v>2196</v>
      </c>
    </row>
    <row r="232" spans="1:2" x14ac:dyDescent="0.25">
      <c r="A232" t="s">
        <v>55</v>
      </c>
      <c r="B232" t="s">
        <v>2197</v>
      </c>
    </row>
    <row r="233" spans="1:2" x14ac:dyDescent="0.25">
      <c r="A233" t="s">
        <v>57</v>
      </c>
      <c r="B233" t="s">
        <v>2198</v>
      </c>
    </row>
    <row r="234" spans="1:2" x14ac:dyDescent="0.25">
      <c r="A234" t="s">
        <v>59</v>
      </c>
      <c r="B234" t="s">
        <v>2199</v>
      </c>
    </row>
    <row r="235" spans="1:2" x14ac:dyDescent="0.25">
      <c r="A235" t="s">
        <v>24</v>
      </c>
      <c r="B235" t="s">
        <v>2200</v>
      </c>
    </row>
    <row r="236" spans="1:2" x14ac:dyDescent="0.25">
      <c r="A236" t="s">
        <v>32</v>
      </c>
      <c r="B236" t="s">
        <v>2201</v>
      </c>
    </row>
    <row r="237" spans="1:2" x14ac:dyDescent="0.25">
      <c r="A237" t="s">
        <v>101</v>
      </c>
      <c r="B237" t="s">
        <v>2202</v>
      </c>
    </row>
    <row r="238" spans="1:2" x14ac:dyDescent="0.25">
      <c r="A238" t="s">
        <v>159</v>
      </c>
      <c r="B238" t="s">
        <v>2203</v>
      </c>
    </row>
    <row r="239" spans="1:2" x14ac:dyDescent="0.25">
      <c r="A239" t="s">
        <v>107</v>
      </c>
      <c r="B239" t="s">
        <v>2204</v>
      </c>
    </row>
    <row r="240" spans="1:2" x14ac:dyDescent="0.25">
      <c r="A240" t="s">
        <v>15</v>
      </c>
      <c r="B240" t="s">
        <v>2205</v>
      </c>
    </row>
    <row r="241" spans="1:2" x14ac:dyDescent="0.25">
      <c r="A241" t="s">
        <v>171</v>
      </c>
      <c r="B241" t="s">
        <v>2206</v>
      </c>
    </row>
    <row r="242" spans="1:2" x14ac:dyDescent="0.25">
      <c r="A242" t="s">
        <v>117</v>
      </c>
      <c r="B242" t="s">
        <v>2207</v>
      </c>
    </row>
    <row r="243" spans="1:2" x14ac:dyDescent="0.25">
      <c r="A243" t="s">
        <v>119</v>
      </c>
      <c r="B243" t="s">
        <v>2208</v>
      </c>
    </row>
    <row r="244" spans="1:2" x14ac:dyDescent="0.25">
      <c r="A244" t="s">
        <v>122</v>
      </c>
      <c r="B244" t="s">
        <v>2209</v>
      </c>
    </row>
    <row r="245" spans="1:2" x14ac:dyDescent="0.25">
      <c r="A245" t="s">
        <v>176</v>
      </c>
      <c r="B245" t="s">
        <v>2210</v>
      </c>
    </row>
    <row r="246" spans="1:2" x14ac:dyDescent="0.25">
      <c r="A246" t="s">
        <v>126</v>
      </c>
      <c r="B246" t="s">
        <v>2211</v>
      </c>
    </row>
    <row r="247" spans="1:2" x14ac:dyDescent="0.25">
      <c r="A247" t="s">
        <v>130</v>
      </c>
      <c r="B247" t="s">
        <v>2212</v>
      </c>
    </row>
    <row r="248" spans="1:2" x14ac:dyDescent="0.25">
      <c r="A248" t="s">
        <v>39</v>
      </c>
      <c r="B248" t="s">
        <v>2213</v>
      </c>
    </row>
    <row r="249" spans="1:2" x14ac:dyDescent="0.25">
      <c r="A249" t="s">
        <v>133</v>
      </c>
      <c r="B249" t="s">
        <v>2214</v>
      </c>
    </row>
    <row r="250" spans="1:2" x14ac:dyDescent="0.25">
      <c r="A250" t="s">
        <v>69</v>
      </c>
      <c r="B250" t="s">
        <v>2215</v>
      </c>
    </row>
    <row r="251" spans="1:2" x14ac:dyDescent="0.25">
      <c r="A251" t="s">
        <v>71</v>
      </c>
      <c r="B251" t="s">
        <v>2216</v>
      </c>
    </row>
    <row r="252" spans="1:2" x14ac:dyDescent="0.25">
      <c r="A252" t="s">
        <v>141</v>
      </c>
      <c r="B252" t="s">
        <v>2217</v>
      </c>
    </row>
    <row r="253" spans="1:2" x14ac:dyDescent="0.25">
      <c r="A253" t="s">
        <v>143</v>
      </c>
      <c r="B253" t="s">
        <v>2218</v>
      </c>
    </row>
    <row r="254" spans="1:2" x14ac:dyDescent="0.25">
      <c r="A254" t="s">
        <v>145</v>
      </c>
      <c r="B254" t="s">
        <v>2219</v>
      </c>
    </row>
    <row r="255" spans="1:2" x14ac:dyDescent="0.25">
      <c r="A255" t="s">
        <v>386</v>
      </c>
      <c r="B255" t="s">
        <v>2220</v>
      </c>
    </row>
    <row r="256" spans="1:2" x14ac:dyDescent="0.25">
      <c r="A256" t="s">
        <v>30</v>
      </c>
      <c r="B256" t="s">
        <v>2221</v>
      </c>
    </row>
    <row r="257" spans="1:2" x14ac:dyDescent="0.25">
      <c r="A257" t="s">
        <v>33</v>
      </c>
      <c r="B257" t="s">
        <v>2222</v>
      </c>
    </row>
    <row r="258" spans="1:2" x14ac:dyDescent="0.25">
      <c r="A258" t="s">
        <v>153</v>
      </c>
      <c r="B258" t="s">
        <v>2223</v>
      </c>
    </row>
    <row r="259" spans="1:2" x14ac:dyDescent="0.25">
      <c r="A259" t="s">
        <v>155</v>
      </c>
      <c r="B259" t="s">
        <v>2224</v>
      </c>
    </row>
    <row r="260" spans="1:2" x14ac:dyDescent="0.25">
      <c r="A260" t="s">
        <v>157</v>
      </c>
      <c r="B260" t="s">
        <v>2225</v>
      </c>
    </row>
    <row r="261" spans="1:2" x14ac:dyDescent="0.25">
      <c r="A261" t="s">
        <v>3</v>
      </c>
      <c r="B261" t="s">
        <v>2226</v>
      </c>
    </row>
    <row r="262" spans="1:2" x14ac:dyDescent="0.25">
      <c r="A262" t="s">
        <v>78</v>
      </c>
      <c r="B262" t="s">
        <v>2227</v>
      </c>
    </row>
    <row r="263" spans="1:2" x14ac:dyDescent="0.25">
      <c r="A263" t="s">
        <v>80</v>
      </c>
      <c r="B263" t="s">
        <v>2228</v>
      </c>
    </row>
    <row r="264" spans="1:2" x14ac:dyDescent="0.25">
      <c r="A264" t="s">
        <v>82</v>
      </c>
      <c r="B264" t="s">
        <v>2229</v>
      </c>
    </row>
    <row r="265" spans="1:2" x14ac:dyDescent="0.25">
      <c r="A265" t="s">
        <v>84</v>
      </c>
      <c r="B265" t="s">
        <v>2230</v>
      </c>
    </row>
    <row r="266" spans="1:2" x14ac:dyDescent="0.25">
      <c r="A266" t="s">
        <v>86</v>
      </c>
      <c r="B266" t="s">
        <v>2231</v>
      </c>
    </row>
    <row r="267" spans="1:2" x14ac:dyDescent="0.25">
      <c r="A267" t="s">
        <v>29</v>
      </c>
      <c r="B267" t="s">
        <v>2232</v>
      </c>
    </row>
    <row r="268" spans="1:2" x14ac:dyDescent="0.25">
      <c r="A268" t="s">
        <v>90</v>
      </c>
      <c r="B268" t="s">
        <v>2233</v>
      </c>
    </row>
    <row r="269" spans="1:2" x14ac:dyDescent="0.25">
      <c r="A269" t="s">
        <v>95</v>
      </c>
      <c r="B269" t="s">
        <v>2234</v>
      </c>
    </row>
    <row r="270" spans="1:2" x14ac:dyDescent="0.25">
      <c r="A270" t="s">
        <v>2</v>
      </c>
      <c r="B270" t="s">
        <v>2235</v>
      </c>
    </row>
    <row r="271" spans="1:2" x14ac:dyDescent="0.25">
      <c r="A271" t="s">
        <v>7</v>
      </c>
      <c r="B271" t="s">
        <v>2236</v>
      </c>
    </row>
    <row r="273" spans="1:2" x14ac:dyDescent="0.25">
      <c r="A273" t="s">
        <v>9</v>
      </c>
      <c r="B273" t="s">
        <v>2237</v>
      </c>
    </row>
    <row r="274" spans="1:2" x14ac:dyDescent="0.25">
      <c r="A274" t="s">
        <v>163</v>
      </c>
      <c r="B274" t="s">
        <v>2238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1971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675</v>
      </c>
      <c r="AD2">
        <v>152</v>
      </c>
      <c r="AE2" t="s">
        <v>6587</v>
      </c>
      <c r="AF2">
        <v>4</v>
      </c>
      <c r="AH2" s="1" t="s">
        <v>656</v>
      </c>
      <c r="AK2">
        <v>515</v>
      </c>
      <c r="AL2">
        <v>223</v>
      </c>
      <c r="AM2" t="s">
        <v>6588</v>
      </c>
      <c r="AN2">
        <v>5</v>
      </c>
      <c r="AP2" s="1" t="s">
        <v>657</v>
      </c>
      <c r="AS2">
        <v>526</v>
      </c>
      <c r="AT2">
        <v>312</v>
      </c>
      <c r="AU2" t="s">
        <v>6589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6590</v>
      </c>
      <c r="BL2">
        <v>5</v>
      </c>
      <c r="BN2" s="1" t="s">
        <v>659</v>
      </c>
      <c r="BQ2">
        <v>523</v>
      </c>
      <c r="BR2">
        <v>293</v>
      </c>
      <c r="BS2" t="s">
        <v>6591</v>
      </c>
      <c r="BT2">
        <v>5</v>
      </c>
      <c r="BV2" s="1" t="s">
        <v>660</v>
      </c>
      <c r="BY2">
        <v>523</v>
      </c>
      <c r="BZ2">
        <v>195</v>
      </c>
      <c r="CA2" t="s">
        <v>6592</v>
      </c>
      <c r="CB2">
        <v>5</v>
      </c>
      <c r="CD2" s="1" t="s">
        <v>661</v>
      </c>
      <c r="CG2">
        <v>523</v>
      </c>
      <c r="CH2">
        <v>203</v>
      </c>
      <c r="CI2" t="s">
        <v>6593</v>
      </c>
      <c r="CJ2">
        <v>5</v>
      </c>
      <c r="CL2" s="1" t="s">
        <v>662</v>
      </c>
      <c r="CO2">
        <v>523</v>
      </c>
      <c r="CP2">
        <v>263</v>
      </c>
      <c r="CQ2" t="s">
        <v>6594</v>
      </c>
      <c r="CR2">
        <v>5</v>
      </c>
      <c r="CT2" s="1" t="s">
        <v>663</v>
      </c>
      <c r="CW2">
        <v>516</v>
      </c>
      <c r="CX2">
        <v>298</v>
      </c>
      <c r="CY2" t="s">
        <v>6595</v>
      </c>
      <c r="CZ2">
        <v>4</v>
      </c>
    </row>
    <row r="3" spans="1:104" x14ac:dyDescent="0.25">
      <c r="W3" t="str">
        <f>dbCorrelationTitle</f>
        <v>Coeficiente de correlación</v>
      </c>
      <c r="Z3">
        <v>1</v>
      </c>
      <c r="AA3">
        <v>576</v>
      </c>
      <c r="AB3">
        <v>5</v>
      </c>
      <c r="AC3">
        <v>88</v>
      </c>
      <c r="AE3" t="s">
        <v>6596</v>
      </c>
      <c r="AH3">
        <v>1</v>
      </c>
      <c r="AI3">
        <v>412</v>
      </c>
      <c r="AJ3">
        <v>7</v>
      </c>
      <c r="AK3">
        <v>90</v>
      </c>
      <c r="AM3" t="s">
        <v>6596</v>
      </c>
      <c r="AP3">
        <v>1</v>
      </c>
      <c r="AQ3">
        <v>423</v>
      </c>
      <c r="AR3">
        <v>8</v>
      </c>
      <c r="AS3">
        <v>90</v>
      </c>
      <c r="AU3" t="s">
        <v>6596</v>
      </c>
      <c r="AX3">
        <v>1</v>
      </c>
      <c r="AY3">
        <v>418</v>
      </c>
      <c r="AZ3">
        <v>8</v>
      </c>
      <c r="BA3">
        <v>104</v>
      </c>
      <c r="BC3" t="s">
        <v>6596</v>
      </c>
      <c r="BF3">
        <v>1</v>
      </c>
      <c r="BG3">
        <v>407</v>
      </c>
      <c r="BH3">
        <v>7</v>
      </c>
      <c r="BI3">
        <v>90</v>
      </c>
      <c r="BK3" t="s">
        <v>6596</v>
      </c>
      <c r="BN3">
        <v>1</v>
      </c>
      <c r="BO3">
        <v>407</v>
      </c>
      <c r="BP3">
        <v>7</v>
      </c>
      <c r="BQ3">
        <v>90</v>
      </c>
      <c r="BS3" t="s">
        <v>6596</v>
      </c>
      <c r="BV3">
        <v>1</v>
      </c>
      <c r="BW3">
        <v>407</v>
      </c>
      <c r="BX3">
        <v>7</v>
      </c>
      <c r="BY3">
        <v>90</v>
      </c>
      <c r="CA3" t="s">
        <v>6596</v>
      </c>
      <c r="CD3">
        <v>1</v>
      </c>
      <c r="CE3">
        <v>407</v>
      </c>
      <c r="CF3">
        <v>7</v>
      </c>
      <c r="CG3">
        <v>90</v>
      </c>
      <c r="CI3" t="s">
        <v>6596</v>
      </c>
      <c r="CL3">
        <v>1</v>
      </c>
      <c r="CM3">
        <v>407</v>
      </c>
      <c r="CN3">
        <v>7</v>
      </c>
      <c r="CO3">
        <v>90</v>
      </c>
      <c r="CQ3" t="s">
        <v>6596</v>
      </c>
      <c r="CT3">
        <v>1</v>
      </c>
      <c r="CU3">
        <v>410</v>
      </c>
      <c r="CV3">
        <v>8</v>
      </c>
      <c r="CW3">
        <v>90</v>
      </c>
      <c r="CY3" t="s">
        <v>6596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576</v>
      </c>
      <c r="AB4">
        <v>30</v>
      </c>
      <c r="AC4">
        <v>88</v>
      </c>
      <c r="AE4" t="s">
        <v>2248</v>
      </c>
      <c r="AH4">
        <v>2</v>
      </c>
      <c r="AI4">
        <v>412</v>
      </c>
      <c r="AJ4">
        <v>30</v>
      </c>
      <c r="AK4">
        <v>90</v>
      </c>
      <c r="AM4" t="s">
        <v>2248</v>
      </c>
      <c r="AP4">
        <v>2</v>
      </c>
      <c r="AQ4">
        <v>423</v>
      </c>
      <c r="AR4">
        <v>31</v>
      </c>
      <c r="AS4">
        <v>90</v>
      </c>
      <c r="AU4" t="s">
        <v>2248</v>
      </c>
      <c r="AX4">
        <v>2</v>
      </c>
      <c r="AY4">
        <v>418</v>
      </c>
      <c r="AZ4">
        <v>33</v>
      </c>
      <c r="BA4">
        <v>104</v>
      </c>
      <c r="BC4" t="s">
        <v>2248</v>
      </c>
      <c r="BF4">
        <v>2</v>
      </c>
      <c r="BG4">
        <v>407</v>
      </c>
      <c r="BH4">
        <v>30</v>
      </c>
      <c r="BI4">
        <v>90</v>
      </c>
      <c r="BK4" t="s">
        <v>2248</v>
      </c>
      <c r="BN4">
        <v>2</v>
      </c>
      <c r="BO4">
        <v>407</v>
      </c>
      <c r="BP4">
        <v>30</v>
      </c>
      <c r="BQ4">
        <v>90</v>
      </c>
      <c r="BS4" t="s">
        <v>2248</v>
      </c>
      <c r="BV4">
        <v>2</v>
      </c>
      <c r="BW4">
        <v>407</v>
      </c>
      <c r="BX4">
        <v>30</v>
      </c>
      <c r="BY4">
        <v>90</v>
      </c>
      <c r="CA4" t="s">
        <v>2248</v>
      </c>
      <c r="CD4">
        <v>2</v>
      </c>
      <c r="CE4">
        <v>407</v>
      </c>
      <c r="CF4">
        <v>30</v>
      </c>
      <c r="CG4">
        <v>90</v>
      </c>
      <c r="CI4" t="s">
        <v>2248</v>
      </c>
      <c r="CL4">
        <v>2</v>
      </c>
      <c r="CM4">
        <v>407</v>
      </c>
      <c r="CN4">
        <v>30</v>
      </c>
      <c r="CO4">
        <v>90</v>
      </c>
      <c r="CQ4" t="s">
        <v>2248</v>
      </c>
      <c r="CT4">
        <v>2</v>
      </c>
      <c r="CU4">
        <v>410</v>
      </c>
      <c r="CV4">
        <v>31</v>
      </c>
      <c r="CW4">
        <v>90</v>
      </c>
      <c r="CY4" t="s">
        <v>2248</v>
      </c>
    </row>
    <row r="5" spans="1:104" x14ac:dyDescent="0.25">
      <c r="T5">
        <v>0</v>
      </c>
      <c r="U5" t="str">
        <f>dbAnova1Title</f>
        <v>Análisis de varianza de un factor</v>
      </c>
      <c r="V5">
        <v>0</v>
      </c>
      <c r="W5" t="str">
        <f>dbAnova1Title</f>
        <v>Análisis de varianza de un factor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6597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2250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2250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6598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2250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2250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2250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2250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2250</v>
      </c>
      <c r="CT5">
        <v>5</v>
      </c>
      <c r="CU5">
        <v>17</v>
      </c>
      <c r="CV5">
        <v>12</v>
      </c>
      <c r="CY5" t="s">
        <v>6599</v>
      </c>
    </row>
    <row r="6" spans="1:104" x14ac:dyDescent="0.25">
      <c r="T6">
        <v>1</v>
      </c>
      <c r="U6" t="str">
        <f>dbAnova2Title</f>
        <v>Análisis de varianza de dos factores con varias muestras por grupo</v>
      </c>
      <c r="V6">
        <v>1</v>
      </c>
      <c r="W6" t="str">
        <f>dbAnova2Title</f>
        <v>Análisis de varianza de dos factores con varias muestras por grupo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549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6600</v>
      </c>
      <c r="AP6">
        <v>5</v>
      </c>
      <c r="AQ6">
        <v>24</v>
      </c>
      <c r="AR6">
        <v>22</v>
      </c>
      <c r="AU6" t="s">
        <v>6601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6602</v>
      </c>
      <c r="BN6">
        <v>5</v>
      </c>
      <c r="BO6">
        <v>18</v>
      </c>
      <c r="BP6">
        <v>19</v>
      </c>
      <c r="BS6" t="s">
        <v>6602</v>
      </c>
      <c r="BV6">
        <v>5</v>
      </c>
      <c r="BW6">
        <v>18</v>
      </c>
      <c r="BX6">
        <v>19</v>
      </c>
      <c r="CA6" t="s">
        <v>6602</v>
      </c>
      <c r="CD6">
        <v>5</v>
      </c>
      <c r="CE6">
        <v>18</v>
      </c>
      <c r="CF6">
        <v>19</v>
      </c>
      <c r="CI6" t="s">
        <v>6603</v>
      </c>
      <c r="CL6">
        <v>5</v>
      </c>
      <c r="CM6">
        <v>18</v>
      </c>
      <c r="CN6">
        <v>19</v>
      </c>
      <c r="CQ6" t="s">
        <v>6602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Análisis de varianza de dos factores con una sola muestra por grupo</v>
      </c>
      <c r="V7">
        <v>2</v>
      </c>
      <c r="W7" t="str">
        <f>dbAnova3Title</f>
        <v>Análisis de varianza de dos factores con una sola muestra por grupo</v>
      </c>
      <c r="X7" t="s">
        <v>315</v>
      </c>
      <c r="Y7" s="1" t="s">
        <v>665</v>
      </c>
      <c r="Z7">
        <v>24</v>
      </c>
      <c r="AA7">
        <v>576</v>
      </c>
      <c r="AB7">
        <v>58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6604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6605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Coeficiente de correlación</v>
      </c>
      <c r="V8">
        <v>3</v>
      </c>
      <c r="W8" t="str">
        <f>dbCorrelationTitle</f>
        <v>Coeficiente de correlación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2258</v>
      </c>
      <c r="AP8">
        <v>5</v>
      </c>
      <c r="AQ8">
        <v>24</v>
      </c>
      <c r="AR8">
        <v>48</v>
      </c>
      <c r="AU8" t="s">
        <v>6606</v>
      </c>
      <c r="AX8">
        <v>12</v>
      </c>
      <c r="AZ8">
        <v>90</v>
      </c>
      <c r="BC8" t="s">
        <v>6607</v>
      </c>
      <c r="BF8">
        <v>5</v>
      </c>
      <c r="BG8">
        <v>18</v>
      </c>
      <c r="BH8">
        <v>44</v>
      </c>
      <c r="BK8" t="s">
        <v>2258</v>
      </c>
      <c r="BN8">
        <v>5</v>
      </c>
      <c r="BO8">
        <v>18</v>
      </c>
      <c r="BP8">
        <v>44</v>
      </c>
      <c r="BS8" t="s">
        <v>2258</v>
      </c>
      <c r="BV8">
        <v>5</v>
      </c>
      <c r="BW8">
        <v>17</v>
      </c>
      <c r="BX8">
        <v>40</v>
      </c>
      <c r="CA8" t="s">
        <v>6608</v>
      </c>
      <c r="CD8">
        <v>5</v>
      </c>
      <c r="CE8">
        <v>18</v>
      </c>
      <c r="CF8">
        <v>41</v>
      </c>
      <c r="CI8" t="s">
        <v>6609</v>
      </c>
      <c r="CL8">
        <v>13</v>
      </c>
      <c r="CM8">
        <v>18</v>
      </c>
      <c r="CN8">
        <v>39</v>
      </c>
      <c r="CQ8" t="s">
        <v>2263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Covarianza</v>
      </c>
      <c r="V9">
        <v>4</v>
      </c>
      <c r="W9" t="str">
        <f>dbCovarianceTitle</f>
        <v>Covarianza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6610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6611</v>
      </c>
      <c r="CT9">
        <v>5</v>
      </c>
      <c r="CU9">
        <v>17</v>
      </c>
      <c r="CV9">
        <v>63</v>
      </c>
      <c r="CY9" t="s">
        <v>6612</v>
      </c>
    </row>
    <row r="10" spans="1:104" x14ac:dyDescent="0.25">
      <c r="A10" t="s">
        <v>505</v>
      </c>
      <c r="B10" t="s">
        <v>6613</v>
      </c>
      <c r="T10">
        <v>5</v>
      </c>
      <c r="U10" t="str">
        <f>dbDescripTitle</f>
        <v>Estadística descriptiva</v>
      </c>
      <c r="V10">
        <v>5</v>
      </c>
      <c r="W10" t="str">
        <f>dbDescripTitle</f>
        <v>Estadística descriptiva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6614</v>
      </c>
      <c r="AP10">
        <v>13</v>
      </c>
      <c r="AQ10">
        <v>25</v>
      </c>
      <c r="AR10">
        <v>75</v>
      </c>
      <c r="AU10" t="s">
        <v>2263</v>
      </c>
      <c r="AV10" t="b">
        <v>0</v>
      </c>
      <c r="AX10">
        <v>12</v>
      </c>
      <c r="AZ10">
        <v>130</v>
      </c>
      <c r="BC10" t="s">
        <v>6615</v>
      </c>
      <c r="BF10">
        <v>12</v>
      </c>
      <c r="BG10">
        <v>220</v>
      </c>
      <c r="BH10">
        <v>40</v>
      </c>
      <c r="BK10" t="s">
        <v>6614</v>
      </c>
      <c r="BN10">
        <v>12</v>
      </c>
      <c r="BO10">
        <v>220</v>
      </c>
      <c r="BP10">
        <v>40</v>
      </c>
      <c r="BS10" t="s">
        <v>6614</v>
      </c>
      <c r="BV10">
        <v>13</v>
      </c>
      <c r="BW10">
        <v>17</v>
      </c>
      <c r="BX10">
        <v>60</v>
      </c>
      <c r="CA10" t="s">
        <v>2263</v>
      </c>
      <c r="CB10" t="b">
        <v>0</v>
      </c>
      <c r="CD10">
        <v>13</v>
      </c>
      <c r="CE10">
        <v>18</v>
      </c>
      <c r="CF10">
        <v>64</v>
      </c>
      <c r="CI10" t="s">
        <v>2263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6616</v>
      </c>
      <c r="T11">
        <v>6</v>
      </c>
      <c r="U11" t="str">
        <f>dbExponentTitle</f>
        <v>Suavización exponencial</v>
      </c>
      <c r="V11">
        <v>6</v>
      </c>
      <c r="W11" t="str">
        <f>dbExponentTitle</f>
        <v>Suavización exponencial</v>
      </c>
      <c r="X11" t="s">
        <v>452</v>
      </c>
      <c r="Y11" s="1" t="s">
        <v>660</v>
      </c>
      <c r="AH11">
        <v>12</v>
      </c>
      <c r="AM11" t="s">
        <v>6617</v>
      </c>
      <c r="AP11">
        <v>13</v>
      </c>
      <c r="AQ11">
        <v>197</v>
      </c>
      <c r="AR11">
        <v>75</v>
      </c>
      <c r="AU11" t="s">
        <v>6618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6619</v>
      </c>
      <c r="BF11">
        <v>12</v>
      </c>
      <c r="BK11" t="s">
        <v>6617</v>
      </c>
      <c r="BN11">
        <v>12</v>
      </c>
      <c r="BS11" t="s">
        <v>6617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6598</v>
      </c>
      <c r="CD11">
        <v>5</v>
      </c>
      <c r="CE11">
        <v>18</v>
      </c>
      <c r="CF11">
        <v>85</v>
      </c>
      <c r="CI11" t="s">
        <v>1019</v>
      </c>
      <c r="CL11">
        <v>12</v>
      </c>
      <c r="CM11">
        <v>18</v>
      </c>
      <c r="CN11">
        <v>82</v>
      </c>
      <c r="CQ11" t="s">
        <v>2274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6620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Prueba F para varianzas de dos muestras</v>
      </c>
      <c r="V12">
        <v>7</v>
      </c>
      <c r="W12" t="str">
        <f>dbFTestTitle</f>
        <v>Prueba F para varianzas de dos muestras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6616</v>
      </c>
      <c r="AN12" t="b">
        <v>0</v>
      </c>
      <c r="AP12">
        <v>113</v>
      </c>
      <c r="AQ12">
        <v>25</v>
      </c>
      <c r="AR12">
        <v>93</v>
      </c>
      <c r="AU12" t="s">
        <v>6621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6616</v>
      </c>
      <c r="BL12" t="b">
        <v>0</v>
      </c>
      <c r="BN12">
        <v>13</v>
      </c>
      <c r="BO12">
        <v>18</v>
      </c>
      <c r="BP12">
        <v>75</v>
      </c>
      <c r="BS12" t="s">
        <v>6616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6622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Análisis de Fourier</v>
      </c>
      <c r="V13">
        <v>8</v>
      </c>
      <c r="W13" t="str">
        <f>dbFourierTitle</f>
        <v>Análisis de Fourier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1019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6598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6598</v>
      </c>
      <c r="BV13">
        <v>5</v>
      </c>
      <c r="BW13">
        <v>17</v>
      </c>
      <c r="BX13">
        <v>99</v>
      </c>
      <c r="CA13" t="s">
        <v>6623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6598</v>
      </c>
      <c r="CL13">
        <v>5</v>
      </c>
      <c r="CM13">
        <v>42</v>
      </c>
      <c r="CN13">
        <v>103</v>
      </c>
      <c r="CQ13" t="s">
        <v>2279</v>
      </c>
      <c r="CT13">
        <v>5</v>
      </c>
    </row>
    <row r="14" spans="1:104" x14ac:dyDescent="0.25">
      <c r="A14" t="s">
        <v>404</v>
      </c>
      <c r="B14" t="s">
        <v>6624</v>
      </c>
      <c r="T14">
        <v>9</v>
      </c>
      <c r="U14" t="str">
        <f>dbHistogramTitle</f>
        <v>Histograma</v>
      </c>
      <c r="V14">
        <v>9</v>
      </c>
      <c r="W14" t="str">
        <f>dbHistogramTitle</f>
        <v>Histograma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6625</v>
      </c>
      <c r="T15">
        <v>10</v>
      </c>
      <c r="U15" t="str">
        <f>dbMovingTitle</f>
        <v>Media móvil</v>
      </c>
      <c r="V15">
        <v>10</v>
      </c>
      <c r="W15" t="str">
        <f>dbMovingTitle</f>
        <v>Media móvil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6598</v>
      </c>
      <c r="AP15">
        <v>14</v>
      </c>
      <c r="AQ15">
        <v>7</v>
      </c>
      <c r="AR15">
        <v>124</v>
      </c>
      <c r="AS15">
        <v>504</v>
      </c>
      <c r="AT15">
        <v>179</v>
      </c>
      <c r="AU15" t="s">
        <v>6598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6623</v>
      </c>
      <c r="BN15">
        <v>12</v>
      </c>
      <c r="BO15">
        <v>18</v>
      </c>
      <c r="BP15">
        <v>127</v>
      </c>
      <c r="BS15" t="s">
        <v>6623</v>
      </c>
      <c r="BV15">
        <v>205</v>
      </c>
      <c r="BW15">
        <v>17</v>
      </c>
      <c r="BX15">
        <v>119</v>
      </c>
      <c r="CA15" t="s">
        <v>6610</v>
      </c>
      <c r="CD15">
        <v>12</v>
      </c>
      <c r="CE15">
        <v>18</v>
      </c>
      <c r="CF15">
        <v>132</v>
      </c>
      <c r="CI15" t="s">
        <v>6623</v>
      </c>
      <c r="CL15">
        <v>5</v>
      </c>
      <c r="CM15">
        <v>42</v>
      </c>
      <c r="CN15">
        <v>146</v>
      </c>
      <c r="CQ15" t="s">
        <v>6626</v>
      </c>
      <c r="CT15">
        <v>5</v>
      </c>
    </row>
    <row r="16" spans="1:104" x14ac:dyDescent="0.25">
      <c r="A16" t="s">
        <v>526</v>
      </c>
      <c r="B16" t="s">
        <v>6627</v>
      </c>
      <c r="T16">
        <v>11</v>
      </c>
      <c r="U16" t="str">
        <f>dbRandomTitle</f>
        <v>Generación de números aleatorios</v>
      </c>
      <c r="V16">
        <v>11</v>
      </c>
      <c r="W16" t="str">
        <f>dbRandomTitle</f>
        <v>Generación de números aleatorios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6610</v>
      </c>
      <c r="BN16">
        <v>12</v>
      </c>
      <c r="BP16">
        <v>147</v>
      </c>
      <c r="BS16" t="s">
        <v>6610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6610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6628</v>
      </c>
      <c r="T17">
        <v>12</v>
      </c>
      <c r="U17" t="str">
        <f>dbRankPerTitle</f>
        <v>Jerarquía y percentil</v>
      </c>
      <c r="V17">
        <v>12</v>
      </c>
      <c r="W17" t="str">
        <f>dbRankPerTitle</f>
        <v>Jerarquía y percentil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6623</v>
      </c>
      <c r="AP17">
        <v>12</v>
      </c>
      <c r="AQ17">
        <v>24</v>
      </c>
      <c r="AR17">
        <v>142</v>
      </c>
      <c r="AU17" t="s">
        <v>6623</v>
      </c>
      <c r="BF17">
        <v>12</v>
      </c>
      <c r="BH17">
        <v>160</v>
      </c>
      <c r="BK17" t="s">
        <v>6615</v>
      </c>
      <c r="BN17">
        <v>12</v>
      </c>
      <c r="BP17">
        <v>167</v>
      </c>
      <c r="BS17" t="s">
        <v>6615</v>
      </c>
      <c r="BV17">
        <v>205</v>
      </c>
      <c r="BW17">
        <v>17</v>
      </c>
      <c r="BX17">
        <v>139</v>
      </c>
      <c r="CA17" t="s">
        <v>6615</v>
      </c>
      <c r="CD17">
        <v>12</v>
      </c>
      <c r="CF17">
        <v>172</v>
      </c>
      <c r="CI17" t="s">
        <v>6615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6598</v>
      </c>
      <c r="CT17">
        <v>5</v>
      </c>
    </row>
    <row r="18" spans="1:104" x14ac:dyDescent="0.25">
      <c r="A18" t="s">
        <v>531</v>
      </c>
      <c r="B18" t="s">
        <v>6629</v>
      </c>
      <c r="T18">
        <v>13</v>
      </c>
      <c r="U18" t="str">
        <f>dbRegressionTitle</f>
        <v>Regresión</v>
      </c>
      <c r="V18">
        <v>13</v>
      </c>
      <c r="W18" t="str">
        <f>dbRegressionTitle</f>
        <v>Regresión</v>
      </c>
      <c r="X18" t="s">
        <v>448</v>
      </c>
      <c r="Y18" s="1" t="s">
        <v>657</v>
      </c>
      <c r="AH18">
        <v>12</v>
      </c>
      <c r="AJ18">
        <v>169</v>
      </c>
      <c r="AM18" t="s">
        <v>6610</v>
      </c>
      <c r="AP18">
        <v>12</v>
      </c>
      <c r="AR18">
        <v>162</v>
      </c>
      <c r="AU18" t="s">
        <v>6610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6630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6631</v>
      </c>
      <c r="T19">
        <v>14</v>
      </c>
      <c r="U19" t="str">
        <f>dbSamplingTitle</f>
        <v>Muestra</v>
      </c>
      <c r="V19">
        <v>14</v>
      </c>
      <c r="W19" t="str">
        <f>dbSamplingTitle</f>
        <v>Muestra</v>
      </c>
      <c r="X19" t="s">
        <v>585</v>
      </c>
      <c r="Y19" s="1" t="s">
        <v>662</v>
      </c>
      <c r="AH19">
        <v>12</v>
      </c>
      <c r="AJ19">
        <v>189</v>
      </c>
      <c r="AM19" t="s">
        <v>6615</v>
      </c>
      <c r="AP19">
        <v>12</v>
      </c>
      <c r="AR19">
        <v>182</v>
      </c>
      <c r="AU19" t="s">
        <v>6615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6632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6623</v>
      </c>
      <c r="CT19">
        <v>5</v>
      </c>
    </row>
    <row r="20" spans="1:104" x14ac:dyDescent="0.25">
      <c r="A20" t="s">
        <v>343</v>
      </c>
      <c r="B20" t="s">
        <v>6587</v>
      </c>
      <c r="T20">
        <v>15</v>
      </c>
      <c r="U20" t="str">
        <f>dbTTest1Title</f>
        <v>Prueba t para medias de dos muestras emparejadas</v>
      </c>
      <c r="V20">
        <v>15</v>
      </c>
      <c r="W20" t="str">
        <f>dbTTest1Title</f>
        <v>Prueba t para medias de dos muestras emparejadas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6633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6610</v>
      </c>
      <c r="CT20">
        <v>5</v>
      </c>
    </row>
    <row r="21" spans="1:104" x14ac:dyDescent="0.25">
      <c r="A21" t="s">
        <v>346</v>
      </c>
      <c r="B21" t="s">
        <v>6634</v>
      </c>
      <c r="T21">
        <v>16</v>
      </c>
      <c r="U21" t="str">
        <f>dbTTest2Title</f>
        <v>Prueba t para dos muestras suponiendo varianzas iguales</v>
      </c>
      <c r="V21">
        <v>16</v>
      </c>
      <c r="W21" t="str">
        <f>dbTTest2Title</f>
        <v>Prueba t para dos muestras suponiendo varianzas iguales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6635</v>
      </c>
      <c r="BT21" t="b">
        <v>0</v>
      </c>
      <c r="CL21">
        <v>12</v>
      </c>
      <c r="CN21">
        <v>230</v>
      </c>
      <c r="CQ21" t="s">
        <v>6615</v>
      </c>
      <c r="CT21">
        <v>5</v>
      </c>
    </row>
    <row r="22" spans="1:104" x14ac:dyDescent="0.25">
      <c r="A22" t="s">
        <v>440</v>
      </c>
      <c r="B22" t="s">
        <v>6588</v>
      </c>
      <c r="T22">
        <v>17</v>
      </c>
      <c r="U22" t="str">
        <f>dbTTest3Title</f>
        <v>Prueba t para dos muestras suponiendo varianzas desiguales</v>
      </c>
      <c r="V22">
        <v>17</v>
      </c>
      <c r="W22" t="str">
        <f>dbTTest3Title</f>
        <v>Prueba t para dos muestras suponiendo varianzas desiguales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484</v>
      </c>
      <c r="AT22">
        <v>53</v>
      </c>
      <c r="AU22" t="s">
        <v>6636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6637</v>
      </c>
    </row>
    <row r="23" spans="1:104" x14ac:dyDescent="0.25">
      <c r="A23" t="s">
        <v>443</v>
      </c>
      <c r="B23" t="s">
        <v>6638</v>
      </c>
      <c r="T23">
        <v>18</v>
      </c>
      <c r="U23" t="str">
        <f>dbZTestTitle</f>
        <v>Prueba z para medias de dos muestras</v>
      </c>
      <c r="V23">
        <v>18</v>
      </c>
      <c r="W23" t="str">
        <f>dbZTestTitle</f>
        <v>Prueba z para medias de dos muestras</v>
      </c>
      <c r="X23" t="s">
        <v>357</v>
      </c>
      <c r="Y23" s="1" t="s">
        <v>674</v>
      </c>
      <c r="AP23">
        <v>13</v>
      </c>
      <c r="AR23">
        <v>216</v>
      </c>
      <c r="AU23" t="s">
        <v>6639</v>
      </c>
      <c r="AV23" t="b">
        <v>0</v>
      </c>
      <c r="BF23" s="1" t="s">
        <v>666</v>
      </c>
      <c r="BI23">
        <v>523</v>
      </c>
      <c r="BJ23">
        <v>191</v>
      </c>
      <c r="BK23" t="s">
        <v>3267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6640</v>
      </c>
      <c r="X24" t="s">
        <v>551</v>
      </c>
      <c r="AP24">
        <v>13</v>
      </c>
      <c r="AR24">
        <v>231</v>
      </c>
      <c r="AU24" t="s">
        <v>6641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6596</v>
      </c>
      <c r="BN24">
        <v>113</v>
      </c>
      <c r="BO24">
        <v>18</v>
      </c>
      <c r="BP24">
        <v>228</v>
      </c>
      <c r="BS24" t="s">
        <v>6642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6643</v>
      </c>
    </row>
    <row r="25" spans="1:104" x14ac:dyDescent="0.25">
      <c r="A25" t="s">
        <v>552</v>
      </c>
      <c r="B25" t="s">
        <v>6644</v>
      </c>
      <c r="X25" t="s">
        <v>554</v>
      </c>
      <c r="AH25" t="s">
        <v>614</v>
      </c>
      <c r="AP25">
        <v>13</v>
      </c>
      <c r="AQ25">
        <v>215</v>
      </c>
      <c r="AR25">
        <v>216</v>
      </c>
      <c r="AU25" t="s">
        <v>6645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2248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6646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2307</v>
      </c>
      <c r="X26" t="s">
        <v>376</v>
      </c>
      <c r="AH26" s="1" t="s">
        <v>664</v>
      </c>
      <c r="AK26">
        <v>600</v>
      </c>
      <c r="AL26">
        <v>187</v>
      </c>
      <c r="AM26" t="s">
        <v>6638</v>
      </c>
      <c r="AN26">
        <v>5</v>
      </c>
      <c r="AP26">
        <v>13</v>
      </c>
      <c r="AR26">
        <v>231</v>
      </c>
      <c r="AU26" t="s">
        <v>6647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2250</v>
      </c>
      <c r="BN26">
        <v>113</v>
      </c>
      <c r="BO26">
        <v>18</v>
      </c>
      <c r="BP26">
        <v>247</v>
      </c>
      <c r="BS26" t="s">
        <v>6648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6596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6598</v>
      </c>
    </row>
    <row r="27" spans="1:104" x14ac:dyDescent="0.25">
      <c r="A27" t="s">
        <v>377</v>
      </c>
      <c r="B27" t="s">
        <v>6649</v>
      </c>
      <c r="X27" t="s">
        <v>379</v>
      </c>
      <c r="AH27">
        <v>1</v>
      </c>
      <c r="AI27">
        <v>457</v>
      </c>
      <c r="AJ27">
        <v>7</v>
      </c>
      <c r="AK27">
        <v>90</v>
      </c>
      <c r="AM27" t="s">
        <v>6596</v>
      </c>
      <c r="AP27">
        <v>14</v>
      </c>
      <c r="AQ27">
        <v>15</v>
      </c>
      <c r="AR27">
        <v>258</v>
      </c>
      <c r="AS27">
        <v>484</v>
      </c>
      <c r="AT27">
        <v>35</v>
      </c>
      <c r="AU27" t="s">
        <v>6650</v>
      </c>
      <c r="BF27">
        <v>5</v>
      </c>
      <c r="BG27">
        <v>18</v>
      </c>
      <c r="BH27">
        <v>19</v>
      </c>
      <c r="BK27" t="s">
        <v>6602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2248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4832</v>
      </c>
      <c r="X28" t="s">
        <v>382</v>
      </c>
      <c r="AH28">
        <v>2</v>
      </c>
      <c r="AI28">
        <v>457</v>
      </c>
      <c r="AJ28">
        <v>30</v>
      </c>
      <c r="AK28">
        <v>90</v>
      </c>
      <c r="AM28" t="s">
        <v>2248</v>
      </c>
      <c r="AP28">
        <v>13</v>
      </c>
      <c r="AR28">
        <v>270</v>
      </c>
      <c r="AU28" t="s">
        <v>6651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2250</v>
      </c>
      <c r="CT28">
        <v>12</v>
      </c>
      <c r="CU28">
        <v>17</v>
      </c>
      <c r="CV28">
        <v>225</v>
      </c>
      <c r="CY28" t="s">
        <v>6623</v>
      </c>
    </row>
    <row r="29" spans="1:104" x14ac:dyDescent="0.25">
      <c r="A29" t="s">
        <v>383</v>
      </c>
      <c r="B29" t="s">
        <v>6652</v>
      </c>
      <c r="X29" t="s">
        <v>599</v>
      </c>
      <c r="AH29">
        <v>14</v>
      </c>
      <c r="AI29">
        <v>58</v>
      </c>
      <c r="AJ29">
        <v>3</v>
      </c>
      <c r="AK29">
        <v>382</v>
      </c>
      <c r="AL29">
        <v>89</v>
      </c>
      <c r="AM29" t="s">
        <v>2250</v>
      </c>
      <c r="AP29">
        <v>24</v>
      </c>
      <c r="AQ29">
        <v>423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2258</v>
      </c>
      <c r="CD29">
        <v>5</v>
      </c>
      <c r="CE29">
        <v>17</v>
      </c>
      <c r="CF29">
        <v>18</v>
      </c>
      <c r="CI29" t="s">
        <v>6603</v>
      </c>
      <c r="CT29">
        <v>12</v>
      </c>
      <c r="CV29">
        <v>245</v>
      </c>
      <c r="CY29" t="s">
        <v>6610</v>
      </c>
    </row>
    <row r="30" spans="1:104" x14ac:dyDescent="0.25">
      <c r="A30" t="s">
        <v>600</v>
      </c>
      <c r="B30" t="s">
        <v>3283</v>
      </c>
      <c r="X30" t="s">
        <v>332</v>
      </c>
      <c r="AH30">
        <v>5</v>
      </c>
      <c r="AI30">
        <v>70</v>
      </c>
      <c r="AJ30">
        <v>19</v>
      </c>
      <c r="AM30" t="s">
        <v>6602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6615</v>
      </c>
    </row>
    <row r="31" spans="1:104" x14ac:dyDescent="0.25">
      <c r="A31" t="s">
        <v>602</v>
      </c>
      <c r="B31" t="s">
        <v>6653</v>
      </c>
      <c r="X31" t="s">
        <v>263</v>
      </c>
      <c r="AH31">
        <v>10</v>
      </c>
      <c r="AI31">
        <v>268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6614</v>
      </c>
      <c r="CD31">
        <v>5</v>
      </c>
      <c r="CE31">
        <v>17</v>
      </c>
      <c r="CF31">
        <v>41</v>
      </c>
      <c r="CI31" t="s">
        <v>6609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6654</v>
      </c>
      <c r="AH32">
        <v>5</v>
      </c>
      <c r="AI32">
        <v>70</v>
      </c>
      <c r="AJ32">
        <v>45</v>
      </c>
      <c r="AM32" t="s">
        <v>6655</v>
      </c>
      <c r="BF32">
        <v>12</v>
      </c>
      <c r="BK32" t="s">
        <v>6617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6656</v>
      </c>
      <c r="AH33">
        <v>7</v>
      </c>
      <c r="AI33">
        <v>268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6616</v>
      </c>
      <c r="BL33" t="b">
        <v>0</v>
      </c>
      <c r="CD33">
        <v>5</v>
      </c>
      <c r="CE33">
        <v>17</v>
      </c>
      <c r="CF33">
        <v>70</v>
      </c>
      <c r="CI33" t="s">
        <v>6657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6658</v>
      </c>
      <c r="AH34">
        <v>5</v>
      </c>
      <c r="AI34">
        <v>70</v>
      </c>
      <c r="AJ34">
        <v>68</v>
      </c>
      <c r="AM34" t="s">
        <v>1019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6598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6659</v>
      </c>
      <c r="AH35">
        <v>8</v>
      </c>
      <c r="AI35">
        <v>268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2263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58</v>
      </c>
      <c r="AJ36">
        <v>97</v>
      </c>
      <c r="AK36">
        <v>382</v>
      </c>
      <c r="AL36">
        <v>82</v>
      </c>
      <c r="AM36" t="s">
        <v>6598</v>
      </c>
      <c r="BF36">
        <v>12</v>
      </c>
      <c r="BG36">
        <v>18</v>
      </c>
      <c r="BH36">
        <v>120</v>
      </c>
      <c r="BK36" t="s">
        <v>6623</v>
      </c>
      <c r="CD36">
        <v>5</v>
      </c>
      <c r="CE36">
        <v>17</v>
      </c>
      <c r="CF36">
        <v>114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6660</v>
      </c>
      <c r="AH37">
        <v>111</v>
      </c>
      <c r="AN37">
        <v>2</v>
      </c>
      <c r="BF37">
        <v>12</v>
      </c>
      <c r="BH37">
        <v>140</v>
      </c>
      <c r="BK37" t="s">
        <v>6610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6661</v>
      </c>
      <c r="AH38">
        <v>12</v>
      </c>
      <c r="AI38">
        <v>70</v>
      </c>
      <c r="AJ38">
        <v>115</v>
      </c>
      <c r="AM38" t="s">
        <v>6623</v>
      </c>
      <c r="BF38">
        <v>12</v>
      </c>
      <c r="BH38">
        <v>160</v>
      </c>
      <c r="BK38" t="s">
        <v>6615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6598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6610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2325</v>
      </c>
      <c r="AH40">
        <v>12</v>
      </c>
      <c r="AJ40">
        <v>155</v>
      </c>
      <c r="AM40" t="s">
        <v>6615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6623</v>
      </c>
      <c r="CT40">
        <v>5</v>
      </c>
    </row>
    <row r="41" spans="1:104" x14ac:dyDescent="0.25">
      <c r="A41" t="s">
        <v>492</v>
      </c>
      <c r="B41" t="s">
        <v>6662</v>
      </c>
      <c r="AH41">
        <v>210</v>
      </c>
      <c r="AI41">
        <v>268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6610</v>
      </c>
      <c r="CT41">
        <v>5</v>
      </c>
    </row>
    <row r="42" spans="1:104" x14ac:dyDescent="0.25">
      <c r="A42" t="s">
        <v>494</v>
      </c>
      <c r="B42" t="s">
        <v>6594</v>
      </c>
      <c r="AH42">
        <v>6</v>
      </c>
      <c r="AI42">
        <v>268</v>
      </c>
      <c r="AJ42">
        <v>133</v>
      </c>
      <c r="AK42">
        <v>160</v>
      </c>
      <c r="CD42">
        <v>12</v>
      </c>
      <c r="CF42">
        <v>196</v>
      </c>
      <c r="CI42" t="s">
        <v>6615</v>
      </c>
      <c r="CT42">
        <v>5</v>
      </c>
    </row>
    <row r="43" spans="1:104" x14ac:dyDescent="0.25">
      <c r="A43" t="s">
        <v>496</v>
      </c>
      <c r="B43" t="s">
        <v>6663</v>
      </c>
      <c r="AH43">
        <v>24</v>
      </c>
      <c r="AI43">
        <v>457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6664</v>
      </c>
      <c r="BF44" s="1" t="s">
        <v>670</v>
      </c>
      <c r="BI44">
        <v>523</v>
      </c>
      <c r="BJ44">
        <v>191</v>
      </c>
      <c r="BK44" t="s">
        <v>6665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5077</v>
      </c>
    </row>
    <row r="45" spans="1:104" x14ac:dyDescent="0.25">
      <c r="A45" t="s">
        <v>422</v>
      </c>
      <c r="B45" t="s">
        <v>6666</v>
      </c>
      <c r="BF45">
        <v>1</v>
      </c>
      <c r="BG45">
        <v>407</v>
      </c>
      <c r="BH45">
        <v>7</v>
      </c>
      <c r="BI45">
        <v>90</v>
      </c>
      <c r="BK45" t="s">
        <v>6596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6667</v>
      </c>
      <c r="BF46">
        <v>2</v>
      </c>
      <c r="BG46">
        <v>407</v>
      </c>
      <c r="BH46">
        <v>30</v>
      </c>
      <c r="BI46">
        <v>90</v>
      </c>
      <c r="BK46" t="s">
        <v>2248</v>
      </c>
      <c r="CT46">
        <v>5</v>
      </c>
      <c r="CU46">
        <v>184</v>
      </c>
      <c r="CV46">
        <v>114</v>
      </c>
      <c r="CY46" t="s">
        <v>6668</v>
      </c>
    </row>
    <row r="47" spans="1:104" x14ac:dyDescent="0.25">
      <c r="A47" t="s">
        <v>427</v>
      </c>
      <c r="B47" t="s">
        <v>6669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2250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430</v>
      </c>
      <c r="AH48" s="1" t="s">
        <v>665</v>
      </c>
      <c r="AK48">
        <v>620</v>
      </c>
      <c r="AL48">
        <v>185</v>
      </c>
      <c r="AM48" t="s">
        <v>6640</v>
      </c>
      <c r="AN48">
        <v>5</v>
      </c>
      <c r="BF48">
        <v>5</v>
      </c>
      <c r="BG48">
        <v>18</v>
      </c>
      <c r="BH48">
        <v>19</v>
      </c>
      <c r="BK48" t="s">
        <v>6602</v>
      </c>
    </row>
    <row r="49" spans="1:104" x14ac:dyDescent="0.25">
      <c r="A49" t="s">
        <v>431</v>
      </c>
      <c r="B49" t="s">
        <v>6670</v>
      </c>
      <c r="AH49">
        <v>1</v>
      </c>
      <c r="AI49">
        <v>457</v>
      </c>
      <c r="AJ49">
        <v>7</v>
      </c>
      <c r="AK49">
        <v>90</v>
      </c>
      <c r="AM49" t="s">
        <v>6596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3282</v>
      </c>
      <c r="AH50">
        <v>2</v>
      </c>
      <c r="AI50">
        <v>457</v>
      </c>
      <c r="AJ50">
        <v>30</v>
      </c>
      <c r="AK50">
        <v>90</v>
      </c>
      <c r="AM50" t="s">
        <v>2248</v>
      </c>
      <c r="BF50">
        <v>5</v>
      </c>
      <c r="BG50">
        <v>18</v>
      </c>
      <c r="BH50">
        <v>44</v>
      </c>
      <c r="BK50" t="s">
        <v>2258</v>
      </c>
      <c r="CD50" s="1" t="s">
        <v>672</v>
      </c>
      <c r="CG50">
        <v>550</v>
      </c>
      <c r="CH50">
        <v>227</v>
      </c>
      <c r="CI50" t="s">
        <v>6671</v>
      </c>
      <c r="CJ50">
        <v>5</v>
      </c>
      <c r="CT50">
        <v>5</v>
      </c>
      <c r="CU50">
        <v>17</v>
      </c>
      <c r="CV50">
        <v>101</v>
      </c>
      <c r="CY50" t="s">
        <v>6672</v>
      </c>
      <c r="CZ50" t="s">
        <v>599</v>
      </c>
    </row>
    <row r="51" spans="1:104" x14ac:dyDescent="0.25">
      <c r="A51" t="s">
        <v>439</v>
      </c>
      <c r="B51" t="s">
        <v>6673</v>
      </c>
      <c r="AH51">
        <v>14</v>
      </c>
      <c r="AI51">
        <v>58</v>
      </c>
      <c r="AJ51">
        <v>3</v>
      </c>
      <c r="AK51">
        <v>385</v>
      </c>
      <c r="AL51">
        <v>83</v>
      </c>
      <c r="AM51" t="s">
        <v>2250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6596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2339</v>
      </c>
      <c r="AH52">
        <v>5</v>
      </c>
      <c r="AI52">
        <v>68</v>
      </c>
      <c r="AJ52">
        <v>19</v>
      </c>
      <c r="AM52" t="s">
        <v>6602</v>
      </c>
      <c r="BF52">
        <v>12</v>
      </c>
      <c r="BG52">
        <v>220</v>
      </c>
      <c r="BH52">
        <v>40</v>
      </c>
      <c r="BK52" t="s">
        <v>6614</v>
      </c>
      <c r="CD52">
        <v>2</v>
      </c>
      <c r="CE52">
        <v>440</v>
      </c>
      <c r="CF52">
        <v>30</v>
      </c>
      <c r="CG52">
        <v>90</v>
      </c>
      <c r="CI52" t="s">
        <v>2248</v>
      </c>
      <c r="CT52">
        <v>5</v>
      </c>
      <c r="CU52">
        <v>132</v>
      </c>
      <c r="CV52">
        <v>101</v>
      </c>
      <c r="CY52" t="s">
        <v>3304</v>
      </c>
    </row>
    <row r="53" spans="1:104" x14ac:dyDescent="0.25">
      <c r="A53" t="s">
        <v>338</v>
      </c>
      <c r="B53" t="s">
        <v>2341</v>
      </c>
      <c r="AH53">
        <v>10</v>
      </c>
      <c r="AI53">
        <v>272</v>
      </c>
      <c r="AJ53">
        <v>16</v>
      </c>
      <c r="AK53">
        <v>160</v>
      </c>
      <c r="AN53" t="s">
        <v>316</v>
      </c>
      <c r="BF53">
        <v>12</v>
      </c>
      <c r="BK53" t="s">
        <v>6617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2250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6674</v>
      </c>
      <c r="AH54">
        <v>13</v>
      </c>
      <c r="AI54">
        <v>69</v>
      </c>
      <c r="AJ54">
        <v>41</v>
      </c>
      <c r="AM54" t="s">
        <v>2263</v>
      </c>
      <c r="AN54" t="b">
        <v>0</v>
      </c>
      <c r="BF54">
        <v>13</v>
      </c>
      <c r="BG54">
        <v>18</v>
      </c>
      <c r="BH54">
        <v>75</v>
      </c>
      <c r="BK54" t="s">
        <v>6616</v>
      </c>
      <c r="BL54" t="b">
        <v>0</v>
      </c>
      <c r="CD54">
        <v>5</v>
      </c>
      <c r="CE54">
        <v>17</v>
      </c>
      <c r="CF54">
        <v>18</v>
      </c>
      <c r="CI54" t="s">
        <v>6603</v>
      </c>
      <c r="CT54">
        <v>5</v>
      </c>
      <c r="CU54">
        <v>232</v>
      </c>
      <c r="CV54">
        <v>101</v>
      </c>
      <c r="CY54" t="s">
        <v>6675</v>
      </c>
    </row>
    <row r="55" spans="1:104" x14ac:dyDescent="0.25">
      <c r="A55" t="s">
        <v>177</v>
      </c>
      <c r="B55" t="s">
        <v>6676</v>
      </c>
      <c r="AH55">
        <v>5</v>
      </c>
      <c r="AI55">
        <v>70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6598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6677</v>
      </c>
      <c r="AH56">
        <v>8</v>
      </c>
      <c r="AI56">
        <v>125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6609</v>
      </c>
      <c r="CT56">
        <v>5</v>
      </c>
      <c r="CU56">
        <v>17</v>
      </c>
      <c r="CV56">
        <v>131</v>
      </c>
      <c r="CY56" t="s">
        <v>6678</v>
      </c>
    </row>
    <row r="57" spans="1:104" x14ac:dyDescent="0.25">
      <c r="A57" t="s">
        <v>557</v>
      </c>
      <c r="B57" t="s">
        <v>6679</v>
      </c>
      <c r="AH57">
        <v>14</v>
      </c>
      <c r="AI57">
        <v>58</v>
      </c>
      <c r="AJ57">
        <v>91</v>
      </c>
      <c r="AK57">
        <v>385</v>
      </c>
      <c r="AL57">
        <v>86</v>
      </c>
      <c r="AM57" t="s">
        <v>6598</v>
      </c>
      <c r="BF57">
        <v>12</v>
      </c>
      <c r="BG57">
        <v>18</v>
      </c>
      <c r="BH57">
        <v>120</v>
      </c>
      <c r="BK57" t="s">
        <v>6623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3356</v>
      </c>
      <c r="AH58">
        <v>111</v>
      </c>
      <c r="AN58">
        <v>2</v>
      </c>
      <c r="BF58">
        <v>12</v>
      </c>
      <c r="BH58">
        <v>140</v>
      </c>
      <c r="BK58" t="s">
        <v>6610</v>
      </c>
      <c r="CD58">
        <v>5</v>
      </c>
      <c r="CE58">
        <v>17</v>
      </c>
      <c r="CF58">
        <v>70</v>
      </c>
      <c r="CI58" t="s">
        <v>6657</v>
      </c>
      <c r="CT58">
        <v>5</v>
      </c>
      <c r="CU58">
        <v>288</v>
      </c>
      <c r="CV58">
        <v>131</v>
      </c>
      <c r="CY58" t="s">
        <v>6680</v>
      </c>
    </row>
    <row r="59" spans="1:104" x14ac:dyDescent="0.25">
      <c r="A59" t="s">
        <v>188</v>
      </c>
      <c r="B59" t="s">
        <v>2350</v>
      </c>
      <c r="AH59">
        <v>12</v>
      </c>
      <c r="AI59">
        <v>70</v>
      </c>
      <c r="AJ59">
        <v>107</v>
      </c>
      <c r="AM59" t="s">
        <v>6623</v>
      </c>
      <c r="BF59">
        <v>12</v>
      </c>
      <c r="BH59">
        <v>160</v>
      </c>
      <c r="BK59" t="s">
        <v>6615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6681</v>
      </c>
    </row>
    <row r="60" spans="1:104" x14ac:dyDescent="0.25">
      <c r="A60" t="s">
        <v>564</v>
      </c>
      <c r="B60" t="s">
        <v>2352</v>
      </c>
      <c r="AH60">
        <v>12</v>
      </c>
      <c r="AJ60">
        <v>127</v>
      </c>
      <c r="AM60" t="s">
        <v>6610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2263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6682</v>
      </c>
      <c r="AH61">
        <v>12</v>
      </c>
      <c r="AJ61">
        <v>147</v>
      </c>
      <c r="AM61" t="s">
        <v>6615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1019</v>
      </c>
      <c r="CT61">
        <v>5</v>
      </c>
      <c r="CU61">
        <v>288</v>
      </c>
      <c r="CV61">
        <v>153</v>
      </c>
      <c r="CY61" t="s">
        <v>6680</v>
      </c>
    </row>
    <row r="62" spans="1:104" x14ac:dyDescent="0.25">
      <c r="A62" t="s">
        <v>568</v>
      </c>
      <c r="B62" t="s">
        <v>2354</v>
      </c>
      <c r="AH62">
        <v>210</v>
      </c>
      <c r="AI62">
        <v>272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6683</v>
      </c>
      <c r="AH63">
        <v>6</v>
      </c>
      <c r="AI63">
        <v>272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6598</v>
      </c>
      <c r="CT63" t="s">
        <v>554</v>
      </c>
    </row>
    <row r="64" spans="1:104" x14ac:dyDescent="0.25">
      <c r="A64" t="s">
        <v>572</v>
      </c>
      <c r="B64" t="s">
        <v>6684</v>
      </c>
      <c r="AH64">
        <v>24</v>
      </c>
      <c r="AI64">
        <v>457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3267</v>
      </c>
      <c r="CD65">
        <v>12</v>
      </c>
      <c r="CE65">
        <v>17</v>
      </c>
      <c r="CF65">
        <v>156</v>
      </c>
      <c r="CI65" t="s">
        <v>6623</v>
      </c>
      <c r="CT65">
        <v>5</v>
      </c>
    </row>
    <row r="66" spans="1:104" x14ac:dyDescent="0.25">
      <c r="A66" t="s">
        <v>194</v>
      </c>
      <c r="B66" t="s">
        <v>6592</v>
      </c>
      <c r="BF66" t="s">
        <v>334</v>
      </c>
      <c r="CD66">
        <v>12</v>
      </c>
      <c r="CF66">
        <v>176</v>
      </c>
      <c r="CI66" t="s">
        <v>6610</v>
      </c>
      <c r="CT66">
        <v>5</v>
      </c>
    </row>
    <row r="67" spans="1:104" x14ac:dyDescent="0.25">
      <c r="A67" t="s">
        <v>195</v>
      </c>
      <c r="B67" t="s">
        <v>6685</v>
      </c>
      <c r="BF67" s="1" t="s">
        <v>667</v>
      </c>
      <c r="BI67">
        <v>523</v>
      </c>
      <c r="BJ67">
        <v>181</v>
      </c>
      <c r="BK67" t="s">
        <v>6686</v>
      </c>
      <c r="BL67">
        <v>5</v>
      </c>
      <c r="CD67">
        <v>12</v>
      </c>
      <c r="CF67">
        <v>196</v>
      </c>
      <c r="CI67" t="s">
        <v>6615</v>
      </c>
      <c r="CT67">
        <v>5</v>
      </c>
    </row>
    <row r="68" spans="1:104" x14ac:dyDescent="0.25">
      <c r="A68" t="s">
        <v>576</v>
      </c>
      <c r="B68" t="s">
        <v>5078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6596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6687</v>
      </c>
      <c r="AH69" s="1" t="s">
        <v>669</v>
      </c>
      <c r="AK69">
        <v>523</v>
      </c>
      <c r="AL69">
        <v>205</v>
      </c>
      <c r="AM69" t="s">
        <v>6685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2248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6688</v>
      </c>
      <c r="AH70">
        <v>1</v>
      </c>
      <c r="AI70">
        <v>407</v>
      </c>
      <c r="AJ70">
        <v>7</v>
      </c>
      <c r="AK70">
        <v>90</v>
      </c>
      <c r="AM70" t="s">
        <v>6596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2250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2360</v>
      </c>
      <c r="AH71">
        <v>2</v>
      </c>
      <c r="AI71">
        <v>407</v>
      </c>
      <c r="AJ71">
        <v>30</v>
      </c>
      <c r="AK71">
        <v>90</v>
      </c>
      <c r="AM71" t="s">
        <v>2248</v>
      </c>
      <c r="BF71">
        <v>5</v>
      </c>
      <c r="BG71">
        <v>18</v>
      </c>
      <c r="BH71">
        <v>19</v>
      </c>
      <c r="BK71" t="s">
        <v>6602</v>
      </c>
      <c r="CT71">
        <v>5</v>
      </c>
    </row>
    <row r="72" spans="1:104" x14ac:dyDescent="0.25">
      <c r="A72" t="s">
        <v>200</v>
      </c>
      <c r="B72" t="s">
        <v>2361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2250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6689</v>
      </c>
    </row>
    <row r="73" spans="1:104" x14ac:dyDescent="0.25">
      <c r="A73" t="s">
        <v>203</v>
      </c>
      <c r="B73" t="s">
        <v>6690</v>
      </c>
      <c r="AH73">
        <v>5</v>
      </c>
      <c r="AI73">
        <v>18</v>
      </c>
      <c r="AJ73">
        <v>19</v>
      </c>
      <c r="AM73" t="s">
        <v>6602</v>
      </c>
      <c r="BF73">
        <v>13</v>
      </c>
      <c r="BG73">
        <v>18</v>
      </c>
      <c r="BH73">
        <v>40</v>
      </c>
      <c r="BK73" t="s">
        <v>6616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6691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6598</v>
      </c>
      <c r="CD74" t="s">
        <v>441</v>
      </c>
      <c r="CT74">
        <v>5</v>
      </c>
      <c r="CU74">
        <v>24</v>
      </c>
      <c r="CV74">
        <v>134</v>
      </c>
      <c r="CY74" t="s">
        <v>6692</v>
      </c>
    </row>
    <row r="75" spans="1:104" x14ac:dyDescent="0.25">
      <c r="A75" t="s">
        <v>207</v>
      </c>
      <c r="B75" t="s">
        <v>6693</v>
      </c>
      <c r="AH75">
        <v>13</v>
      </c>
      <c r="AI75">
        <v>18</v>
      </c>
      <c r="AJ75">
        <v>41</v>
      </c>
      <c r="AM75" t="s">
        <v>6616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6694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6695</v>
      </c>
      <c r="AH76">
        <v>5</v>
      </c>
      <c r="AI76">
        <v>18</v>
      </c>
      <c r="AJ76">
        <v>69</v>
      </c>
      <c r="AM76" t="s">
        <v>5079</v>
      </c>
      <c r="BF76">
        <v>12</v>
      </c>
      <c r="BG76">
        <v>18</v>
      </c>
      <c r="BH76">
        <v>86</v>
      </c>
      <c r="BK76" t="s">
        <v>6623</v>
      </c>
      <c r="CD76">
        <v>1</v>
      </c>
      <c r="CE76">
        <v>440</v>
      </c>
      <c r="CF76">
        <v>7</v>
      </c>
      <c r="CG76">
        <v>90</v>
      </c>
      <c r="CI76" t="s">
        <v>6596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6610</v>
      </c>
      <c r="CD77">
        <v>2</v>
      </c>
      <c r="CE77">
        <v>440</v>
      </c>
      <c r="CF77">
        <v>30</v>
      </c>
      <c r="CG77">
        <v>90</v>
      </c>
      <c r="CI77" t="s">
        <v>2248</v>
      </c>
      <c r="CT77" t="s">
        <v>376</v>
      </c>
    </row>
    <row r="78" spans="1:104" x14ac:dyDescent="0.25">
      <c r="A78" t="s">
        <v>219</v>
      </c>
      <c r="B78" t="s">
        <v>6593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6598</v>
      </c>
      <c r="BF78">
        <v>12</v>
      </c>
      <c r="BH78">
        <v>126</v>
      </c>
      <c r="BK78" t="s">
        <v>6615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2250</v>
      </c>
      <c r="CT78">
        <v>5</v>
      </c>
      <c r="CZ78" t="s">
        <v>376</v>
      </c>
    </row>
    <row r="79" spans="1:104" x14ac:dyDescent="0.25">
      <c r="A79" t="s">
        <v>220</v>
      </c>
      <c r="B79" t="s">
        <v>6671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6603</v>
      </c>
      <c r="CT79">
        <v>5</v>
      </c>
    </row>
    <row r="80" spans="1:104" x14ac:dyDescent="0.25">
      <c r="A80" t="s">
        <v>221</v>
      </c>
      <c r="B80" t="s">
        <v>6646</v>
      </c>
      <c r="AH80">
        <v>5</v>
      </c>
      <c r="AI80">
        <v>18</v>
      </c>
      <c r="AJ80">
        <v>112</v>
      </c>
      <c r="AM80" t="s">
        <v>6623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6694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6696</v>
      </c>
      <c r="BL81" t="b">
        <v>0</v>
      </c>
      <c r="CD81">
        <v>5</v>
      </c>
      <c r="CE81">
        <v>17</v>
      </c>
      <c r="CF81">
        <v>41</v>
      </c>
      <c r="CI81" t="s">
        <v>6609</v>
      </c>
      <c r="CT81">
        <v>5</v>
      </c>
    </row>
    <row r="82" spans="1:104" x14ac:dyDescent="0.25">
      <c r="A82" t="s">
        <v>606</v>
      </c>
      <c r="B82" t="s">
        <v>6697</v>
      </c>
      <c r="AH82">
        <v>205</v>
      </c>
      <c r="AI82">
        <v>18</v>
      </c>
      <c r="AJ82">
        <v>132</v>
      </c>
      <c r="AM82" t="s">
        <v>6610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6698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6657</v>
      </c>
      <c r="CT83">
        <v>5</v>
      </c>
    </row>
    <row r="84" spans="1:104" x14ac:dyDescent="0.25">
      <c r="A84" t="s">
        <v>303</v>
      </c>
      <c r="B84" t="s">
        <v>6699</v>
      </c>
      <c r="AH84">
        <v>205</v>
      </c>
      <c r="AI84">
        <v>18</v>
      </c>
      <c r="AJ84">
        <v>152</v>
      </c>
      <c r="AM84" t="s">
        <v>6615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6700</v>
      </c>
      <c r="AH85">
        <v>13</v>
      </c>
      <c r="AI85">
        <v>18</v>
      </c>
      <c r="AJ85">
        <v>175</v>
      </c>
      <c r="AM85" t="s">
        <v>6630</v>
      </c>
      <c r="AN85" t="b">
        <v>0</v>
      </c>
      <c r="CD85">
        <v>13</v>
      </c>
      <c r="CE85">
        <v>18</v>
      </c>
      <c r="CF85">
        <v>87</v>
      </c>
      <c r="CI85" t="s">
        <v>2263</v>
      </c>
      <c r="CJ85" t="b">
        <v>0</v>
      </c>
      <c r="CT85">
        <v>5</v>
      </c>
    </row>
    <row r="86" spans="1:104" x14ac:dyDescent="0.25">
      <c r="A86" t="s">
        <v>228</v>
      </c>
      <c r="B86" t="s">
        <v>6701</v>
      </c>
      <c r="AH86">
        <v>13</v>
      </c>
      <c r="AI86">
        <v>222</v>
      </c>
      <c r="AJ86">
        <v>175</v>
      </c>
      <c r="AM86" t="s">
        <v>6632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1019</v>
      </c>
      <c r="CT86">
        <v>5</v>
      </c>
    </row>
    <row r="87" spans="1:104" x14ac:dyDescent="0.25">
      <c r="A87" t="s">
        <v>231</v>
      </c>
      <c r="B87" t="s">
        <v>6702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2361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6703</v>
      </c>
      <c r="BF88">
        <v>1</v>
      </c>
      <c r="BG88">
        <v>407</v>
      </c>
      <c r="BH88">
        <v>7</v>
      </c>
      <c r="BI88">
        <v>90</v>
      </c>
      <c r="BK88" t="s">
        <v>6596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6598</v>
      </c>
      <c r="CT88">
        <v>5</v>
      </c>
      <c r="CU88">
        <v>26</v>
      </c>
      <c r="CV88">
        <v>108</v>
      </c>
      <c r="CY88" t="s">
        <v>6704</v>
      </c>
    </row>
    <row r="89" spans="1:104" x14ac:dyDescent="0.25">
      <c r="A89" t="s">
        <v>299</v>
      </c>
      <c r="B89" t="s">
        <v>6705</v>
      </c>
      <c r="BF89">
        <v>2</v>
      </c>
      <c r="BG89">
        <v>407</v>
      </c>
      <c r="BH89">
        <v>30</v>
      </c>
      <c r="BI89">
        <v>90</v>
      </c>
      <c r="BK89" t="s">
        <v>2248</v>
      </c>
      <c r="CD89">
        <v>111</v>
      </c>
      <c r="CJ89">
        <v>2</v>
      </c>
      <c r="CT89">
        <v>8</v>
      </c>
      <c r="CU89">
        <v>120</v>
      </c>
      <c r="CV89">
        <v>106</v>
      </c>
      <c r="CW89">
        <v>60</v>
      </c>
    </row>
    <row r="90" spans="1:104" x14ac:dyDescent="0.25">
      <c r="A90" t="s">
        <v>235</v>
      </c>
      <c r="B90" t="s">
        <v>6706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2250</v>
      </c>
      <c r="CD90">
        <v>12</v>
      </c>
      <c r="CE90">
        <v>17</v>
      </c>
      <c r="CF90">
        <v>152</v>
      </c>
      <c r="CI90" t="s">
        <v>6623</v>
      </c>
    </row>
    <row r="91" spans="1:104" x14ac:dyDescent="0.25">
      <c r="A91" t="s">
        <v>237</v>
      </c>
      <c r="B91" t="s">
        <v>6707</v>
      </c>
      <c r="BF91">
        <v>5</v>
      </c>
      <c r="BG91">
        <v>18</v>
      </c>
      <c r="BH91">
        <v>19</v>
      </c>
      <c r="BK91" t="s">
        <v>6602</v>
      </c>
      <c r="CD91">
        <v>12</v>
      </c>
      <c r="CF91">
        <v>172</v>
      </c>
      <c r="CI91" t="s">
        <v>6610</v>
      </c>
      <c r="CT91" t="s">
        <v>379</v>
      </c>
    </row>
    <row r="92" spans="1:104" x14ac:dyDescent="0.25">
      <c r="A92" t="s">
        <v>239</v>
      </c>
      <c r="B92" t="s">
        <v>6708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6615</v>
      </c>
      <c r="CT92">
        <v>5</v>
      </c>
      <c r="CZ92" t="s">
        <v>379</v>
      </c>
    </row>
    <row r="93" spans="1:104" x14ac:dyDescent="0.25">
      <c r="A93" t="s">
        <v>485</v>
      </c>
      <c r="B93" t="s">
        <v>486</v>
      </c>
      <c r="BF93">
        <v>5</v>
      </c>
      <c r="BG93">
        <v>18</v>
      </c>
      <c r="BH93">
        <v>43</v>
      </c>
      <c r="BK93" t="s">
        <v>6709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243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6710</v>
      </c>
      <c r="BF95">
        <v>13</v>
      </c>
      <c r="BG95">
        <v>18</v>
      </c>
      <c r="BH95">
        <v>66</v>
      </c>
      <c r="BK95" t="s">
        <v>2263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6711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6598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6712</v>
      </c>
      <c r="BF98">
        <v>12</v>
      </c>
      <c r="BG98">
        <v>18</v>
      </c>
      <c r="BH98">
        <v>112</v>
      </c>
      <c r="BK98" t="s">
        <v>6623</v>
      </c>
      <c r="CT98">
        <v>5</v>
      </c>
    </row>
    <row r="99" spans="1:104" x14ac:dyDescent="0.25">
      <c r="A99" t="s">
        <v>252</v>
      </c>
      <c r="B99" t="s">
        <v>6713</v>
      </c>
      <c r="BF99">
        <v>12</v>
      </c>
      <c r="BH99">
        <v>132</v>
      </c>
      <c r="BK99" t="s">
        <v>6610</v>
      </c>
      <c r="CD99" t="s">
        <v>357</v>
      </c>
      <c r="CT99">
        <v>5</v>
      </c>
    </row>
    <row r="100" spans="1:104" x14ac:dyDescent="0.25">
      <c r="A100" t="s">
        <v>511</v>
      </c>
      <c r="B100" t="s">
        <v>6714</v>
      </c>
      <c r="BF100">
        <v>12</v>
      </c>
      <c r="BH100">
        <v>152</v>
      </c>
      <c r="BK100" t="s">
        <v>6615</v>
      </c>
      <c r="CD100" s="1" t="s">
        <v>674</v>
      </c>
      <c r="CG100">
        <v>558</v>
      </c>
      <c r="CH100">
        <v>281</v>
      </c>
      <c r="CI100" t="s">
        <v>6710</v>
      </c>
      <c r="CJ100">
        <v>5</v>
      </c>
      <c r="CT100">
        <v>5</v>
      </c>
      <c r="CU100">
        <v>23</v>
      </c>
      <c r="CV100">
        <v>131</v>
      </c>
      <c r="CY100" t="s">
        <v>6715</v>
      </c>
    </row>
    <row r="101" spans="1:104" x14ac:dyDescent="0.25">
      <c r="A101" t="s">
        <v>513</v>
      </c>
      <c r="B101" t="s">
        <v>6714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454</v>
      </c>
      <c r="CF101">
        <v>7</v>
      </c>
      <c r="CG101">
        <v>90</v>
      </c>
      <c r="CI101" t="s">
        <v>6596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6716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454</v>
      </c>
      <c r="CF102">
        <v>30</v>
      </c>
      <c r="CG102">
        <v>90</v>
      </c>
      <c r="CI102" t="s">
        <v>2248</v>
      </c>
      <c r="CT102">
        <v>5</v>
      </c>
      <c r="CU102">
        <v>25</v>
      </c>
      <c r="CV102">
        <v>108</v>
      </c>
      <c r="CY102" t="s">
        <v>6704</v>
      </c>
    </row>
    <row r="103" spans="1:104" x14ac:dyDescent="0.25">
      <c r="A103" t="s">
        <v>516</v>
      </c>
      <c r="B103" t="s">
        <v>6717</v>
      </c>
      <c r="BF103">
        <v>13</v>
      </c>
      <c r="BG103">
        <v>18</v>
      </c>
      <c r="BH103">
        <v>174</v>
      </c>
      <c r="BK103" t="s">
        <v>6718</v>
      </c>
      <c r="BL103" t="b">
        <v>0</v>
      </c>
      <c r="CD103">
        <v>14</v>
      </c>
      <c r="CE103">
        <v>8</v>
      </c>
      <c r="CF103">
        <v>3</v>
      </c>
      <c r="CG103">
        <v>432</v>
      </c>
      <c r="CH103">
        <v>186</v>
      </c>
      <c r="CI103" t="s">
        <v>2250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6719</v>
      </c>
      <c r="BF104">
        <v>13</v>
      </c>
      <c r="BK104" t="s">
        <v>6720</v>
      </c>
      <c r="BL104" t="b">
        <v>0</v>
      </c>
      <c r="CD104">
        <v>5</v>
      </c>
      <c r="CE104">
        <v>17</v>
      </c>
      <c r="CF104">
        <v>18</v>
      </c>
      <c r="CI104" t="s">
        <v>6603</v>
      </c>
    </row>
    <row r="105" spans="1:104" x14ac:dyDescent="0.25">
      <c r="A105" t="s">
        <v>534</v>
      </c>
      <c r="B105" t="s">
        <v>6721</v>
      </c>
      <c r="BF105">
        <v>13</v>
      </c>
      <c r="BK105" t="s">
        <v>6630</v>
      </c>
      <c r="BL105" t="b">
        <v>0</v>
      </c>
      <c r="CD105">
        <v>10</v>
      </c>
      <c r="CE105">
        <v>232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6722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6609</v>
      </c>
      <c r="CT106">
        <v>5</v>
      </c>
      <c r="CZ106" t="s">
        <v>382</v>
      </c>
    </row>
    <row r="107" spans="1:104" x14ac:dyDescent="0.25">
      <c r="A107" t="s">
        <v>538</v>
      </c>
      <c r="B107" t="s">
        <v>6595</v>
      </c>
      <c r="CD107">
        <v>10</v>
      </c>
      <c r="CE107">
        <v>232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826</v>
      </c>
      <c r="CD108">
        <v>5</v>
      </c>
      <c r="CE108">
        <v>17</v>
      </c>
      <c r="CF108">
        <v>68</v>
      </c>
      <c r="CI108" t="s">
        <v>6657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270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6723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270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6724</v>
      </c>
      <c r="CT112">
        <v>5</v>
      </c>
    </row>
    <row r="113" spans="1:104" x14ac:dyDescent="0.25">
      <c r="A113" t="s">
        <v>539</v>
      </c>
      <c r="B113" t="s">
        <v>6725</v>
      </c>
      <c r="CD113">
        <v>8</v>
      </c>
      <c r="CE113">
        <v>270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2406</v>
      </c>
      <c r="CD114">
        <v>13</v>
      </c>
      <c r="CE114">
        <v>17</v>
      </c>
      <c r="CF114">
        <v>143</v>
      </c>
      <c r="CI114" t="s">
        <v>2263</v>
      </c>
      <c r="CJ114" t="b">
        <v>0</v>
      </c>
      <c r="CT114">
        <v>5</v>
      </c>
    </row>
    <row r="115" spans="1:104" x14ac:dyDescent="0.25">
      <c r="A115" t="s">
        <v>543</v>
      </c>
      <c r="B115" t="s">
        <v>6589</v>
      </c>
      <c r="CD115">
        <v>5</v>
      </c>
      <c r="CE115">
        <v>17</v>
      </c>
      <c r="CF115">
        <v>168</v>
      </c>
      <c r="CI115" t="s">
        <v>1019</v>
      </c>
      <c r="CT115">
        <v>5</v>
      </c>
    </row>
    <row r="116" spans="1:104" x14ac:dyDescent="0.25">
      <c r="A116" t="s">
        <v>544</v>
      </c>
      <c r="B116" t="s">
        <v>6726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1149</v>
      </c>
    </row>
    <row r="117" spans="1:104" x14ac:dyDescent="0.25">
      <c r="A117" t="s">
        <v>547</v>
      </c>
      <c r="B117" t="s">
        <v>6727</v>
      </c>
      <c r="CD117">
        <v>14</v>
      </c>
      <c r="CE117">
        <v>8</v>
      </c>
      <c r="CF117">
        <v>195</v>
      </c>
      <c r="CG117">
        <v>432</v>
      </c>
      <c r="CH117">
        <v>81</v>
      </c>
      <c r="CI117" t="s">
        <v>6598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6687</v>
      </c>
      <c r="CD118">
        <v>111</v>
      </c>
      <c r="CJ118">
        <v>2</v>
      </c>
    </row>
    <row r="119" spans="1:104" x14ac:dyDescent="0.25">
      <c r="A119" t="s">
        <v>562</v>
      </c>
      <c r="B119" t="s">
        <v>6728</v>
      </c>
      <c r="CD119">
        <v>12</v>
      </c>
      <c r="CE119">
        <v>17</v>
      </c>
      <c r="CF119">
        <v>211</v>
      </c>
      <c r="CI119" t="s">
        <v>6623</v>
      </c>
      <c r="CT119" t="s">
        <v>332</v>
      </c>
    </row>
    <row r="120" spans="1:104" x14ac:dyDescent="0.25">
      <c r="A120" t="s">
        <v>366</v>
      </c>
      <c r="B120" t="s">
        <v>6729</v>
      </c>
      <c r="CD120">
        <v>12</v>
      </c>
      <c r="CF120">
        <v>231</v>
      </c>
      <c r="CI120" t="s">
        <v>6610</v>
      </c>
      <c r="CT120">
        <v>5</v>
      </c>
      <c r="CZ120" t="s">
        <v>332</v>
      </c>
    </row>
    <row r="121" spans="1:104" x14ac:dyDescent="0.25">
      <c r="A121" t="s">
        <v>368</v>
      </c>
      <c r="B121" t="s">
        <v>6730</v>
      </c>
      <c r="CD121">
        <v>12</v>
      </c>
      <c r="CF121">
        <v>251</v>
      </c>
      <c r="CI121" t="s">
        <v>6615</v>
      </c>
      <c r="CT121">
        <v>5</v>
      </c>
    </row>
    <row r="122" spans="1:104" x14ac:dyDescent="0.25">
      <c r="A122" t="s">
        <v>370</v>
      </c>
      <c r="B122" t="s">
        <v>1135</v>
      </c>
      <c r="CD122">
        <v>210</v>
      </c>
      <c r="CE122">
        <v>232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232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6731</v>
      </c>
      <c r="CD124">
        <v>24</v>
      </c>
      <c r="CE124">
        <v>454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6732</v>
      </c>
      <c r="CT125">
        <v>5</v>
      </c>
    </row>
    <row r="126" spans="1:104" x14ac:dyDescent="0.25">
      <c r="A126" t="s">
        <v>590</v>
      </c>
      <c r="B126" t="s">
        <v>6733</v>
      </c>
      <c r="CT126">
        <v>5</v>
      </c>
    </row>
    <row r="127" spans="1:104" x14ac:dyDescent="0.25">
      <c r="A127" t="s">
        <v>592</v>
      </c>
      <c r="B127" t="s">
        <v>6734</v>
      </c>
      <c r="CT127">
        <v>5</v>
      </c>
    </row>
    <row r="128" spans="1:104" x14ac:dyDescent="0.25">
      <c r="A128" t="s">
        <v>594</v>
      </c>
      <c r="B128" t="s">
        <v>6735</v>
      </c>
      <c r="CT128">
        <v>5</v>
      </c>
    </row>
    <row r="129" spans="1:104" x14ac:dyDescent="0.25">
      <c r="A129" t="s">
        <v>596</v>
      </c>
      <c r="B129" t="s">
        <v>6736</v>
      </c>
      <c r="CT129">
        <v>5</v>
      </c>
    </row>
    <row r="130" spans="1:104" x14ac:dyDescent="0.25">
      <c r="A130" t="s">
        <v>277</v>
      </c>
      <c r="B130" t="s">
        <v>6737</v>
      </c>
      <c r="CT130">
        <v>5</v>
      </c>
      <c r="CU130">
        <v>23</v>
      </c>
      <c r="CV130">
        <v>107</v>
      </c>
      <c r="CY130" t="s">
        <v>6738</v>
      </c>
    </row>
    <row r="131" spans="1:104" x14ac:dyDescent="0.25">
      <c r="A131" t="s">
        <v>279</v>
      </c>
      <c r="B131" t="s">
        <v>6739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2421</v>
      </c>
    </row>
    <row r="133" spans="1:104" x14ac:dyDescent="0.25">
      <c r="A133" t="s">
        <v>283</v>
      </c>
      <c r="B133" t="s">
        <v>6740</v>
      </c>
    </row>
    <row r="134" spans="1:104" x14ac:dyDescent="0.25">
      <c r="A134" t="s">
        <v>285</v>
      </c>
      <c r="B134" t="s">
        <v>2423</v>
      </c>
      <c r="CT134" t="s">
        <v>287</v>
      </c>
    </row>
    <row r="135" spans="1:104" x14ac:dyDescent="0.25">
      <c r="A135" t="s">
        <v>288</v>
      </c>
      <c r="B135" t="s">
        <v>6741</v>
      </c>
      <c r="CT135" t="s">
        <v>507</v>
      </c>
    </row>
    <row r="136" spans="1:104" x14ac:dyDescent="0.25">
      <c r="A136" t="s">
        <v>290</v>
      </c>
      <c r="B136" t="s">
        <v>851</v>
      </c>
      <c r="CT136" t="str">
        <f>mg01s.RandUniform</f>
        <v>Uniforme</v>
      </c>
      <c r="CU136" t="s">
        <v>551</v>
      </c>
    </row>
    <row r="137" spans="1:104" x14ac:dyDescent="0.25">
      <c r="A137" t="s">
        <v>292</v>
      </c>
      <c r="B137" t="s">
        <v>2426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6742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6743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6744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6745</v>
      </c>
      <c r="CT141" t="str">
        <f>mg01s.RandPatterned</f>
        <v>Frecuencia relativa</v>
      </c>
      <c r="CU141" t="s">
        <v>599</v>
      </c>
    </row>
    <row r="142" spans="1:104" x14ac:dyDescent="0.25">
      <c r="A142" t="s">
        <v>92</v>
      </c>
      <c r="B142" t="s">
        <v>6746</v>
      </c>
      <c r="CT142" t="str">
        <f>mg01s.RandDiscrete</f>
        <v>Discreta</v>
      </c>
      <c r="CU142" t="s">
        <v>332</v>
      </c>
    </row>
    <row r="143" spans="1:104" x14ac:dyDescent="0.25">
      <c r="A143" t="s">
        <v>304</v>
      </c>
      <c r="B143" t="s">
        <v>5080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6747</v>
      </c>
    </row>
    <row r="147" spans="1:2" x14ac:dyDescent="0.25">
      <c r="A147" t="s">
        <v>313</v>
      </c>
      <c r="B147" t="s">
        <v>6748</v>
      </c>
    </row>
    <row r="148" spans="1:2" x14ac:dyDescent="0.25">
      <c r="A148" t="s">
        <v>102</v>
      </c>
      <c r="B148" t="s">
        <v>6749</v>
      </c>
    </row>
    <row r="149" spans="1:2" x14ac:dyDescent="0.25">
      <c r="A149" t="s">
        <v>319</v>
      </c>
      <c r="B149" t="s">
        <v>6750</v>
      </c>
    </row>
    <row r="150" spans="1:2" x14ac:dyDescent="0.25">
      <c r="A150" t="s">
        <v>105</v>
      </c>
      <c r="B150" t="s">
        <v>6751</v>
      </c>
    </row>
    <row r="151" spans="1:2" x14ac:dyDescent="0.25">
      <c r="A151" t="s">
        <v>323</v>
      </c>
      <c r="B151" t="s">
        <v>6752</v>
      </c>
    </row>
    <row r="152" spans="1:2" x14ac:dyDescent="0.25">
      <c r="A152" t="s">
        <v>108</v>
      </c>
      <c r="B152" t="s">
        <v>6753</v>
      </c>
    </row>
    <row r="153" spans="1:2" x14ac:dyDescent="0.25">
      <c r="A153" t="s">
        <v>110</v>
      </c>
      <c r="B153" t="s">
        <v>6754</v>
      </c>
    </row>
    <row r="154" spans="1:2" x14ac:dyDescent="0.25">
      <c r="A154" t="s">
        <v>112</v>
      </c>
      <c r="B154" t="s">
        <v>6755</v>
      </c>
    </row>
    <row r="155" spans="1:2" x14ac:dyDescent="0.25">
      <c r="A155" t="s">
        <v>336</v>
      </c>
      <c r="B155" t="s">
        <v>6756</v>
      </c>
    </row>
    <row r="156" spans="1:2" x14ac:dyDescent="0.25">
      <c r="A156" t="s">
        <v>120</v>
      </c>
      <c r="B156" t="s">
        <v>6757</v>
      </c>
    </row>
    <row r="157" spans="1:2" x14ac:dyDescent="0.25">
      <c r="A157" t="s">
        <v>349</v>
      </c>
      <c r="B157" t="s">
        <v>6758</v>
      </c>
    </row>
    <row r="158" spans="1:2" x14ac:dyDescent="0.25">
      <c r="A158" t="s">
        <v>350</v>
      </c>
      <c r="B158" t="s">
        <v>6759</v>
      </c>
    </row>
    <row r="159" spans="1:2" x14ac:dyDescent="0.25">
      <c r="A159" t="s">
        <v>438</v>
      </c>
      <c r="B159" t="s">
        <v>6760</v>
      </c>
    </row>
    <row r="160" spans="1:2" x14ac:dyDescent="0.25">
      <c r="A160" t="s">
        <v>353</v>
      </c>
      <c r="B160" t="s">
        <v>6761</v>
      </c>
    </row>
    <row r="161" spans="1:2" x14ac:dyDescent="0.25">
      <c r="A161" t="s">
        <v>355</v>
      </c>
      <c r="B161" t="s">
        <v>6762</v>
      </c>
    </row>
    <row r="162" spans="1:2" x14ac:dyDescent="0.25">
      <c r="A162" t="s">
        <v>129</v>
      </c>
      <c r="B162" t="s">
        <v>6763</v>
      </c>
    </row>
    <row r="163" spans="1:2" x14ac:dyDescent="0.25">
      <c r="A163" t="s">
        <v>363</v>
      </c>
      <c r="B163" t="s">
        <v>6764</v>
      </c>
    </row>
    <row r="164" spans="1:2" x14ac:dyDescent="0.25">
      <c r="A164" t="s">
        <v>365</v>
      </c>
      <c r="B164" t="s">
        <v>6765</v>
      </c>
    </row>
    <row r="165" spans="1:2" x14ac:dyDescent="0.25">
      <c r="A165" t="s">
        <v>374</v>
      </c>
      <c r="B165" t="s">
        <v>6766</v>
      </c>
    </row>
    <row r="166" spans="1:2" x14ac:dyDescent="0.25">
      <c r="A166" t="s">
        <v>135</v>
      </c>
      <c r="B166" t="s">
        <v>6767</v>
      </c>
    </row>
    <row r="167" spans="1:2" x14ac:dyDescent="0.25">
      <c r="A167" t="s">
        <v>137</v>
      </c>
      <c r="B167" t="s">
        <v>6768</v>
      </c>
    </row>
    <row r="168" spans="1:2" x14ac:dyDescent="0.25">
      <c r="A168" t="s">
        <v>139</v>
      </c>
      <c r="B168" t="s">
        <v>6769</v>
      </c>
    </row>
    <row r="169" spans="1:2" x14ac:dyDescent="0.25">
      <c r="A169" t="s">
        <v>384</v>
      </c>
      <c r="B169" t="s">
        <v>6770</v>
      </c>
    </row>
    <row r="170" spans="1:2" x14ac:dyDescent="0.25">
      <c r="A170" t="s">
        <v>462</v>
      </c>
      <c r="B170" t="s">
        <v>6771</v>
      </c>
    </row>
    <row r="171" spans="1:2" x14ac:dyDescent="0.25">
      <c r="A171" t="s">
        <v>464</v>
      </c>
      <c r="B171" t="s">
        <v>6772</v>
      </c>
    </row>
    <row r="172" spans="1:2" x14ac:dyDescent="0.25">
      <c r="A172" t="s">
        <v>388</v>
      </c>
      <c r="B172" t="s">
        <v>6773</v>
      </c>
    </row>
    <row r="173" spans="1:2" x14ac:dyDescent="0.25">
      <c r="A173" t="s">
        <v>147</v>
      </c>
      <c r="B173" t="s">
        <v>6774</v>
      </c>
    </row>
    <row r="174" spans="1:2" x14ac:dyDescent="0.25">
      <c r="A174" t="s">
        <v>385</v>
      </c>
      <c r="B174" t="s">
        <v>6775</v>
      </c>
    </row>
    <row r="175" spans="1:2" x14ac:dyDescent="0.25">
      <c r="A175" t="s">
        <v>151</v>
      </c>
      <c r="B175" t="s">
        <v>6776</v>
      </c>
    </row>
    <row r="176" spans="1:2" x14ac:dyDescent="0.25">
      <c r="A176" t="s">
        <v>406</v>
      </c>
      <c r="B176" t="s">
        <v>6777</v>
      </c>
    </row>
    <row r="177" spans="1:2" x14ac:dyDescent="0.25">
      <c r="A177" t="s">
        <v>408</v>
      </c>
      <c r="B177" t="s">
        <v>6778</v>
      </c>
    </row>
    <row r="178" spans="1:2" x14ac:dyDescent="0.25">
      <c r="A178" t="s">
        <v>503</v>
      </c>
      <c r="B178" t="s">
        <v>6779</v>
      </c>
    </row>
    <row r="179" spans="1:2" x14ac:dyDescent="0.25">
      <c r="A179" t="s">
        <v>410</v>
      </c>
      <c r="B179" t="s">
        <v>6780</v>
      </c>
    </row>
    <row r="180" spans="1:2" x14ac:dyDescent="0.25">
      <c r="A180" t="s">
        <v>412</v>
      </c>
      <c r="B180" t="s">
        <v>6781</v>
      </c>
    </row>
    <row r="181" spans="1:2" x14ac:dyDescent="0.25">
      <c r="A181" t="s">
        <v>161</v>
      </c>
      <c r="B181" t="s">
        <v>6782</v>
      </c>
    </row>
    <row r="182" spans="1:2" x14ac:dyDescent="0.25">
      <c r="A182" t="s">
        <v>415</v>
      </c>
      <c r="B182" t="s">
        <v>6783</v>
      </c>
    </row>
    <row r="183" spans="1:2" x14ac:dyDescent="0.25">
      <c r="A183" t="s">
        <v>173</v>
      </c>
      <c r="B183" t="s">
        <v>6784</v>
      </c>
    </row>
    <row r="184" spans="1:2" x14ac:dyDescent="0.25">
      <c r="A184" t="s">
        <v>167</v>
      </c>
      <c r="B184" t="s">
        <v>6785</v>
      </c>
    </row>
    <row r="185" spans="1:2" x14ac:dyDescent="0.25">
      <c r="A185" t="s">
        <v>169</v>
      </c>
      <c r="B185" t="s">
        <v>6786</v>
      </c>
    </row>
    <row r="186" spans="1:2" x14ac:dyDescent="0.25">
      <c r="A186" t="s">
        <v>444</v>
      </c>
      <c r="B186" t="s">
        <v>6787</v>
      </c>
    </row>
    <row r="187" spans="1:2" x14ac:dyDescent="0.25">
      <c r="A187" t="s">
        <v>18</v>
      </c>
      <c r="B187" t="s">
        <v>6788</v>
      </c>
    </row>
    <row r="188" spans="1:2" x14ac:dyDescent="0.25">
      <c r="A188" t="s">
        <v>175</v>
      </c>
      <c r="B188" t="s">
        <v>6789</v>
      </c>
    </row>
    <row r="189" spans="1:2" x14ac:dyDescent="0.25">
      <c r="A189" t="s">
        <v>181</v>
      </c>
      <c r="B189" t="s">
        <v>6790</v>
      </c>
    </row>
    <row r="190" spans="1:2" x14ac:dyDescent="0.25">
      <c r="A190" t="s">
        <v>64</v>
      </c>
      <c r="B190" t="s">
        <v>6791</v>
      </c>
    </row>
    <row r="191" spans="1:2" x14ac:dyDescent="0.25">
      <c r="A191" t="s">
        <v>185</v>
      </c>
      <c r="B191" t="s">
        <v>6792</v>
      </c>
    </row>
    <row r="192" spans="1:2" x14ac:dyDescent="0.25">
      <c r="A192" t="s">
        <v>192</v>
      </c>
      <c r="B192" t="s">
        <v>6793</v>
      </c>
    </row>
    <row r="193" spans="1:2" x14ac:dyDescent="0.25">
      <c r="A193" t="s">
        <v>67</v>
      </c>
      <c r="B193" t="s">
        <v>6794</v>
      </c>
    </row>
    <row r="194" spans="1:2" x14ac:dyDescent="0.25">
      <c r="A194" t="s">
        <v>197</v>
      </c>
      <c r="B194" t="s">
        <v>6795</v>
      </c>
    </row>
    <row r="195" spans="1:2" x14ac:dyDescent="0.25">
      <c r="A195" t="s">
        <v>199</v>
      </c>
      <c r="B195" t="s">
        <v>6796</v>
      </c>
    </row>
    <row r="196" spans="1:2" x14ac:dyDescent="0.25">
      <c r="A196" t="s">
        <v>44</v>
      </c>
      <c r="B196" t="s">
        <v>6797</v>
      </c>
    </row>
    <row r="197" spans="1:2" x14ac:dyDescent="0.25">
      <c r="A197" t="s">
        <v>46</v>
      </c>
      <c r="B197" t="s">
        <v>6798</v>
      </c>
    </row>
    <row r="198" spans="1:2" x14ac:dyDescent="0.25">
      <c r="A198" t="s">
        <v>212</v>
      </c>
      <c r="B198" t="s">
        <v>6799</v>
      </c>
    </row>
    <row r="199" spans="1:2" x14ac:dyDescent="0.25">
      <c r="A199" t="s">
        <v>215</v>
      </c>
      <c r="B199" t="s">
        <v>6800</v>
      </c>
    </row>
    <row r="200" spans="1:2" x14ac:dyDescent="0.25">
      <c r="A200" t="s">
        <v>77</v>
      </c>
      <c r="B200" t="s">
        <v>6801</v>
      </c>
    </row>
    <row r="201" spans="1:2" x14ac:dyDescent="0.25">
      <c r="A201" t="s">
        <v>223</v>
      </c>
      <c r="B201" t="s">
        <v>6802</v>
      </c>
    </row>
    <row r="202" spans="1:2" x14ac:dyDescent="0.25">
      <c r="A202" t="s">
        <v>1</v>
      </c>
      <c r="B202" t="s">
        <v>6803</v>
      </c>
    </row>
    <row r="203" spans="1:2" x14ac:dyDescent="0.25">
      <c r="A203" t="s">
        <v>225</v>
      </c>
      <c r="B203" t="s">
        <v>6804</v>
      </c>
    </row>
    <row r="204" spans="1:2" x14ac:dyDescent="0.25">
      <c r="A204" t="s">
        <v>4</v>
      </c>
      <c r="B204" t="s">
        <v>6805</v>
      </c>
    </row>
    <row r="205" spans="1:2" x14ac:dyDescent="0.25">
      <c r="A205" t="s">
        <v>233</v>
      </c>
      <c r="B205" t="s">
        <v>6806</v>
      </c>
    </row>
    <row r="206" spans="1:2" x14ac:dyDescent="0.25">
      <c r="A206" t="s">
        <v>6</v>
      </c>
      <c r="B206" t="s">
        <v>6807</v>
      </c>
    </row>
    <row r="207" spans="1:2" x14ac:dyDescent="0.25">
      <c r="A207" t="s">
        <v>241</v>
      </c>
      <c r="B207" t="s">
        <v>6808</v>
      </c>
    </row>
    <row r="208" spans="1:2" x14ac:dyDescent="0.25">
      <c r="A208" t="s">
        <v>11</v>
      </c>
      <c r="B208" t="s">
        <v>6809</v>
      </c>
    </row>
    <row r="209" spans="1:103" x14ac:dyDescent="0.25">
      <c r="A209" t="s">
        <v>13</v>
      </c>
      <c r="B209" t="s">
        <v>6810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6811</v>
      </c>
    </row>
    <row r="212" spans="1:103" x14ac:dyDescent="0.25">
      <c r="A212" t="s">
        <v>258</v>
      </c>
      <c r="B212" t="s">
        <v>6812</v>
      </c>
    </row>
    <row r="213" spans="1:103" x14ac:dyDescent="0.25">
      <c r="A213" t="s">
        <v>533</v>
      </c>
      <c r="B213" t="s">
        <v>6813</v>
      </c>
      <c r="BS213" t="b">
        <v>1</v>
      </c>
    </row>
    <row r="214" spans="1:103" x14ac:dyDescent="0.25">
      <c r="A214" t="s">
        <v>17</v>
      </c>
      <c r="B214" t="s">
        <v>6814</v>
      </c>
    </row>
    <row r="215" spans="1:103" x14ac:dyDescent="0.25">
      <c r="A215" t="s">
        <v>265</v>
      </c>
      <c r="B215" t="s">
        <v>6815</v>
      </c>
    </row>
    <row r="216" spans="1:103" x14ac:dyDescent="0.25">
      <c r="A216" t="s">
        <v>550</v>
      </c>
      <c r="B216" t="s">
        <v>6816</v>
      </c>
    </row>
    <row r="217" spans="1:103" x14ac:dyDescent="0.25">
      <c r="A217" t="s">
        <v>267</v>
      </c>
      <c r="B217" t="s">
        <v>6817</v>
      </c>
    </row>
    <row r="218" spans="1:103" x14ac:dyDescent="0.25">
      <c r="A218" t="s">
        <v>262</v>
      </c>
      <c r="B218" t="s">
        <v>6818</v>
      </c>
    </row>
    <row r="219" spans="1:103" x14ac:dyDescent="0.25">
      <c r="A219" t="s">
        <v>272</v>
      </c>
      <c r="B219" t="s">
        <v>6819</v>
      </c>
    </row>
    <row r="220" spans="1:103" x14ac:dyDescent="0.25">
      <c r="A220" t="s">
        <v>36</v>
      </c>
      <c r="B220" t="s">
        <v>6820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6821</v>
      </c>
      <c r="AE221" t="b">
        <v>1</v>
      </c>
    </row>
    <row r="222" spans="1:103" x14ac:dyDescent="0.25">
      <c r="A222" t="s">
        <v>269</v>
      </c>
      <c r="B222" t="s">
        <v>6822</v>
      </c>
      <c r="CY222" t="b">
        <v>1</v>
      </c>
    </row>
    <row r="223" spans="1:103" x14ac:dyDescent="0.25">
      <c r="A223" t="s">
        <v>40</v>
      </c>
      <c r="B223" t="s">
        <v>6823</v>
      </c>
    </row>
    <row r="224" spans="1:103" x14ac:dyDescent="0.25">
      <c r="A224" t="s">
        <v>42</v>
      </c>
      <c r="B224" t="s">
        <v>6824</v>
      </c>
      <c r="CI224" t="b">
        <v>1</v>
      </c>
    </row>
    <row r="225" spans="1:2" x14ac:dyDescent="0.25">
      <c r="A225" t="s">
        <v>275</v>
      </c>
      <c r="B225" t="s">
        <v>6825</v>
      </c>
    </row>
    <row r="226" spans="1:2" x14ac:dyDescent="0.25">
      <c r="A226" t="s">
        <v>73</v>
      </c>
      <c r="B226" t="s">
        <v>6826</v>
      </c>
    </row>
    <row r="227" spans="1:2" x14ac:dyDescent="0.25">
      <c r="A227" t="s">
        <v>75</v>
      </c>
      <c r="B227" t="s">
        <v>6827</v>
      </c>
    </row>
    <row r="228" spans="1:2" x14ac:dyDescent="0.25">
      <c r="A228" t="s">
        <v>88</v>
      </c>
      <c r="B228" t="s">
        <v>6828</v>
      </c>
    </row>
    <row r="229" spans="1:2" x14ac:dyDescent="0.25">
      <c r="A229" t="s">
        <v>49</v>
      </c>
      <c r="B229" t="s">
        <v>6829</v>
      </c>
    </row>
    <row r="230" spans="1:2" x14ac:dyDescent="0.25">
      <c r="A230" t="s">
        <v>51</v>
      </c>
      <c r="B230" t="s">
        <v>6830</v>
      </c>
    </row>
    <row r="231" spans="1:2" x14ac:dyDescent="0.25">
      <c r="A231" t="s">
        <v>53</v>
      </c>
      <c r="B231" t="s">
        <v>6831</v>
      </c>
    </row>
    <row r="232" spans="1:2" x14ac:dyDescent="0.25">
      <c r="A232" t="s">
        <v>55</v>
      </c>
      <c r="B232" t="s">
        <v>6832</v>
      </c>
    </row>
    <row r="233" spans="1:2" x14ac:dyDescent="0.25">
      <c r="A233" t="s">
        <v>57</v>
      </c>
      <c r="B233" t="s">
        <v>6833</v>
      </c>
    </row>
    <row r="234" spans="1:2" x14ac:dyDescent="0.25">
      <c r="A234" t="s">
        <v>59</v>
      </c>
      <c r="B234" t="s">
        <v>6834</v>
      </c>
    </row>
    <row r="235" spans="1:2" x14ac:dyDescent="0.25">
      <c r="A235" t="s">
        <v>24</v>
      </c>
      <c r="B235" t="s">
        <v>6835</v>
      </c>
    </row>
    <row r="236" spans="1:2" x14ac:dyDescent="0.25">
      <c r="A236" t="s">
        <v>32</v>
      </c>
      <c r="B236" t="s">
        <v>6836</v>
      </c>
    </row>
    <row r="237" spans="1:2" x14ac:dyDescent="0.25">
      <c r="A237" t="s">
        <v>101</v>
      </c>
      <c r="B237" t="s">
        <v>6837</v>
      </c>
    </row>
    <row r="238" spans="1:2" x14ac:dyDescent="0.25">
      <c r="A238" t="s">
        <v>159</v>
      </c>
      <c r="B238" t="s">
        <v>6838</v>
      </c>
    </row>
    <row r="239" spans="1:2" x14ac:dyDescent="0.25">
      <c r="A239" t="s">
        <v>107</v>
      </c>
      <c r="B239" t="s">
        <v>6839</v>
      </c>
    </row>
    <row r="240" spans="1:2" x14ac:dyDescent="0.25">
      <c r="A240" t="s">
        <v>15</v>
      </c>
      <c r="B240" t="s">
        <v>6840</v>
      </c>
    </row>
    <row r="241" spans="1:2" x14ac:dyDescent="0.25">
      <c r="A241" t="s">
        <v>171</v>
      </c>
      <c r="B241" t="s">
        <v>6841</v>
      </c>
    </row>
    <row r="242" spans="1:2" x14ac:dyDescent="0.25">
      <c r="A242" t="s">
        <v>117</v>
      </c>
      <c r="B242" t="s">
        <v>6842</v>
      </c>
    </row>
    <row r="243" spans="1:2" x14ac:dyDescent="0.25">
      <c r="A243" t="s">
        <v>119</v>
      </c>
      <c r="B243" t="s">
        <v>6843</v>
      </c>
    </row>
    <row r="244" spans="1:2" x14ac:dyDescent="0.25">
      <c r="A244" t="s">
        <v>122</v>
      </c>
      <c r="B244" t="s">
        <v>6844</v>
      </c>
    </row>
    <row r="245" spans="1:2" x14ac:dyDescent="0.25">
      <c r="A245" t="s">
        <v>176</v>
      </c>
      <c r="B245" t="s">
        <v>6845</v>
      </c>
    </row>
    <row r="246" spans="1:2" x14ac:dyDescent="0.25">
      <c r="A246" t="s">
        <v>126</v>
      </c>
      <c r="B246" t="s">
        <v>6846</v>
      </c>
    </row>
    <row r="247" spans="1:2" x14ac:dyDescent="0.25">
      <c r="A247" t="s">
        <v>130</v>
      </c>
      <c r="B247" t="s">
        <v>6847</v>
      </c>
    </row>
    <row r="248" spans="1:2" x14ac:dyDescent="0.25">
      <c r="A248" t="s">
        <v>39</v>
      </c>
      <c r="B248" t="s">
        <v>6848</v>
      </c>
    </row>
    <row r="249" spans="1:2" x14ac:dyDescent="0.25">
      <c r="A249" t="s">
        <v>133</v>
      </c>
      <c r="B249" t="s">
        <v>6849</v>
      </c>
    </row>
    <row r="250" spans="1:2" x14ac:dyDescent="0.25">
      <c r="A250" t="s">
        <v>69</v>
      </c>
      <c r="B250" t="s">
        <v>6850</v>
      </c>
    </row>
    <row r="251" spans="1:2" x14ac:dyDescent="0.25">
      <c r="A251" t="s">
        <v>71</v>
      </c>
      <c r="B251" t="s">
        <v>6851</v>
      </c>
    </row>
    <row r="252" spans="1:2" x14ac:dyDescent="0.25">
      <c r="A252" t="s">
        <v>141</v>
      </c>
      <c r="B252" t="s">
        <v>6852</v>
      </c>
    </row>
    <row r="253" spans="1:2" x14ac:dyDescent="0.25">
      <c r="A253" t="s">
        <v>143</v>
      </c>
      <c r="B253" t="s">
        <v>6853</v>
      </c>
    </row>
    <row r="254" spans="1:2" x14ac:dyDescent="0.25">
      <c r="A254" t="s">
        <v>145</v>
      </c>
      <c r="B254" t="s">
        <v>6854</v>
      </c>
    </row>
    <row r="255" spans="1:2" x14ac:dyDescent="0.25">
      <c r="A255" t="s">
        <v>386</v>
      </c>
      <c r="B255" t="s">
        <v>6855</v>
      </c>
    </row>
    <row r="256" spans="1:2" x14ac:dyDescent="0.25">
      <c r="A256" t="s">
        <v>30</v>
      </c>
      <c r="B256" t="s">
        <v>6856</v>
      </c>
    </row>
    <row r="257" spans="1:2" x14ac:dyDescent="0.25">
      <c r="A257" t="s">
        <v>33</v>
      </c>
      <c r="B257" t="s">
        <v>6857</v>
      </c>
    </row>
    <row r="258" spans="1:2" x14ac:dyDescent="0.25">
      <c r="A258" t="s">
        <v>153</v>
      </c>
      <c r="B258" t="s">
        <v>6858</v>
      </c>
    </row>
    <row r="259" spans="1:2" x14ac:dyDescent="0.25">
      <c r="A259" t="s">
        <v>155</v>
      </c>
      <c r="B259" t="s">
        <v>6859</v>
      </c>
    </row>
    <row r="260" spans="1:2" x14ac:dyDescent="0.25">
      <c r="A260" t="s">
        <v>157</v>
      </c>
      <c r="B260" t="s">
        <v>6860</v>
      </c>
    </row>
    <row r="261" spans="1:2" x14ac:dyDescent="0.25">
      <c r="A261" t="s">
        <v>3</v>
      </c>
      <c r="B261" t="s">
        <v>6861</v>
      </c>
    </row>
    <row r="262" spans="1:2" x14ac:dyDescent="0.25">
      <c r="A262" t="s">
        <v>78</v>
      </c>
      <c r="B262" t="s">
        <v>6862</v>
      </c>
    </row>
    <row r="263" spans="1:2" x14ac:dyDescent="0.25">
      <c r="A263" t="s">
        <v>80</v>
      </c>
      <c r="B263" t="s">
        <v>6863</v>
      </c>
    </row>
    <row r="264" spans="1:2" x14ac:dyDescent="0.25">
      <c r="A264" t="s">
        <v>82</v>
      </c>
      <c r="B264" t="s">
        <v>6864</v>
      </c>
    </row>
    <row r="265" spans="1:2" x14ac:dyDescent="0.25">
      <c r="A265" t="s">
        <v>84</v>
      </c>
      <c r="B265" t="s">
        <v>6865</v>
      </c>
    </row>
    <row r="266" spans="1:2" x14ac:dyDescent="0.25">
      <c r="A266" t="s">
        <v>86</v>
      </c>
      <c r="B266" t="s">
        <v>6866</v>
      </c>
    </row>
    <row r="267" spans="1:2" x14ac:dyDescent="0.25">
      <c r="A267" t="s">
        <v>29</v>
      </c>
      <c r="B267" t="s">
        <v>6867</v>
      </c>
    </row>
    <row r="268" spans="1:2" x14ac:dyDescent="0.25">
      <c r="A268" t="s">
        <v>90</v>
      </c>
      <c r="B268" t="s">
        <v>6868</v>
      </c>
    </row>
    <row r="269" spans="1:2" x14ac:dyDescent="0.25">
      <c r="A269" t="s">
        <v>95</v>
      </c>
      <c r="B269" t="s">
        <v>6869</v>
      </c>
    </row>
    <row r="270" spans="1:2" x14ac:dyDescent="0.25">
      <c r="A270" t="s">
        <v>2</v>
      </c>
      <c r="B270" t="s">
        <v>6870</v>
      </c>
    </row>
    <row r="271" spans="1:2" x14ac:dyDescent="0.25">
      <c r="A271" t="s">
        <v>7</v>
      </c>
      <c r="B271" t="s">
        <v>6871</v>
      </c>
    </row>
    <row r="273" spans="1:2" x14ac:dyDescent="0.25">
      <c r="A273" t="s">
        <v>9</v>
      </c>
      <c r="B273" t="s">
        <v>6872</v>
      </c>
    </row>
    <row r="274" spans="1:2" x14ac:dyDescent="0.25">
      <c r="A274" t="s">
        <v>163</v>
      </c>
      <c r="B274" t="s">
        <v>6873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6736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584</v>
      </c>
      <c r="AD2">
        <v>152</v>
      </c>
      <c r="AE2" t="s">
        <v>2562</v>
      </c>
      <c r="AF2">
        <v>4</v>
      </c>
      <c r="AH2" s="1" t="s">
        <v>656</v>
      </c>
      <c r="AK2">
        <v>515</v>
      </c>
      <c r="AL2">
        <v>223</v>
      </c>
      <c r="AM2" t="s">
        <v>2563</v>
      </c>
      <c r="AN2">
        <v>5</v>
      </c>
      <c r="AP2" s="1" t="s">
        <v>657</v>
      </c>
      <c r="AS2">
        <v>546</v>
      </c>
      <c r="AT2">
        <v>312</v>
      </c>
      <c r="AU2" t="s">
        <v>2564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2565</v>
      </c>
      <c r="BL2">
        <v>5</v>
      </c>
      <c r="BN2" s="1" t="s">
        <v>659</v>
      </c>
      <c r="BQ2">
        <v>523</v>
      </c>
      <c r="BR2">
        <v>293</v>
      </c>
      <c r="BS2" t="s">
        <v>2566</v>
      </c>
      <c r="BT2">
        <v>5</v>
      </c>
      <c r="BV2" s="1" t="s">
        <v>660</v>
      </c>
      <c r="BY2">
        <v>509</v>
      </c>
      <c r="BZ2">
        <v>195</v>
      </c>
      <c r="CA2" t="s">
        <v>2567</v>
      </c>
      <c r="CB2">
        <v>5</v>
      </c>
      <c r="CD2" s="1" t="s">
        <v>661</v>
      </c>
      <c r="CG2">
        <v>511</v>
      </c>
      <c r="CH2">
        <v>203</v>
      </c>
      <c r="CI2" t="s">
        <v>2568</v>
      </c>
      <c r="CJ2">
        <v>5</v>
      </c>
      <c r="CL2" s="1" t="s">
        <v>662</v>
      </c>
      <c r="CO2">
        <v>505</v>
      </c>
      <c r="CP2">
        <v>263</v>
      </c>
      <c r="CQ2" t="s">
        <v>2569</v>
      </c>
      <c r="CR2">
        <v>5</v>
      </c>
      <c r="CT2" s="1" t="s">
        <v>663</v>
      </c>
      <c r="CW2">
        <v>516</v>
      </c>
      <c r="CX2">
        <v>298</v>
      </c>
      <c r="CY2" t="s">
        <v>2570</v>
      </c>
      <c r="CZ2">
        <v>4</v>
      </c>
    </row>
    <row r="3" spans="1:104" x14ac:dyDescent="0.25">
      <c r="W3" t="str">
        <f>dbCorrelationTitle</f>
        <v>Korrelaatio</v>
      </c>
      <c r="Z3">
        <v>1</v>
      </c>
      <c r="AA3">
        <v>485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485</v>
      </c>
      <c r="AB4">
        <v>30</v>
      </c>
      <c r="AC4">
        <v>88</v>
      </c>
      <c r="AE4" t="s">
        <v>2571</v>
      </c>
      <c r="AH4">
        <v>2</v>
      </c>
      <c r="AI4">
        <v>412</v>
      </c>
      <c r="AJ4">
        <v>30</v>
      </c>
      <c r="AK4">
        <v>90</v>
      </c>
      <c r="AM4" t="s">
        <v>2571</v>
      </c>
      <c r="AP4">
        <v>2</v>
      </c>
      <c r="AQ4">
        <v>443</v>
      </c>
      <c r="AR4">
        <v>31</v>
      </c>
      <c r="AS4">
        <v>90</v>
      </c>
      <c r="AU4" t="s">
        <v>2571</v>
      </c>
      <c r="AX4">
        <v>2</v>
      </c>
      <c r="AY4">
        <v>418</v>
      </c>
      <c r="AZ4">
        <v>33</v>
      </c>
      <c r="BA4">
        <v>104</v>
      </c>
      <c r="BC4" t="s">
        <v>2571</v>
      </c>
      <c r="BF4">
        <v>2</v>
      </c>
      <c r="BG4">
        <v>407</v>
      </c>
      <c r="BH4">
        <v>30</v>
      </c>
      <c r="BI4">
        <v>90</v>
      </c>
      <c r="BK4" t="s">
        <v>2571</v>
      </c>
      <c r="BN4">
        <v>2</v>
      </c>
      <c r="BO4">
        <v>407</v>
      </c>
      <c r="BP4">
        <v>30</v>
      </c>
      <c r="BQ4">
        <v>90</v>
      </c>
      <c r="BS4" t="s">
        <v>2571</v>
      </c>
      <c r="BV4">
        <v>2</v>
      </c>
      <c r="BW4">
        <v>407</v>
      </c>
      <c r="BX4">
        <v>30</v>
      </c>
      <c r="BY4">
        <v>90</v>
      </c>
      <c r="CA4" t="s">
        <v>2571</v>
      </c>
      <c r="CD4">
        <v>2</v>
      </c>
      <c r="CE4">
        <v>407</v>
      </c>
      <c r="CF4">
        <v>30</v>
      </c>
      <c r="CG4">
        <v>90</v>
      </c>
      <c r="CI4" t="s">
        <v>2571</v>
      </c>
      <c r="CL4">
        <v>2</v>
      </c>
      <c r="CM4">
        <v>407</v>
      </c>
      <c r="CN4">
        <v>30</v>
      </c>
      <c r="CO4">
        <v>90</v>
      </c>
      <c r="CQ4" t="s">
        <v>2571</v>
      </c>
      <c r="CT4">
        <v>2</v>
      </c>
      <c r="CU4">
        <v>410</v>
      </c>
      <c r="CV4">
        <v>31</v>
      </c>
      <c r="CW4">
        <v>90</v>
      </c>
      <c r="CY4" t="s">
        <v>2571</v>
      </c>
    </row>
    <row r="5" spans="1:104" x14ac:dyDescent="0.25">
      <c r="T5">
        <v>0</v>
      </c>
      <c r="U5" t="str">
        <f>dbAnova1Title</f>
        <v>Anova: yksisuuntainen</v>
      </c>
      <c r="V5">
        <v>0</v>
      </c>
      <c r="W5" t="str">
        <f>dbAnova1Title</f>
        <v>Anova: yksisuuntainen</v>
      </c>
      <c r="X5" t="s">
        <v>447</v>
      </c>
      <c r="Y5" s="1" t="s">
        <v>656</v>
      </c>
      <c r="Z5">
        <v>5</v>
      </c>
      <c r="AA5">
        <v>16</v>
      </c>
      <c r="AB5">
        <v>7</v>
      </c>
      <c r="AE5" t="s">
        <v>2572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2573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2573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2574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2573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2573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2573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2573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2573</v>
      </c>
      <c r="CT5">
        <v>5</v>
      </c>
      <c r="CU5">
        <v>17</v>
      </c>
      <c r="CV5">
        <v>12</v>
      </c>
      <c r="CY5" t="s">
        <v>2575</v>
      </c>
    </row>
    <row r="6" spans="1:104" x14ac:dyDescent="0.25">
      <c r="T6">
        <v>1</v>
      </c>
      <c r="U6" t="str">
        <f>dbAnova2Title</f>
        <v>Anova: kaksisuuntainen, toistot sallittuja</v>
      </c>
      <c r="V6">
        <v>1</v>
      </c>
      <c r="W6" t="str">
        <f>dbAnova2Title</f>
        <v>Anova: kaksisuuntainen, toistot sallittuja</v>
      </c>
      <c r="X6" t="s">
        <v>614</v>
      </c>
      <c r="Y6" s="1" t="s">
        <v>664</v>
      </c>
      <c r="Z6">
        <v>15</v>
      </c>
      <c r="AA6">
        <v>16</v>
      </c>
      <c r="AB6">
        <v>22</v>
      </c>
      <c r="AC6">
        <v>456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2576</v>
      </c>
      <c r="AP6">
        <v>5</v>
      </c>
      <c r="AQ6">
        <v>24</v>
      </c>
      <c r="AR6">
        <v>22</v>
      </c>
      <c r="AU6" t="s">
        <v>2577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2576</v>
      </c>
      <c r="BN6">
        <v>5</v>
      </c>
      <c r="BO6">
        <v>18</v>
      </c>
      <c r="BP6">
        <v>19</v>
      </c>
      <c r="BS6" t="s">
        <v>2576</v>
      </c>
      <c r="BV6">
        <v>5</v>
      </c>
      <c r="BW6">
        <v>18</v>
      </c>
      <c r="BX6">
        <v>19</v>
      </c>
      <c r="CA6" t="s">
        <v>2576</v>
      </c>
      <c r="CD6">
        <v>5</v>
      </c>
      <c r="CE6">
        <v>18</v>
      </c>
      <c r="CF6">
        <v>19</v>
      </c>
      <c r="CI6" t="s">
        <v>2578</v>
      </c>
      <c r="CL6">
        <v>5</v>
      </c>
      <c r="CM6">
        <v>18</v>
      </c>
      <c r="CN6">
        <v>19</v>
      </c>
      <c r="CQ6" t="s">
        <v>2576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kaksisuuntainen ilman toistoa</v>
      </c>
      <c r="V7">
        <v>2</v>
      </c>
      <c r="W7" t="str">
        <f>dbAnova3Title</f>
        <v>Anova: kaksisuuntainen ilman toistoa</v>
      </c>
      <c r="X7" t="s">
        <v>315</v>
      </c>
      <c r="Y7" s="1" t="s">
        <v>665</v>
      </c>
      <c r="Z7">
        <v>24</v>
      </c>
      <c r="AA7">
        <v>485</v>
      </c>
      <c r="AB7">
        <v>60</v>
      </c>
      <c r="AC7">
        <v>88</v>
      </c>
      <c r="AH7">
        <v>10</v>
      </c>
      <c r="AI7">
        <v>126</v>
      </c>
      <c r="AJ7">
        <v>16</v>
      </c>
      <c r="AK7">
        <v>257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2579</v>
      </c>
      <c r="BF7">
        <v>10</v>
      </c>
      <c r="BG7">
        <v>118</v>
      </c>
      <c r="BH7">
        <v>16</v>
      </c>
      <c r="BI7">
        <v>262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2580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Korrelaatio</v>
      </c>
      <c r="V8">
        <v>3</v>
      </c>
      <c r="W8" t="str">
        <f>dbCorrelationTitle</f>
        <v>Korrelaatio</v>
      </c>
      <c r="X8" t="s">
        <v>450</v>
      </c>
      <c r="Y8" s="1" t="s">
        <v>658</v>
      </c>
      <c r="AH8">
        <v>5</v>
      </c>
      <c r="AI8">
        <v>18</v>
      </c>
      <c r="AJ8">
        <v>41</v>
      </c>
      <c r="AM8" t="s">
        <v>2581</v>
      </c>
      <c r="AP8">
        <v>5</v>
      </c>
      <c r="AQ8">
        <v>24</v>
      </c>
      <c r="AR8">
        <v>48</v>
      </c>
      <c r="AU8" t="s">
        <v>2582</v>
      </c>
      <c r="AX8">
        <v>12</v>
      </c>
      <c r="AZ8">
        <v>90</v>
      </c>
      <c r="BC8" t="s">
        <v>2583</v>
      </c>
      <c r="BF8">
        <v>5</v>
      </c>
      <c r="BG8">
        <v>18</v>
      </c>
      <c r="BH8">
        <v>42</v>
      </c>
      <c r="BK8" t="s">
        <v>2581</v>
      </c>
      <c r="BN8">
        <v>5</v>
      </c>
      <c r="BO8">
        <v>18</v>
      </c>
      <c r="BP8">
        <v>44</v>
      </c>
      <c r="BS8" t="s">
        <v>2581</v>
      </c>
      <c r="BV8">
        <v>5</v>
      </c>
      <c r="BW8">
        <v>17</v>
      </c>
      <c r="BX8">
        <v>40</v>
      </c>
      <c r="CA8" t="s">
        <v>2584</v>
      </c>
      <c r="CD8">
        <v>5</v>
      </c>
      <c r="CE8">
        <v>18</v>
      </c>
      <c r="CF8">
        <v>41</v>
      </c>
      <c r="CI8" t="s">
        <v>2585</v>
      </c>
      <c r="CL8">
        <v>13</v>
      </c>
      <c r="CM8">
        <v>18</v>
      </c>
      <c r="CN8">
        <v>39</v>
      </c>
      <c r="CQ8" t="s">
        <v>2586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Kovarianssi</v>
      </c>
      <c r="V9">
        <v>4</v>
      </c>
      <c r="W9" t="str">
        <f>dbCovarianceTitle</f>
        <v>Kovarianssi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2587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2588</v>
      </c>
      <c r="CT9">
        <v>5</v>
      </c>
      <c r="CU9">
        <v>17</v>
      </c>
      <c r="CV9">
        <v>63</v>
      </c>
      <c r="CY9" t="s">
        <v>2589</v>
      </c>
    </row>
    <row r="10" spans="1:104" x14ac:dyDescent="0.25">
      <c r="A10" t="s">
        <v>505</v>
      </c>
      <c r="B10" t="s">
        <v>2590</v>
      </c>
      <c r="T10">
        <v>5</v>
      </c>
      <c r="U10" t="str">
        <f>dbDescripTitle</f>
        <v>Tunnusluvut</v>
      </c>
      <c r="V10">
        <v>5</v>
      </c>
      <c r="W10" t="str">
        <f>dbDescripTitle</f>
        <v>Tunnusluvut</v>
      </c>
      <c r="X10" t="s">
        <v>451</v>
      </c>
      <c r="Y10" s="1" t="s">
        <v>659</v>
      </c>
      <c r="AH10">
        <v>12</v>
      </c>
      <c r="AI10">
        <v>126</v>
      </c>
      <c r="AJ10">
        <v>40</v>
      </c>
      <c r="AM10" t="s">
        <v>2591</v>
      </c>
      <c r="AP10">
        <v>13</v>
      </c>
      <c r="AQ10">
        <v>25</v>
      </c>
      <c r="AR10">
        <v>75</v>
      </c>
      <c r="AU10" t="s">
        <v>2592</v>
      </c>
      <c r="AV10" t="b">
        <v>0</v>
      </c>
      <c r="AX10">
        <v>12</v>
      </c>
      <c r="AZ10">
        <v>130</v>
      </c>
      <c r="BC10" t="s">
        <v>2593</v>
      </c>
      <c r="BF10">
        <v>12</v>
      </c>
      <c r="BG10">
        <v>120</v>
      </c>
      <c r="BH10">
        <v>40</v>
      </c>
      <c r="BK10" t="s">
        <v>2591</v>
      </c>
      <c r="BN10">
        <v>12</v>
      </c>
      <c r="BO10">
        <v>220</v>
      </c>
      <c r="BP10">
        <v>40</v>
      </c>
      <c r="BS10" t="s">
        <v>2591</v>
      </c>
      <c r="BV10">
        <v>13</v>
      </c>
      <c r="BW10">
        <v>17</v>
      </c>
      <c r="BX10">
        <v>60</v>
      </c>
      <c r="CA10" t="s">
        <v>2594</v>
      </c>
      <c r="CB10" t="b">
        <v>0</v>
      </c>
      <c r="CD10">
        <v>13</v>
      </c>
      <c r="CE10">
        <v>18</v>
      </c>
      <c r="CF10">
        <v>64</v>
      </c>
      <c r="CI10" t="s">
        <v>2586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2595</v>
      </c>
      <c r="T11">
        <v>6</v>
      </c>
      <c r="U11" t="str">
        <f>dbExponentTitle</f>
        <v>Eksponentiaalinen tasoitus</v>
      </c>
      <c r="V11">
        <v>6</v>
      </c>
      <c r="W11" t="str">
        <f>dbExponentTitle</f>
        <v>Eksponentiaalinen tasoitus</v>
      </c>
      <c r="X11" t="s">
        <v>452</v>
      </c>
      <c r="Y11" s="1" t="s">
        <v>660</v>
      </c>
      <c r="AH11">
        <v>12</v>
      </c>
      <c r="AM11" t="s">
        <v>2596</v>
      </c>
      <c r="AP11">
        <v>13</v>
      </c>
      <c r="AQ11">
        <v>197</v>
      </c>
      <c r="AR11">
        <v>75</v>
      </c>
      <c r="AU11" t="s">
        <v>2597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2598</v>
      </c>
      <c r="BF11">
        <v>12</v>
      </c>
      <c r="BK11" t="s">
        <v>2596</v>
      </c>
      <c r="BN11">
        <v>12</v>
      </c>
      <c r="BS11" t="s">
        <v>2596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2574</v>
      </c>
      <c r="CD11">
        <v>5</v>
      </c>
      <c r="CE11">
        <v>18</v>
      </c>
      <c r="CF11">
        <v>85</v>
      </c>
      <c r="CI11" t="s">
        <v>2599</v>
      </c>
      <c r="CL11">
        <v>12</v>
      </c>
      <c r="CM11">
        <v>18</v>
      </c>
      <c r="CN11">
        <v>82</v>
      </c>
      <c r="CQ11" t="s">
        <v>2600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2601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Kahden otoksen F-testi variansseille</v>
      </c>
      <c r="V12">
        <v>7</v>
      </c>
      <c r="W12" t="str">
        <f>dbFTestTitle</f>
        <v>Kahden otoksen F-testi variansseille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2595</v>
      </c>
      <c r="AN12" t="b">
        <v>0</v>
      </c>
      <c r="AP12">
        <v>113</v>
      </c>
      <c r="AQ12">
        <v>25</v>
      </c>
      <c r="AR12">
        <v>93</v>
      </c>
      <c r="AU12" t="s">
        <v>2602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2595</v>
      </c>
      <c r="BL12" t="b">
        <v>0</v>
      </c>
      <c r="BN12">
        <v>13</v>
      </c>
      <c r="BO12">
        <v>18</v>
      </c>
      <c r="BP12">
        <v>75</v>
      </c>
      <c r="BS12" t="s">
        <v>2603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2604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Fourier-analyysi</v>
      </c>
      <c r="V13">
        <v>8</v>
      </c>
      <c r="W13" t="str">
        <f>dbFourierTitle</f>
        <v>Fourier-analyysi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2599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2574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2574</v>
      </c>
      <c r="BV13">
        <v>5</v>
      </c>
      <c r="BW13">
        <v>17</v>
      </c>
      <c r="BX13">
        <v>99</v>
      </c>
      <c r="CA13" t="s">
        <v>2605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2574</v>
      </c>
      <c r="CL13">
        <v>5</v>
      </c>
      <c r="CM13">
        <v>42</v>
      </c>
      <c r="CN13">
        <v>103</v>
      </c>
      <c r="CQ13" t="s">
        <v>2606</v>
      </c>
      <c r="CT13">
        <v>5</v>
      </c>
    </row>
    <row r="14" spans="1:104" x14ac:dyDescent="0.25">
      <c r="A14" t="s">
        <v>404</v>
      </c>
      <c r="B14" t="s">
        <v>2607</v>
      </c>
      <c r="T14">
        <v>9</v>
      </c>
      <c r="U14" t="str">
        <f>dbHistogramTitle</f>
        <v>Histogrammi</v>
      </c>
      <c r="V14">
        <v>9</v>
      </c>
      <c r="W14" t="str">
        <f>dbHistogramTitle</f>
        <v>Histogrammi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2609</v>
      </c>
      <c r="T15">
        <v>10</v>
      </c>
      <c r="U15" t="str">
        <f>dbMovingTitle</f>
        <v>Liukuva keskiarvo</v>
      </c>
      <c r="V15">
        <v>10</v>
      </c>
      <c r="W15" t="str">
        <f>dbMovingTitle</f>
        <v>Liukuva keskiarvo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2574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2574</v>
      </c>
      <c r="AX15">
        <v>24</v>
      </c>
      <c r="AY15">
        <v>418</v>
      </c>
      <c r="AZ15">
        <v>66</v>
      </c>
      <c r="BA15">
        <v>104</v>
      </c>
      <c r="BC15" t="s">
        <v>2610</v>
      </c>
      <c r="BF15">
        <v>12</v>
      </c>
      <c r="BG15">
        <v>20</v>
      </c>
      <c r="BH15">
        <v>120</v>
      </c>
      <c r="BK15" t="s">
        <v>2605</v>
      </c>
      <c r="BN15">
        <v>12</v>
      </c>
      <c r="BO15">
        <v>18</v>
      </c>
      <c r="BP15">
        <v>127</v>
      </c>
      <c r="BS15" t="s">
        <v>2605</v>
      </c>
      <c r="BV15">
        <v>205</v>
      </c>
      <c r="BW15">
        <v>17</v>
      </c>
      <c r="BX15">
        <v>119</v>
      </c>
      <c r="CA15" t="s">
        <v>2608</v>
      </c>
      <c r="CD15">
        <v>12</v>
      </c>
      <c r="CE15">
        <v>18</v>
      </c>
      <c r="CF15">
        <v>132</v>
      </c>
      <c r="CI15" t="s">
        <v>2605</v>
      </c>
      <c r="CL15">
        <v>5</v>
      </c>
      <c r="CM15">
        <v>42</v>
      </c>
      <c r="CN15">
        <v>146</v>
      </c>
      <c r="CQ15" t="s">
        <v>2612</v>
      </c>
      <c r="CT15">
        <v>5</v>
      </c>
    </row>
    <row r="16" spans="1:104" x14ac:dyDescent="0.25">
      <c r="A16" t="s">
        <v>526</v>
      </c>
      <c r="B16" t="s">
        <v>2613</v>
      </c>
      <c r="T16">
        <v>11</v>
      </c>
      <c r="U16" t="str">
        <f>dbRandomTitle</f>
        <v>Satunnaislukujen luonti</v>
      </c>
      <c r="V16">
        <v>11</v>
      </c>
      <c r="W16" t="str">
        <f>dbRandomTitle</f>
        <v>Satunnaislukujen luonti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2608</v>
      </c>
      <c r="BN16">
        <v>12</v>
      </c>
      <c r="BP16">
        <v>147</v>
      </c>
      <c r="BS16" t="s">
        <v>2608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2608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2614</v>
      </c>
      <c r="T17">
        <v>12</v>
      </c>
      <c r="U17" t="str">
        <f>dbRankPerTitle</f>
        <v>Järjestys ja prosenttipiste</v>
      </c>
      <c r="V17">
        <v>12</v>
      </c>
      <c r="W17" t="str">
        <f>dbRankPerTitle</f>
        <v>Järjestys ja prosenttipiste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2605</v>
      </c>
      <c r="AP17">
        <v>12</v>
      </c>
      <c r="AQ17">
        <v>24</v>
      </c>
      <c r="AR17">
        <v>142</v>
      </c>
      <c r="AU17" t="s">
        <v>2605</v>
      </c>
      <c r="BF17">
        <v>12</v>
      </c>
      <c r="BH17">
        <v>160</v>
      </c>
      <c r="BK17" t="s">
        <v>2611</v>
      </c>
      <c r="BN17">
        <v>12</v>
      </c>
      <c r="BP17">
        <v>167</v>
      </c>
      <c r="BS17" t="s">
        <v>2611</v>
      </c>
      <c r="BV17">
        <v>205</v>
      </c>
      <c r="BW17">
        <v>17</v>
      </c>
      <c r="BX17">
        <v>139</v>
      </c>
      <c r="CA17" t="s">
        <v>2611</v>
      </c>
      <c r="CD17">
        <v>12</v>
      </c>
      <c r="CF17">
        <v>172</v>
      </c>
      <c r="CI17" t="s">
        <v>2611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2574</v>
      </c>
      <c r="CT17">
        <v>5</v>
      </c>
    </row>
    <row r="18" spans="1:104" x14ac:dyDescent="0.25">
      <c r="A18" t="s">
        <v>531</v>
      </c>
      <c r="B18" t="s">
        <v>2615</v>
      </c>
      <c r="T18">
        <v>13</v>
      </c>
      <c r="U18" t="str">
        <f>dbRegressionTitle</f>
        <v>Regressio</v>
      </c>
      <c r="V18">
        <v>13</v>
      </c>
      <c r="W18" t="str">
        <f>dbRegressionTitle</f>
        <v>Regressio</v>
      </c>
      <c r="X18" t="s">
        <v>448</v>
      </c>
      <c r="Y18" s="1" t="s">
        <v>657</v>
      </c>
      <c r="AH18">
        <v>12</v>
      </c>
      <c r="AJ18">
        <v>169</v>
      </c>
      <c r="AM18" t="s">
        <v>2608</v>
      </c>
      <c r="AP18">
        <v>12</v>
      </c>
      <c r="AR18">
        <v>162</v>
      </c>
      <c r="AU18" t="s">
        <v>2608</v>
      </c>
      <c r="BF18">
        <v>210</v>
      </c>
      <c r="BG18">
        <v>225</v>
      </c>
      <c r="BH18">
        <v>118</v>
      </c>
      <c r="BI18">
        <v>155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2616</v>
      </c>
      <c r="CB18" t="b">
        <v>0</v>
      </c>
      <c r="CD18">
        <v>210</v>
      </c>
      <c r="CE18">
        <v>222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2617</v>
      </c>
      <c r="T19">
        <v>14</v>
      </c>
      <c r="U19" t="str">
        <f>dbSamplingTitle</f>
        <v>Otanta</v>
      </c>
      <c r="V19">
        <v>14</v>
      </c>
      <c r="W19" t="str">
        <f>dbSamplingTitle</f>
        <v>Otanta</v>
      </c>
      <c r="X19" t="s">
        <v>585</v>
      </c>
      <c r="Y19" s="1" t="s">
        <v>662</v>
      </c>
      <c r="AH19">
        <v>12</v>
      </c>
      <c r="AJ19">
        <v>189</v>
      </c>
      <c r="AM19" t="s">
        <v>2611</v>
      </c>
      <c r="AP19">
        <v>12</v>
      </c>
      <c r="AR19">
        <v>182</v>
      </c>
      <c r="AU19" t="s">
        <v>2611</v>
      </c>
      <c r="BF19">
        <v>6</v>
      </c>
      <c r="BG19">
        <v>225</v>
      </c>
      <c r="BH19">
        <v>138</v>
      </c>
      <c r="BI19">
        <v>155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2618</v>
      </c>
      <c r="CB19" t="b">
        <v>0</v>
      </c>
      <c r="CD19">
        <v>6</v>
      </c>
      <c r="CE19">
        <v>222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2605</v>
      </c>
      <c r="CT19">
        <v>5</v>
      </c>
    </row>
    <row r="20" spans="1:104" x14ac:dyDescent="0.25">
      <c r="A20" t="s">
        <v>343</v>
      </c>
      <c r="B20" t="s">
        <v>2562</v>
      </c>
      <c r="T20">
        <v>15</v>
      </c>
      <c r="U20" t="str">
        <f>dbTTest1Title</f>
        <v>Parittainen kahden otoksen t-testi keskiarvoille</v>
      </c>
      <c r="V20">
        <v>15</v>
      </c>
      <c r="W20" t="str">
        <f>dbTTest1Title</f>
        <v>Parittainen kahden otoksen t-testi keskiarvoille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2619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2608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Kahden otoksen t-testi olettaen varianssit yhtäsuuriksi</v>
      </c>
      <c r="V21">
        <v>16</v>
      </c>
      <c r="W21" t="str">
        <f>dbTTest2Title</f>
        <v>Kahden otoksen t-testi olettaen varianssit yhtäsuuriksi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2620</v>
      </c>
      <c r="BT21" t="b">
        <v>0</v>
      </c>
      <c r="CL21">
        <v>12</v>
      </c>
      <c r="CN21">
        <v>231</v>
      </c>
      <c r="CQ21" t="s">
        <v>2611</v>
      </c>
      <c r="CT21">
        <v>5</v>
      </c>
    </row>
    <row r="22" spans="1:104" x14ac:dyDescent="0.25">
      <c r="A22" t="s">
        <v>440</v>
      </c>
      <c r="B22" t="s">
        <v>2563</v>
      </c>
      <c r="T22">
        <v>17</v>
      </c>
      <c r="U22" t="str">
        <f>dbTTest3Title</f>
        <v>Kahden otoksen t-testi olettaen varianssit erisuuriksi</v>
      </c>
      <c r="V22">
        <v>17</v>
      </c>
      <c r="W22" t="str">
        <f>dbTTest3Title</f>
        <v>Kahden otoksen t-testi olettaen varianssit erisuuriksi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2621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2622</v>
      </c>
    </row>
    <row r="23" spans="1:104" x14ac:dyDescent="0.25">
      <c r="A23" t="s">
        <v>443</v>
      </c>
      <c r="B23" t="s">
        <v>2623</v>
      </c>
      <c r="T23">
        <v>18</v>
      </c>
      <c r="U23" t="str">
        <f>dbZTestTitle</f>
        <v>Kahden otoksen z-testi keskiarvoille</v>
      </c>
      <c r="V23">
        <v>18</v>
      </c>
      <c r="W23" t="str">
        <f>dbZTestTitle</f>
        <v>Kahden otoksen z-testi keskiarvoille</v>
      </c>
      <c r="X23" t="s">
        <v>357</v>
      </c>
      <c r="Y23" s="1" t="s">
        <v>674</v>
      </c>
      <c r="AP23">
        <v>13</v>
      </c>
      <c r="AR23">
        <v>216</v>
      </c>
      <c r="AU23" t="s">
        <v>2624</v>
      </c>
      <c r="AV23" t="b">
        <v>0</v>
      </c>
      <c r="BF23" s="1" t="s">
        <v>666</v>
      </c>
      <c r="BI23">
        <v>523</v>
      </c>
      <c r="BJ23">
        <v>191</v>
      </c>
      <c r="BK23" t="s">
        <v>2625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2626</v>
      </c>
      <c r="X24" t="s">
        <v>551</v>
      </c>
      <c r="AP24">
        <v>13</v>
      </c>
      <c r="AR24">
        <v>231</v>
      </c>
      <c r="AU24" t="s">
        <v>2627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2628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2629</v>
      </c>
    </row>
    <row r="25" spans="1:104" x14ac:dyDescent="0.25">
      <c r="A25" t="s">
        <v>552</v>
      </c>
      <c r="B25" t="s">
        <v>2630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2631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2571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526</v>
      </c>
      <c r="CH25">
        <v>227</v>
      </c>
      <c r="CI25" t="s">
        <v>2632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2633</v>
      </c>
      <c r="X26" t="s">
        <v>376</v>
      </c>
      <c r="AH26" s="1" t="s">
        <v>664</v>
      </c>
      <c r="AK26">
        <v>509</v>
      </c>
      <c r="AL26">
        <v>187</v>
      </c>
      <c r="AM26" t="s">
        <v>2623</v>
      </c>
      <c r="AN26">
        <v>5</v>
      </c>
      <c r="AP26">
        <v>13</v>
      </c>
      <c r="AR26">
        <v>231</v>
      </c>
      <c r="AU26" t="s">
        <v>2634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2573</v>
      </c>
      <c r="BN26">
        <v>113</v>
      </c>
      <c r="BO26">
        <v>18</v>
      </c>
      <c r="BP26">
        <v>247</v>
      </c>
      <c r="BS26" t="s">
        <v>2635</v>
      </c>
      <c r="BT26" t="b">
        <v>0</v>
      </c>
      <c r="CD26">
        <v>1</v>
      </c>
      <c r="CE26">
        <v>424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2574</v>
      </c>
    </row>
    <row r="27" spans="1:104" x14ac:dyDescent="0.25">
      <c r="A27" t="s">
        <v>377</v>
      </c>
      <c r="B27" t="s">
        <v>2636</v>
      </c>
      <c r="X27" t="s">
        <v>379</v>
      </c>
      <c r="AH27">
        <v>1</v>
      </c>
      <c r="AI27">
        <v>410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2637</v>
      </c>
      <c r="BF27">
        <v>5</v>
      </c>
      <c r="BG27">
        <v>18</v>
      </c>
      <c r="BH27">
        <v>19</v>
      </c>
      <c r="BK27" t="s">
        <v>2576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424</v>
      </c>
      <c r="CF27">
        <v>30</v>
      </c>
      <c r="CG27">
        <v>90</v>
      </c>
      <c r="CI27" t="s">
        <v>2571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2638</v>
      </c>
      <c r="X28" t="s">
        <v>382</v>
      </c>
      <c r="AH28">
        <v>2</v>
      </c>
      <c r="AI28">
        <v>410</v>
      </c>
      <c r="AJ28">
        <v>30</v>
      </c>
      <c r="AK28">
        <v>90</v>
      </c>
      <c r="AM28" t="s">
        <v>2571</v>
      </c>
      <c r="AP28">
        <v>13</v>
      </c>
      <c r="AR28">
        <v>270</v>
      </c>
      <c r="AU28" t="s">
        <v>2639</v>
      </c>
      <c r="AV28" t="b">
        <v>0</v>
      </c>
      <c r="BF28">
        <v>10</v>
      </c>
      <c r="BG28">
        <v>120</v>
      </c>
      <c r="BH28">
        <v>16</v>
      </c>
      <c r="BI28">
        <v>260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2573</v>
      </c>
      <c r="CT28">
        <v>12</v>
      </c>
      <c r="CU28">
        <v>17</v>
      </c>
      <c r="CV28">
        <v>225</v>
      </c>
      <c r="CY28" t="s">
        <v>2605</v>
      </c>
    </row>
    <row r="29" spans="1:104" x14ac:dyDescent="0.25">
      <c r="A29" t="s">
        <v>383</v>
      </c>
      <c r="B29" t="s">
        <v>2640</v>
      </c>
      <c r="X29" t="s">
        <v>599</v>
      </c>
      <c r="AH29">
        <v>14</v>
      </c>
      <c r="AI29">
        <v>8</v>
      </c>
      <c r="AJ29">
        <v>3</v>
      </c>
      <c r="AK29">
        <v>391</v>
      </c>
      <c r="AL29">
        <v>89</v>
      </c>
      <c r="AM29" t="s">
        <v>2573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42</v>
      </c>
      <c r="BK29" t="s">
        <v>2581</v>
      </c>
      <c r="CD29">
        <v>5</v>
      </c>
      <c r="CE29">
        <v>17</v>
      </c>
      <c r="CF29">
        <v>18</v>
      </c>
      <c r="CI29" t="s">
        <v>2578</v>
      </c>
      <c r="CT29">
        <v>12</v>
      </c>
      <c r="CV29">
        <v>245</v>
      </c>
      <c r="CY29" t="s">
        <v>2608</v>
      </c>
    </row>
    <row r="30" spans="1:104" x14ac:dyDescent="0.25">
      <c r="A30" t="s">
        <v>600</v>
      </c>
      <c r="B30" t="s">
        <v>2641</v>
      </c>
      <c r="X30" t="s">
        <v>332</v>
      </c>
      <c r="AH30">
        <v>5</v>
      </c>
      <c r="AI30">
        <v>20</v>
      </c>
      <c r="AJ30">
        <v>19</v>
      </c>
      <c r="AM30" t="s">
        <v>2576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179</v>
      </c>
      <c r="CJ30" t="s">
        <v>316</v>
      </c>
      <c r="CT30">
        <v>12</v>
      </c>
      <c r="CV30">
        <v>265</v>
      </c>
      <c r="CY30" t="s">
        <v>2611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224</v>
      </c>
      <c r="AJ31">
        <v>16</v>
      </c>
      <c r="AK31">
        <v>163</v>
      </c>
      <c r="AN31" t="s">
        <v>316</v>
      </c>
      <c r="BF31">
        <v>12</v>
      </c>
      <c r="BG31">
        <v>120</v>
      </c>
      <c r="BH31">
        <v>40</v>
      </c>
      <c r="BK31" t="s">
        <v>2591</v>
      </c>
      <c r="CD31">
        <v>5</v>
      </c>
      <c r="CE31">
        <v>17</v>
      </c>
      <c r="CF31">
        <v>41</v>
      </c>
      <c r="CI31" t="s">
        <v>2585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2642</v>
      </c>
      <c r="AH32">
        <v>5</v>
      </c>
      <c r="AI32">
        <v>20</v>
      </c>
      <c r="AJ32">
        <v>45</v>
      </c>
      <c r="AM32" t="s">
        <v>2643</v>
      </c>
      <c r="BF32">
        <v>12</v>
      </c>
      <c r="BK32" t="s">
        <v>2596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2644</v>
      </c>
      <c r="AH33">
        <v>7</v>
      </c>
      <c r="AI33">
        <v>224</v>
      </c>
      <c r="AJ33">
        <v>42</v>
      </c>
      <c r="AK33">
        <v>72</v>
      </c>
      <c r="BF33">
        <v>13</v>
      </c>
      <c r="BG33">
        <v>18</v>
      </c>
      <c r="BH33">
        <v>75</v>
      </c>
      <c r="BK33" t="s">
        <v>2595</v>
      </c>
      <c r="BL33" t="b">
        <v>0</v>
      </c>
      <c r="CD33">
        <v>5</v>
      </c>
      <c r="CE33">
        <v>17</v>
      </c>
      <c r="CF33">
        <v>70</v>
      </c>
      <c r="CI33" t="s">
        <v>2645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2646</v>
      </c>
      <c r="AH34">
        <v>5</v>
      </c>
      <c r="AI34">
        <v>20</v>
      </c>
      <c r="AJ34">
        <v>68</v>
      </c>
      <c r="AM34" t="s">
        <v>2599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2574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2647</v>
      </c>
      <c r="AH35">
        <v>8</v>
      </c>
      <c r="AI35">
        <v>224</v>
      </c>
      <c r="AJ35">
        <v>66</v>
      </c>
      <c r="AK35">
        <v>71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2586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391</v>
      </c>
      <c r="AL36">
        <v>82</v>
      </c>
      <c r="AM36" t="s">
        <v>2574</v>
      </c>
      <c r="BF36">
        <v>12</v>
      </c>
      <c r="BG36">
        <v>18</v>
      </c>
      <c r="BH36">
        <v>120</v>
      </c>
      <c r="BK36" t="s">
        <v>2605</v>
      </c>
      <c r="CD36">
        <v>5</v>
      </c>
      <c r="CE36">
        <v>17</v>
      </c>
      <c r="CF36">
        <v>114</v>
      </c>
      <c r="CI36" t="s">
        <v>2599</v>
      </c>
      <c r="CT36">
        <v>5</v>
      </c>
      <c r="CZ36" t="s">
        <v>551</v>
      </c>
    </row>
    <row r="37" spans="1:104" x14ac:dyDescent="0.25">
      <c r="A37" t="s">
        <v>473</v>
      </c>
      <c r="B37" t="s">
        <v>2648</v>
      </c>
      <c r="AH37">
        <v>111</v>
      </c>
      <c r="AN37">
        <v>2</v>
      </c>
      <c r="BF37">
        <v>12</v>
      </c>
      <c r="BH37">
        <v>140</v>
      </c>
      <c r="BK37" t="s">
        <v>2608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2649</v>
      </c>
      <c r="AH38">
        <v>12</v>
      </c>
      <c r="AI38">
        <v>20</v>
      </c>
      <c r="AJ38">
        <v>115</v>
      </c>
      <c r="AM38" t="s">
        <v>2605</v>
      </c>
      <c r="BF38">
        <v>12</v>
      </c>
      <c r="BH38">
        <v>160</v>
      </c>
      <c r="BK38" t="s">
        <v>2611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2574</v>
      </c>
      <c r="CT38">
        <v>5</v>
      </c>
    </row>
    <row r="39" spans="1:104" x14ac:dyDescent="0.25">
      <c r="A39" t="s">
        <v>488</v>
      </c>
      <c r="B39" t="s">
        <v>2650</v>
      </c>
      <c r="AH39">
        <v>12</v>
      </c>
      <c r="AJ39">
        <v>135</v>
      </c>
      <c r="AM39" t="s">
        <v>2608</v>
      </c>
      <c r="BF39">
        <v>210</v>
      </c>
      <c r="BG39">
        <v>225</v>
      </c>
      <c r="BH39">
        <v>118</v>
      </c>
      <c r="BI39">
        <v>155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2651</v>
      </c>
      <c r="AH40">
        <v>12</v>
      </c>
      <c r="AJ40">
        <v>155</v>
      </c>
      <c r="AM40" t="s">
        <v>2611</v>
      </c>
      <c r="BF40">
        <v>6</v>
      </c>
      <c r="BG40">
        <v>225</v>
      </c>
      <c r="BH40">
        <v>138</v>
      </c>
      <c r="BI40">
        <v>155</v>
      </c>
      <c r="CD40">
        <v>12</v>
      </c>
      <c r="CE40">
        <v>17</v>
      </c>
      <c r="CF40">
        <v>156</v>
      </c>
      <c r="CI40" t="s">
        <v>2605</v>
      </c>
      <c r="CT40">
        <v>5</v>
      </c>
    </row>
    <row r="41" spans="1:104" x14ac:dyDescent="0.25">
      <c r="A41" t="s">
        <v>492</v>
      </c>
      <c r="B41" t="s">
        <v>2652</v>
      </c>
      <c r="AH41">
        <v>210</v>
      </c>
      <c r="AI41">
        <v>224</v>
      </c>
      <c r="AJ41">
        <v>113</v>
      </c>
      <c r="AK41">
        <v>163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2608</v>
      </c>
      <c r="CT41">
        <v>5</v>
      </c>
    </row>
    <row r="42" spans="1:104" x14ac:dyDescent="0.25">
      <c r="A42" t="s">
        <v>494</v>
      </c>
      <c r="B42" t="s">
        <v>2653</v>
      </c>
      <c r="AH42">
        <v>6</v>
      </c>
      <c r="AI42">
        <v>224</v>
      </c>
      <c r="AJ42">
        <v>133</v>
      </c>
      <c r="AK42">
        <v>163</v>
      </c>
      <c r="CD42">
        <v>12</v>
      </c>
      <c r="CF42">
        <v>196</v>
      </c>
      <c r="CI42" t="s">
        <v>2611</v>
      </c>
      <c r="CT42">
        <v>5</v>
      </c>
    </row>
    <row r="43" spans="1:104" x14ac:dyDescent="0.25">
      <c r="A43" t="s">
        <v>496</v>
      </c>
      <c r="B43" t="s">
        <v>2654</v>
      </c>
      <c r="AH43">
        <v>24</v>
      </c>
      <c r="AI43">
        <v>410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2655</v>
      </c>
      <c r="BF44" s="1" t="s">
        <v>670</v>
      </c>
      <c r="BI44">
        <v>509</v>
      </c>
      <c r="BJ44">
        <v>191</v>
      </c>
      <c r="BK44" t="s">
        <v>2656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2657</v>
      </c>
    </row>
    <row r="45" spans="1:104" x14ac:dyDescent="0.25">
      <c r="A45" t="s">
        <v>422</v>
      </c>
      <c r="B45" t="s">
        <v>2658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424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2659</v>
      </c>
      <c r="BF46">
        <v>2</v>
      </c>
      <c r="BG46">
        <v>407</v>
      </c>
      <c r="BH46">
        <v>30</v>
      </c>
      <c r="BI46">
        <v>90</v>
      </c>
      <c r="BK46" t="s">
        <v>2571</v>
      </c>
      <c r="CT46">
        <v>5</v>
      </c>
      <c r="CU46">
        <v>184</v>
      </c>
      <c r="CV46">
        <v>114</v>
      </c>
      <c r="CY46" t="s">
        <v>2660</v>
      </c>
    </row>
    <row r="47" spans="1:104" x14ac:dyDescent="0.25">
      <c r="A47" t="s">
        <v>427</v>
      </c>
      <c r="B47" t="s">
        <v>2661</v>
      </c>
      <c r="AH47" t="s">
        <v>315</v>
      </c>
      <c r="BF47">
        <v>14</v>
      </c>
      <c r="BG47">
        <v>8</v>
      </c>
      <c r="BH47">
        <v>4</v>
      </c>
      <c r="BI47">
        <v>385</v>
      </c>
      <c r="BJ47">
        <v>94</v>
      </c>
      <c r="BK47" t="s">
        <v>2573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2662</v>
      </c>
      <c r="AH48" s="1" t="s">
        <v>665</v>
      </c>
      <c r="AK48">
        <v>523</v>
      </c>
      <c r="AL48">
        <v>185</v>
      </c>
      <c r="AM48" t="s">
        <v>2626</v>
      </c>
      <c r="AN48">
        <v>5</v>
      </c>
      <c r="BF48">
        <v>5</v>
      </c>
      <c r="BG48">
        <v>18</v>
      </c>
      <c r="BH48">
        <v>19</v>
      </c>
      <c r="BK48" t="s">
        <v>2576</v>
      </c>
    </row>
    <row r="49" spans="1:104" x14ac:dyDescent="0.25">
      <c r="A49" t="s">
        <v>431</v>
      </c>
      <c r="B49" t="s">
        <v>2566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120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2640</v>
      </c>
      <c r="AH50">
        <v>2</v>
      </c>
      <c r="AI50">
        <v>407</v>
      </c>
      <c r="AJ50">
        <v>30</v>
      </c>
      <c r="AK50">
        <v>90</v>
      </c>
      <c r="AM50" t="s">
        <v>2571</v>
      </c>
      <c r="BF50">
        <v>5</v>
      </c>
      <c r="BG50">
        <v>18</v>
      </c>
      <c r="BH50">
        <v>42</v>
      </c>
      <c r="BK50" t="s">
        <v>2581</v>
      </c>
      <c r="CD50" s="1" t="s">
        <v>672</v>
      </c>
      <c r="CG50">
        <v>524</v>
      </c>
      <c r="CH50">
        <v>227</v>
      </c>
      <c r="CI50" t="s">
        <v>2663</v>
      </c>
      <c r="CJ50">
        <v>5</v>
      </c>
      <c r="CT50">
        <v>5</v>
      </c>
      <c r="CU50">
        <v>17</v>
      </c>
      <c r="CV50">
        <v>101</v>
      </c>
      <c r="CY50" t="s">
        <v>2664</v>
      </c>
      <c r="CZ50" t="s">
        <v>599</v>
      </c>
    </row>
    <row r="51" spans="1:104" x14ac:dyDescent="0.25">
      <c r="A51" t="s">
        <v>439</v>
      </c>
      <c r="B51" t="s">
        <v>2665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2573</v>
      </c>
      <c r="BF51">
        <v>111</v>
      </c>
      <c r="BL51">
        <v>1</v>
      </c>
      <c r="CD51">
        <v>1</v>
      </c>
      <c r="CE51">
        <v>424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2666</v>
      </c>
      <c r="AH52">
        <v>5</v>
      </c>
      <c r="AI52">
        <v>18</v>
      </c>
      <c r="AJ52">
        <v>19</v>
      </c>
      <c r="AM52" t="s">
        <v>2576</v>
      </c>
      <c r="BF52">
        <v>12</v>
      </c>
      <c r="BG52">
        <v>120</v>
      </c>
      <c r="BH52">
        <v>40</v>
      </c>
      <c r="BK52" t="s">
        <v>2591</v>
      </c>
      <c r="CD52">
        <v>2</v>
      </c>
      <c r="CE52">
        <v>424</v>
      </c>
      <c r="CF52">
        <v>30</v>
      </c>
      <c r="CG52">
        <v>90</v>
      </c>
      <c r="CI52" t="s">
        <v>2571</v>
      </c>
      <c r="CT52">
        <v>5</v>
      </c>
      <c r="CU52">
        <v>132</v>
      </c>
      <c r="CV52">
        <v>101</v>
      </c>
      <c r="CY52" t="s">
        <v>2667</v>
      </c>
    </row>
    <row r="53" spans="1:104" x14ac:dyDescent="0.25">
      <c r="A53" t="s">
        <v>338</v>
      </c>
      <c r="B53" t="s">
        <v>2668</v>
      </c>
      <c r="AH53">
        <v>10</v>
      </c>
      <c r="AI53">
        <v>224</v>
      </c>
      <c r="AJ53">
        <v>16</v>
      </c>
      <c r="AK53">
        <v>160</v>
      </c>
      <c r="AN53" t="s">
        <v>316</v>
      </c>
      <c r="BF53">
        <v>12</v>
      </c>
      <c r="BK53" t="s">
        <v>2596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2573</v>
      </c>
      <c r="CT53">
        <v>8</v>
      </c>
      <c r="CU53">
        <v>180</v>
      </c>
      <c r="CV53">
        <v>99</v>
      </c>
      <c r="CW53">
        <v>60</v>
      </c>
    </row>
    <row r="54" spans="1:104" x14ac:dyDescent="0.25">
      <c r="A54" t="s">
        <v>340</v>
      </c>
      <c r="B54" t="s">
        <v>2669</v>
      </c>
      <c r="AH54">
        <v>13</v>
      </c>
      <c r="AI54">
        <v>19</v>
      </c>
      <c r="AJ54">
        <v>41</v>
      </c>
      <c r="AM54" t="s">
        <v>2586</v>
      </c>
      <c r="AN54" t="b">
        <v>0</v>
      </c>
      <c r="BF54">
        <v>13</v>
      </c>
      <c r="BG54">
        <v>18</v>
      </c>
      <c r="BH54">
        <v>75</v>
      </c>
      <c r="BK54" t="s">
        <v>2595</v>
      </c>
      <c r="BL54" t="b">
        <v>0</v>
      </c>
      <c r="CD54">
        <v>5</v>
      </c>
      <c r="CE54">
        <v>17</v>
      </c>
      <c r="CF54">
        <v>18</v>
      </c>
      <c r="CI54" t="s">
        <v>2578</v>
      </c>
      <c r="CT54">
        <v>5</v>
      </c>
      <c r="CU54">
        <v>247</v>
      </c>
      <c r="CV54">
        <v>101</v>
      </c>
      <c r="CY54" t="s">
        <v>2670</v>
      </c>
    </row>
    <row r="55" spans="1:104" x14ac:dyDescent="0.25">
      <c r="A55" t="s">
        <v>177</v>
      </c>
      <c r="B55" t="s">
        <v>2671</v>
      </c>
      <c r="AH55">
        <v>5</v>
      </c>
      <c r="AI55">
        <v>20</v>
      </c>
      <c r="AJ55">
        <v>62</v>
      </c>
      <c r="AM55" t="s">
        <v>2599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2574</v>
      </c>
      <c r="CD55">
        <v>10</v>
      </c>
      <c r="CE55">
        <v>220</v>
      </c>
      <c r="CF55">
        <v>16</v>
      </c>
      <c r="CG55">
        <v>179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180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2585</v>
      </c>
      <c r="CT56">
        <v>5</v>
      </c>
      <c r="CU56">
        <v>17</v>
      </c>
      <c r="CV56">
        <v>131</v>
      </c>
      <c r="CY56" t="s">
        <v>2672</v>
      </c>
    </row>
    <row r="57" spans="1:104" x14ac:dyDescent="0.25">
      <c r="A57" t="s">
        <v>557</v>
      </c>
      <c r="B57" t="s">
        <v>2673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2574</v>
      </c>
      <c r="BF57">
        <v>12</v>
      </c>
      <c r="BG57">
        <v>18</v>
      </c>
      <c r="BH57">
        <v>120</v>
      </c>
      <c r="BK57" t="s">
        <v>2605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220</v>
      </c>
      <c r="CV57">
        <v>129</v>
      </c>
      <c r="CW57">
        <v>60</v>
      </c>
    </row>
    <row r="58" spans="1:104" x14ac:dyDescent="0.25">
      <c r="A58" t="s">
        <v>559</v>
      </c>
      <c r="B58" t="s">
        <v>2674</v>
      </c>
      <c r="AH58">
        <v>111</v>
      </c>
      <c r="AN58">
        <v>2</v>
      </c>
      <c r="BF58">
        <v>12</v>
      </c>
      <c r="BH58">
        <v>140</v>
      </c>
      <c r="BK58" t="s">
        <v>2608</v>
      </c>
      <c r="CD58">
        <v>5</v>
      </c>
      <c r="CE58">
        <v>17</v>
      </c>
      <c r="CF58">
        <v>70</v>
      </c>
      <c r="CI58" t="s">
        <v>2645</v>
      </c>
      <c r="CT58">
        <v>5</v>
      </c>
      <c r="CU58">
        <v>288</v>
      </c>
      <c r="CV58">
        <v>131</v>
      </c>
      <c r="CY58" t="s">
        <v>2675</v>
      </c>
    </row>
    <row r="59" spans="1:104" x14ac:dyDescent="0.25">
      <c r="A59" t="s">
        <v>188</v>
      </c>
      <c r="B59" t="s">
        <v>2676</v>
      </c>
      <c r="AH59">
        <v>12</v>
      </c>
      <c r="AI59">
        <v>20</v>
      </c>
      <c r="AJ59">
        <v>107</v>
      </c>
      <c r="AM59" t="s">
        <v>2605</v>
      </c>
      <c r="BF59">
        <v>12</v>
      </c>
      <c r="BH59">
        <v>160</v>
      </c>
      <c r="BK59" t="s">
        <v>2611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2677</v>
      </c>
    </row>
    <row r="60" spans="1:104" x14ac:dyDescent="0.25">
      <c r="A60" t="s">
        <v>564</v>
      </c>
      <c r="B60" t="s">
        <v>2678</v>
      </c>
      <c r="AH60">
        <v>12</v>
      </c>
      <c r="AJ60">
        <v>127</v>
      </c>
      <c r="AM60" t="s">
        <v>2608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2586</v>
      </c>
      <c r="CJ60" t="b">
        <v>0</v>
      </c>
      <c r="CT60">
        <v>7</v>
      </c>
      <c r="CU60">
        <v>220</v>
      </c>
      <c r="CV60">
        <v>151</v>
      </c>
      <c r="CW60">
        <v>60</v>
      </c>
    </row>
    <row r="61" spans="1:104" x14ac:dyDescent="0.25">
      <c r="A61" t="s">
        <v>566</v>
      </c>
      <c r="B61" t="s">
        <v>2679</v>
      </c>
      <c r="AH61">
        <v>12</v>
      </c>
      <c r="AJ61">
        <v>147</v>
      </c>
      <c r="AM61" t="s">
        <v>2611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2599</v>
      </c>
      <c r="CT61">
        <v>5</v>
      </c>
      <c r="CU61">
        <v>288</v>
      </c>
      <c r="CV61">
        <v>153</v>
      </c>
      <c r="CY61" t="s">
        <v>2675</v>
      </c>
    </row>
    <row r="62" spans="1:104" x14ac:dyDescent="0.25">
      <c r="A62" t="s">
        <v>568</v>
      </c>
      <c r="B62" t="s">
        <v>2680</v>
      </c>
      <c r="AH62">
        <v>210</v>
      </c>
      <c r="AI62">
        <v>224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2681</v>
      </c>
      <c r="AH63">
        <v>6</v>
      </c>
      <c r="AI63">
        <v>224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2574</v>
      </c>
      <c r="CT63" t="s">
        <v>554</v>
      </c>
    </row>
    <row r="64" spans="1:104" x14ac:dyDescent="0.25">
      <c r="A64" t="s">
        <v>572</v>
      </c>
      <c r="B64" t="s">
        <v>2565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2625</v>
      </c>
      <c r="CD65">
        <v>12</v>
      </c>
      <c r="CE65">
        <v>17</v>
      </c>
      <c r="CF65">
        <v>156</v>
      </c>
      <c r="CI65" t="s">
        <v>2605</v>
      </c>
      <c r="CT65">
        <v>5</v>
      </c>
    </row>
    <row r="66" spans="1:104" x14ac:dyDescent="0.25">
      <c r="A66" t="s">
        <v>194</v>
      </c>
      <c r="B66" t="s">
        <v>2567</v>
      </c>
      <c r="BF66" t="s">
        <v>334</v>
      </c>
      <c r="CD66">
        <v>12</v>
      </c>
      <c r="CF66">
        <v>176</v>
      </c>
      <c r="CI66" t="s">
        <v>2608</v>
      </c>
      <c r="CT66">
        <v>5</v>
      </c>
    </row>
    <row r="67" spans="1:104" x14ac:dyDescent="0.25">
      <c r="A67" t="s">
        <v>195</v>
      </c>
      <c r="B67" t="s">
        <v>2682</v>
      </c>
      <c r="BF67" s="1" t="s">
        <v>667</v>
      </c>
      <c r="BI67">
        <v>509</v>
      </c>
      <c r="BJ67">
        <v>181</v>
      </c>
      <c r="BK67" t="s">
        <v>2683</v>
      </c>
      <c r="BL67">
        <v>5</v>
      </c>
      <c r="CD67">
        <v>12</v>
      </c>
      <c r="CF67">
        <v>196</v>
      </c>
      <c r="CI67" t="s">
        <v>2611</v>
      </c>
      <c r="CT67">
        <v>5</v>
      </c>
    </row>
    <row r="68" spans="1:104" x14ac:dyDescent="0.25">
      <c r="A68" t="s">
        <v>576</v>
      </c>
      <c r="B68" t="s">
        <v>2684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2685</v>
      </c>
      <c r="AH69" s="1" t="s">
        <v>669</v>
      </c>
      <c r="AK69">
        <v>509</v>
      </c>
      <c r="AL69">
        <v>205</v>
      </c>
      <c r="AM69" t="s">
        <v>2682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2571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2686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2573</v>
      </c>
      <c r="CD70">
        <v>24</v>
      </c>
      <c r="CE70">
        <v>424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2687</v>
      </c>
      <c r="AH71">
        <v>2</v>
      </c>
      <c r="AI71">
        <v>407</v>
      </c>
      <c r="AJ71">
        <v>30</v>
      </c>
      <c r="AK71">
        <v>90</v>
      </c>
      <c r="AM71" t="s">
        <v>2571</v>
      </c>
      <c r="BF71">
        <v>5</v>
      </c>
      <c r="BG71">
        <v>18</v>
      </c>
      <c r="BH71">
        <v>19</v>
      </c>
      <c r="BK71" t="s">
        <v>2576</v>
      </c>
      <c r="CT71">
        <v>5</v>
      </c>
    </row>
    <row r="72" spans="1:104" x14ac:dyDescent="0.25">
      <c r="A72" t="s">
        <v>200</v>
      </c>
      <c r="B72" t="s">
        <v>2688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2573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2689</v>
      </c>
    </row>
    <row r="73" spans="1:104" x14ac:dyDescent="0.25">
      <c r="A73" t="s">
        <v>203</v>
      </c>
      <c r="B73" t="s">
        <v>2690</v>
      </c>
      <c r="AH73">
        <v>5</v>
      </c>
      <c r="AI73">
        <v>18</v>
      </c>
      <c r="AJ73">
        <v>19</v>
      </c>
      <c r="AM73" t="s">
        <v>2576</v>
      </c>
      <c r="BF73">
        <v>13</v>
      </c>
      <c r="BG73">
        <v>18</v>
      </c>
      <c r="BH73">
        <v>40</v>
      </c>
      <c r="BK73" t="s">
        <v>2603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2691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2574</v>
      </c>
      <c r="CD74" t="s">
        <v>441</v>
      </c>
      <c r="CT74">
        <v>5</v>
      </c>
      <c r="CU74">
        <v>24</v>
      </c>
      <c r="CV74">
        <v>134</v>
      </c>
      <c r="CY74" t="s">
        <v>2692</v>
      </c>
    </row>
    <row r="75" spans="1:104" x14ac:dyDescent="0.25">
      <c r="A75" t="s">
        <v>207</v>
      </c>
      <c r="B75" t="s">
        <v>2693</v>
      </c>
      <c r="AH75">
        <v>13</v>
      </c>
      <c r="AI75">
        <v>18</v>
      </c>
      <c r="AJ75">
        <v>41</v>
      </c>
      <c r="AM75" t="s">
        <v>2603</v>
      </c>
      <c r="AN75" t="b">
        <v>0</v>
      </c>
      <c r="BF75">
        <v>111</v>
      </c>
      <c r="BL75">
        <v>2</v>
      </c>
      <c r="CD75" s="1" t="s">
        <v>673</v>
      </c>
      <c r="CG75">
        <v>524</v>
      </c>
      <c r="CH75">
        <v>223</v>
      </c>
      <c r="CI75" t="s">
        <v>2694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2695</v>
      </c>
      <c r="AH76">
        <v>5</v>
      </c>
      <c r="AI76">
        <v>18</v>
      </c>
      <c r="AJ76">
        <v>69</v>
      </c>
      <c r="AM76" t="s">
        <v>2696</v>
      </c>
      <c r="BF76">
        <v>12</v>
      </c>
      <c r="BG76">
        <v>18</v>
      </c>
      <c r="BH76">
        <v>86</v>
      </c>
      <c r="BK76" t="s">
        <v>2605</v>
      </c>
      <c r="CD76">
        <v>1</v>
      </c>
      <c r="CE76">
        <v>424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2608</v>
      </c>
      <c r="CD77">
        <v>2</v>
      </c>
      <c r="CE77">
        <v>424</v>
      </c>
      <c r="CF77">
        <v>30</v>
      </c>
      <c r="CG77">
        <v>90</v>
      </c>
      <c r="CI77" t="s">
        <v>2571</v>
      </c>
      <c r="CT77" t="s">
        <v>376</v>
      </c>
    </row>
    <row r="78" spans="1:104" x14ac:dyDescent="0.25">
      <c r="A78" t="s">
        <v>219</v>
      </c>
      <c r="B78" t="s">
        <v>2568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2574</v>
      </c>
      <c r="BF78">
        <v>12</v>
      </c>
      <c r="BH78">
        <v>126</v>
      </c>
      <c r="BK78" t="s">
        <v>2611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2573</v>
      </c>
      <c r="CT78">
        <v>5</v>
      </c>
      <c r="CZ78" t="s">
        <v>376</v>
      </c>
    </row>
    <row r="79" spans="1:104" x14ac:dyDescent="0.25">
      <c r="A79" t="s">
        <v>220</v>
      </c>
      <c r="B79" t="s">
        <v>2663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2578</v>
      </c>
      <c r="CT79">
        <v>5</v>
      </c>
    </row>
    <row r="80" spans="1:104" x14ac:dyDescent="0.25">
      <c r="A80" t="s">
        <v>221</v>
      </c>
      <c r="B80" t="s">
        <v>2632</v>
      </c>
      <c r="AH80">
        <v>5</v>
      </c>
      <c r="AI80">
        <v>18</v>
      </c>
      <c r="AJ80">
        <v>112</v>
      </c>
      <c r="AM80" t="s">
        <v>2605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2694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2697</v>
      </c>
      <c r="BL81" t="b">
        <v>0</v>
      </c>
      <c r="CD81">
        <v>5</v>
      </c>
      <c r="CE81">
        <v>17</v>
      </c>
      <c r="CF81">
        <v>41</v>
      </c>
      <c r="CI81" t="s">
        <v>2585</v>
      </c>
      <c r="CT81">
        <v>5</v>
      </c>
    </row>
    <row r="82" spans="1:104" x14ac:dyDescent="0.25">
      <c r="A82" t="s">
        <v>606</v>
      </c>
      <c r="B82" t="s">
        <v>2698</v>
      </c>
      <c r="AH82">
        <v>205</v>
      </c>
      <c r="AI82">
        <v>18</v>
      </c>
      <c r="AJ82">
        <v>132</v>
      </c>
      <c r="AM82" t="s">
        <v>2608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2699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2700</v>
      </c>
      <c r="CT83">
        <v>5</v>
      </c>
    </row>
    <row r="84" spans="1:104" x14ac:dyDescent="0.25">
      <c r="A84" t="s">
        <v>303</v>
      </c>
      <c r="B84" t="s">
        <v>2701</v>
      </c>
      <c r="AH84">
        <v>205</v>
      </c>
      <c r="AI84">
        <v>18</v>
      </c>
      <c r="AJ84">
        <v>152</v>
      </c>
      <c r="AM84" t="s">
        <v>2611</v>
      </c>
      <c r="CD84">
        <v>8</v>
      </c>
      <c r="CE84">
        <v>307</v>
      </c>
      <c r="CF84">
        <v>68</v>
      </c>
      <c r="CG84">
        <v>89</v>
      </c>
      <c r="CT84">
        <v>5</v>
      </c>
    </row>
    <row r="85" spans="1:104" x14ac:dyDescent="0.25">
      <c r="A85" t="s">
        <v>467</v>
      </c>
      <c r="B85" t="s">
        <v>2702</v>
      </c>
      <c r="AH85">
        <v>13</v>
      </c>
      <c r="AI85">
        <v>18</v>
      </c>
      <c r="AJ85">
        <v>175</v>
      </c>
      <c r="AM85" t="s">
        <v>2703</v>
      </c>
      <c r="AN85" t="b">
        <v>0</v>
      </c>
      <c r="CD85">
        <v>13</v>
      </c>
      <c r="CE85">
        <v>18</v>
      </c>
      <c r="CF85">
        <v>87</v>
      </c>
      <c r="CI85" t="s">
        <v>2586</v>
      </c>
      <c r="CJ85" t="b">
        <v>0</v>
      </c>
      <c r="CT85">
        <v>5</v>
      </c>
    </row>
    <row r="86" spans="1:104" x14ac:dyDescent="0.25">
      <c r="A86" t="s">
        <v>228</v>
      </c>
      <c r="B86" t="s">
        <v>2704</v>
      </c>
      <c r="AH86">
        <v>13</v>
      </c>
      <c r="AI86">
        <v>222</v>
      </c>
      <c r="AJ86">
        <v>175</v>
      </c>
      <c r="AM86" t="s">
        <v>2705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2599</v>
      </c>
      <c r="CT86">
        <v>5</v>
      </c>
    </row>
    <row r="87" spans="1:104" x14ac:dyDescent="0.25">
      <c r="A87" t="s">
        <v>231</v>
      </c>
      <c r="B87" t="s">
        <v>2706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507</v>
      </c>
      <c r="BJ87">
        <v>241</v>
      </c>
      <c r="BK87" t="s">
        <v>2688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2707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2574</v>
      </c>
      <c r="CT88">
        <v>5</v>
      </c>
      <c r="CU88">
        <v>26</v>
      </c>
      <c r="CV88">
        <v>108</v>
      </c>
      <c r="CY88" t="s">
        <v>2708</v>
      </c>
    </row>
    <row r="89" spans="1:104" x14ac:dyDescent="0.25">
      <c r="A89" t="s">
        <v>299</v>
      </c>
      <c r="B89" t="s">
        <v>2709</v>
      </c>
      <c r="BF89">
        <v>2</v>
      </c>
      <c r="BG89">
        <v>407</v>
      </c>
      <c r="BH89">
        <v>30</v>
      </c>
      <c r="BI89">
        <v>90</v>
      </c>
      <c r="BK89" t="s">
        <v>2571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2710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2573</v>
      </c>
      <c r="CD90">
        <v>12</v>
      </c>
      <c r="CE90">
        <v>17</v>
      </c>
      <c r="CF90">
        <v>152</v>
      </c>
      <c r="CI90" t="s">
        <v>2605</v>
      </c>
    </row>
    <row r="91" spans="1:104" x14ac:dyDescent="0.25">
      <c r="A91" t="s">
        <v>237</v>
      </c>
      <c r="B91" t="s">
        <v>2711</v>
      </c>
      <c r="BF91">
        <v>5</v>
      </c>
      <c r="BG91">
        <v>18</v>
      </c>
      <c r="BH91">
        <v>19</v>
      </c>
      <c r="BK91" t="s">
        <v>2576</v>
      </c>
      <c r="CD91">
        <v>12</v>
      </c>
      <c r="CF91">
        <v>172</v>
      </c>
      <c r="CI91" t="s">
        <v>2608</v>
      </c>
      <c r="CT91" t="s">
        <v>379</v>
      </c>
    </row>
    <row r="92" spans="1:104" x14ac:dyDescent="0.25">
      <c r="A92" t="s">
        <v>239</v>
      </c>
      <c r="B92" t="s">
        <v>2712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2611</v>
      </c>
      <c r="CT92">
        <v>5</v>
      </c>
      <c r="CZ92" t="s">
        <v>379</v>
      </c>
    </row>
    <row r="93" spans="1:104" x14ac:dyDescent="0.25">
      <c r="A93" t="s">
        <v>485</v>
      </c>
      <c r="B93" t="s">
        <v>2713</v>
      </c>
      <c r="BF93">
        <v>5</v>
      </c>
      <c r="BG93">
        <v>18</v>
      </c>
      <c r="BH93">
        <v>43</v>
      </c>
      <c r="BK93" t="s">
        <v>2714</v>
      </c>
      <c r="CD93">
        <v>210</v>
      </c>
      <c r="CE93">
        <v>222</v>
      </c>
      <c r="CF93">
        <v>150</v>
      </c>
      <c r="CG93">
        <v>175</v>
      </c>
      <c r="CT93">
        <v>5</v>
      </c>
    </row>
    <row r="94" spans="1:104" x14ac:dyDescent="0.25">
      <c r="A94" t="s">
        <v>242</v>
      </c>
      <c r="B94" t="s">
        <v>2715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222</v>
      </c>
      <c r="CF94">
        <v>172</v>
      </c>
      <c r="CG94">
        <v>175</v>
      </c>
      <c r="CT94">
        <v>5</v>
      </c>
    </row>
    <row r="95" spans="1:104" x14ac:dyDescent="0.25">
      <c r="A95" t="s">
        <v>244</v>
      </c>
      <c r="B95" t="s">
        <v>2716</v>
      </c>
      <c r="BF95">
        <v>13</v>
      </c>
      <c r="BG95">
        <v>18</v>
      </c>
      <c r="BH95">
        <v>66</v>
      </c>
      <c r="BK95" t="s">
        <v>2586</v>
      </c>
      <c r="BL95" t="b">
        <v>0</v>
      </c>
      <c r="CD95">
        <v>24</v>
      </c>
      <c r="CE95">
        <v>424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2717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2574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2718</v>
      </c>
      <c r="BF98">
        <v>12</v>
      </c>
      <c r="BG98">
        <v>18</v>
      </c>
      <c r="BH98">
        <v>112</v>
      </c>
      <c r="BK98" t="s">
        <v>2605</v>
      </c>
      <c r="CT98">
        <v>5</v>
      </c>
    </row>
    <row r="99" spans="1:104" x14ac:dyDescent="0.25">
      <c r="A99" t="s">
        <v>252</v>
      </c>
      <c r="B99" t="s">
        <v>2719</v>
      </c>
      <c r="BF99">
        <v>12</v>
      </c>
      <c r="BH99">
        <v>132</v>
      </c>
      <c r="BK99" t="s">
        <v>2608</v>
      </c>
      <c r="CD99" t="s">
        <v>357</v>
      </c>
      <c r="CT99">
        <v>5</v>
      </c>
    </row>
    <row r="100" spans="1:104" x14ac:dyDescent="0.25">
      <c r="A100" t="s">
        <v>511</v>
      </c>
      <c r="B100" t="s">
        <v>2720</v>
      </c>
      <c r="BF100">
        <v>12</v>
      </c>
      <c r="BH100">
        <v>152</v>
      </c>
      <c r="BK100" t="s">
        <v>2611</v>
      </c>
      <c r="CD100" s="1" t="s">
        <v>674</v>
      </c>
      <c r="CG100">
        <v>577</v>
      </c>
      <c r="CH100">
        <v>281</v>
      </c>
      <c r="CI100" t="s">
        <v>2716</v>
      </c>
      <c r="CJ100">
        <v>5</v>
      </c>
      <c r="CT100">
        <v>5</v>
      </c>
      <c r="CU100">
        <v>23</v>
      </c>
      <c r="CV100">
        <v>131</v>
      </c>
      <c r="CY100" t="s">
        <v>2721</v>
      </c>
    </row>
    <row r="101" spans="1:104" x14ac:dyDescent="0.25">
      <c r="A101" t="s">
        <v>513</v>
      </c>
      <c r="B101" t="s">
        <v>2722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198</v>
      </c>
      <c r="CV101">
        <v>128</v>
      </c>
      <c r="CW101">
        <v>60</v>
      </c>
    </row>
    <row r="102" spans="1:104" x14ac:dyDescent="0.25">
      <c r="A102" t="s">
        <v>515</v>
      </c>
      <c r="B102" t="s">
        <v>2656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2571</v>
      </c>
      <c r="CT102">
        <v>5</v>
      </c>
      <c r="CU102">
        <v>25</v>
      </c>
      <c r="CV102">
        <v>108</v>
      </c>
      <c r="CY102" t="s">
        <v>2708</v>
      </c>
    </row>
    <row r="103" spans="1:104" x14ac:dyDescent="0.25">
      <c r="A103" t="s">
        <v>516</v>
      </c>
      <c r="B103" t="s">
        <v>2723</v>
      </c>
      <c r="BF103">
        <v>13</v>
      </c>
      <c r="BG103">
        <v>18</v>
      </c>
      <c r="BH103">
        <v>174</v>
      </c>
      <c r="BK103" t="s">
        <v>2724</v>
      </c>
      <c r="BL103" t="b">
        <v>0</v>
      </c>
      <c r="CD103">
        <v>14</v>
      </c>
      <c r="CE103">
        <v>8</v>
      </c>
      <c r="CF103">
        <v>3</v>
      </c>
      <c r="CG103">
        <v>455</v>
      </c>
      <c r="CH103">
        <v>186</v>
      </c>
      <c r="CI103" t="s">
        <v>2573</v>
      </c>
      <c r="CT103">
        <v>8</v>
      </c>
      <c r="CU103">
        <v>198</v>
      </c>
      <c r="CV103">
        <v>105</v>
      </c>
      <c r="CW103">
        <v>60</v>
      </c>
    </row>
    <row r="104" spans="1:104" x14ac:dyDescent="0.25">
      <c r="A104" t="s">
        <v>519</v>
      </c>
      <c r="B104" t="s">
        <v>2725</v>
      </c>
      <c r="BF104">
        <v>13</v>
      </c>
      <c r="BK104" t="s">
        <v>2726</v>
      </c>
      <c r="BL104" t="b">
        <v>0</v>
      </c>
      <c r="CD104">
        <v>5</v>
      </c>
      <c r="CE104">
        <v>17</v>
      </c>
      <c r="CF104">
        <v>18</v>
      </c>
      <c r="CI104" t="s">
        <v>2578</v>
      </c>
    </row>
    <row r="105" spans="1:104" x14ac:dyDescent="0.25">
      <c r="A105" t="s">
        <v>534</v>
      </c>
      <c r="B105" t="s">
        <v>2727</v>
      </c>
      <c r="BF105">
        <v>13</v>
      </c>
      <c r="BK105" t="s">
        <v>2703</v>
      </c>
      <c r="BL105" t="b">
        <v>0</v>
      </c>
      <c r="CD105">
        <v>10</v>
      </c>
      <c r="CE105">
        <v>222</v>
      </c>
      <c r="CF105">
        <v>16</v>
      </c>
      <c r="CG105">
        <v>225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2728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2585</v>
      </c>
      <c r="CT106">
        <v>5</v>
      </c>
      <c r="CZ106" t="s">
        <v>382</v>
      </c>
    </row>
    <row r="107" spans="1:104" x14ac:dyDescent="0.25">
      <c r="A107" t="s">
        <v>538</v>
      </c>
      <c r="B107" t="s">
        <v>2570</v>
      </c>
      <c r="CD107">
        <v>10</v>
      </c>
      <c r="CE107">
        <v>222</v>
      </c>
      <c r="CF107">
        <v>39</v>
      </c>
      <c r="CG107">
        <v>225</v>
      </c>
      <c r="CJ107" t="s">
        <v>316</v>
      </c>
      <c r="CT107">
        <v>5</v>
      </c>
    </row>
    <row r="108" spans="1:104" x14ac:dyDescent="0.25">
      <c r="A108" t="s">
        <v>259</v>
      </c>
      <c r="B108" t="s">
        <v>2729</v>
      </c>
      <c r="CD108">
        <v>5</v>
      </c>
      <c r="CE108">
        <v>17</v>
      </c>
      <c r="CF108">
        <v>68</v>
      </c>
      <c r="CI108" t="s">
        <v>2645</v>
      </c>
      <c r="CT108">
        <v>5</v>
      </c>
    </row>
    <row r="109" spans="1:104" x14ac:dyDescent="0.25">
      <c r="A109" t="s">
        <v>60</v>
      </c>
      <c r="B109" t="s">
        <v>2730</v>
      </c>
      <c r="CD109">
        <v>8</v>
      </c>
      <c r="CE109">
        <v>280</v>
      </c>
      <c r="CF109">
        <v>66</v>
      </c>
      <c r="CG109">
        <v>167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2731</v>
      </c>
      <c r="CT110">
        <v>5</v>
      </c>
    </row>
    <row r="111" spans="1:104" x14ac:dyDescent="0.25">
      <c r="A111" t="s">
        <v>434</v>
      </c>
      <c r="B111" t="s">
        <v>2732</v>
      </c>
      <c r="CD111">
        <v>8</v>
      </c>
      <c r="CE111">
        <v>280</v>
      </c>
      <c r="CF111">
        <v>93</v>
      </c>
      <c r="CG111">
        <v>167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2733</v>
      </c>
      <c r="CT112">
        <v>5</v>
      </c>
    </row>
    <row r="113" spans="1:104" x14ac:dyDescent="0.25">
      <c r="A113" t="s">
        <v>539</v>
      </c>
      <c r="B113" t="s">
        <v>2734</v>
      </c>
      <c r="CD113">
        <v>8</v>
      </c>
      <c r="CE113">
        <v>280</v>
      </c>
      <c r="CF113">
        <v>117</v>
      </c>
      <c r="CG113">
        <v>167</v>
      </c>
      <c r="CT113">
        <v>5</v>
      </c>
    </row>
    <row r="114" spans="1:104" x14ac:dyDescent="0.25">
      <c r="A114" t="s">
        <v>541</v>
      </c>
      <c r="B114" t="s">
        <v>2735</v>
      </c>
      <c r="CD114">
        <v>13</v>
      </c>
      <c r="CE114">
        <v>17</v>
      </c>
      <c r="CF114">
        <v>143</v>
      </c>
      <c r="CI114" t="s">
        <v>2586</v>
      </c>
      <c r="CJ114" t="b">
        <v>0</v>
      </c>
      <c r="CT114">
        <v>5</v>
      </c>
    </row>
    <row r="115" spans="1:104" x14ac:dyDescent="0.25">
      <c r="A115" t="s">
        <v>543</v>
      </c>
      <c r="B115" t="s">
        <v>2564</v>
      </c>
      <c r="CD115">
        <v>5</v>
      </c>
      <c r="CE115">
        <v>17</v>
      </c>
      <c r="CF115">
        <v>168</v>
      </c>
      <c r="CI115" t="s">
        <v>2599</v>
      </c>
      <c r="CT115">
        <v>5</v>
      </c>
    </row>
    <row r="116" spans="1:104" x14ac:dyDescent="0.25">
      <c r="A116" t="s">
        <v>544</v>
      </c>
      <c r="B116" t="s">
        <v>2736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2737</v>
      </c>
    </row>
    <row r="117" spans="1:104" x14ac:dyDescent="0.25">
      <c r="A117" t="s">
        <v>547</v>
      </c>
      <c r="B117" t="s">
        <v>2738</v>
      </c>
      <c r="CD117">
        <v>14</v>
      </c>
      <c r="CE117">
        <v>8</v>
      </c>
      <c r="CF117">
        <v>195</v>
      </c>
      <c r="CG117">
        <v>455</v>
      </c>
      <c r="CH117">
        <v>81</v>
      </c>
      <c r="CI117" t="s">
        <v>2574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2739</v>
      </c>
      <c r="CD118">
        <v>111</v>
      </c>
      <c r="CJ118">
        <v>2</v>
      </c>
    </row>
    <row r="119" spans="1:104" x14ac:dyDescent="0.25">
      <c r="A119" t="s">
        <v>562</v>
      </c>
      <c r="B119" t="s">
        <v>2740</v>
      </c>
      <c r="CD119">
        <v>12</v>
      </c>
      <c r="CE119">
        <v>17</v>
      </c>
      <c r="CF119">
        <v>211</v>
      </c>
      <c r="CI119" t="s">
        <v>2605</v>
      </c>
      <c r="CT119" t="s">
        <v>332</v>
      </c>
    </row>
    <row r="120" spans="1:104" x14ac:dyDescent="0.25">
      <c r="A120" t="s">
        <v>366</v>
      </c>
      <c r="B120" t="s">
        <v>2741</v>
      </c>
      <c r="CD120">
        <v>12</v>
      </c>
      <c r="CF120">
        <v>231</v>
      </c>
      <c r="CI120" t="s">
        <v>2608</v>
      </c>
      <c r="CT120">
        <v>5</v>
      </c>
      <c r="CZ120" t="s">
        <v>332</v>
      </c>
    </row>
    <row r="121" spans="1:104" x14ac:dyDescent="0.25">
      <c r="A121" t="s">
        <v>368</v>
      </c>
      <c r="B121" t="s">
        <v>2742</v>
      </c>
      <c r="CD121">
        <v>12</v>
      </c>
      <c r="CF121">
        <v>251</v>
      </c>
      <c r="CI121" t="s">
        <v>2611</v>
      </c>
      <c r="CT121">
        <v>5</v>
      </c>
    </row>
    <row r="122" spans="1:104" x14ac:dyDescent="0.25">
      <c r="A122" t="s">
        <v>370</v>
      </c>
      <c r="B122" t="s">
        <v>2743</v>
      </c>
      <c r="CD122">
        <v>210</v>
      </c>
      <c r="CE122">
        <v>222</v>
      </c>
      <c r="CF122">
        <v>209</v>
      </c>
      <c r="CG122">
        <v>225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225</v>
      </c>
      <c r="CT123">
        <v>5</v>
      </c>
    </row>
    <row r="124" spans="1:104" x14ac:dyDescent="0.25">
      <c r="A124" t="s">
        <v>294</v>
      </c>
      <c r="B124" t="s">
        <v>2744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2745</v>
      </c>
      <c r="CT125">
        <v>5</v>
      </c>
    </row>
    <row r="126" spans="1:104" x14ac:dyDescent="0.25">
      <c r="A126" t="s">
        <v>590</v>
      </c>
      <c r="B126" t="s">
        <v>2746</v>
      </c>
      <c r="CT126">
        <v>5</v>
      </c>
    </row>
    <row r="127" spans="1:104" x14ac:dyDescent="0.25">
      <c r="A127" t="s">
        <v>592</v>
      </c>
      <c r="B127" t="s">
        <v>2747</v>
      </c>
      <c r="CT127">
        <v>5</v>
      </c>
    </row>
    <row r="128" spans="1:104" x14ac:dyDescent="0.25">
      <c r="A128" t="s">
        <v>594</v>
      </c>
      <c r="B128" t="s">
        <v>2748</v>
      </c>
      <c r="CT128">
        <v>5</v>
      </c>
    </row>
    <row r="129" spans="1:104" x14ac:dyDescent="0.25">
      <c r="A129" t="s">
        <v>596</v>
      </c>
      <c r="B129" t="s">
        <v>2749</v>
      </c>
      <c r="CT129">
        <v>5</v>
      </c>
    </row>
    <row r="130" spans="1:104" x14ac:dyDescent="0.25">
      <c r="A130" t="s">
        <v>277</v>
      </c>
      <c r="B130" t="s">
        <v>2750</v>
      </c>
      <c r="CT130">
        <v>5</v>
      </c>
      <c r="CU130">
        <v>23</v>
      </c>
      <c r="CV130">
        <v>107</v>
      </c>
      <c r="CY130" t="s">
        <v>2751</v>
      </c>
    </row>
    <row r="131" spans="1:104" x14ac:dyDescent="0.25">
      <c r="A131" t="s">
        <v>279</v>
      </c>
      <c r="B131" t="s">
        <v>2752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2753</v>
      </c>
    </row>
    <row r="133" spans="1:104" x14ac:dyDescent="0.25">
      <c r="A133" t="s">
        <v>283</v>
      </c>
      <c r="B133" t="s">
        <v>2754</v>
      </c>
    </row>
    <row r="134" spans="1:104" x14ac:dyDescent="0.25">
      <c r="A134" t="s">
        <v>285</v>
      </c>
      <c r="B134" t="s">
        <v>2755</v>
      </c>
      <c r="CT134" t="s">
        <v>287</v>
      </c>
    </row>
    <row r="135" spans="1:104" x14ac:dyDescent="0.25">
      <c r="A135" t="s">
        <v>288</v>
      </c>
      <c r="B135" t="s">
        <v>2756</v>
      </c>
      <c r="CT135" t="s">
        <v>507</v>
      </c>
    </row>
    <row r="136" spans="1:104" x14ac:dyDescent="0.25">
      <c r="A136" t="s">
        <v>290</v>
      </c>
      <c r="B136" t="s">
        <v>2757</v>
      </c>
      <c r="CT136" t="str">
        <f>mg01s.RandUniform</f>
        <v>Tasainen</v>
      </c>
      <c r="CU136" t="s">
        <v>551</v>
      </c>
    </row>
    <row r="137" spans="1:104" x14ac:dyDescent="0.25">
      <c r="A137" t="s">
        <v>292</v>
      </c>
      <c r="B137" t="s">
        <v>2758</v>
      </c>
      <c r="CT137" t="str">
        <f>mg01s.RandNormal</f>
        <v>Normaali</v>
      </c>
      <c r="CU137" t="s">
        <v>554</v>
      </c>
    </row>
    <row r="138" spans="1:104" x14ac:dyDescent="0.25">
      <c r="A138" t="s">
        <v>609</v>
      </c>
      <c r="B138" t="s">
        <v>2759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2760</v>
      </c>
      <c r="CT139" t="str">
        <f>mg01s.RandBinomial</f>
        <v>Binomi</v>
      </c>
      <c r="CU139" t="s">
        <v>379</v>
      </c>
    </row>
    <row r="140" spans="1:104" x14ac:dyDescent="0.25">
      <c r="A140" t="s">
        <v>613</v>
      </c>
      <c r="B140" t="s">
        <v>2761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2762</v>
      </c>
      <c r="CT141" t="str">
        <f>mg01s.RandPatterned</f>
        <v>Mallitettu</v>
      </c>
      <c r="CU141" t="s">
        <v>599</v>
      </c>
    </row>
    <row r="142" spans="1:104" x14ac:dyDescent="0.25">
      <c r="A142" t="s">
        <v>92</v>
      </c>
      <c r="B142" t="s">
        <v>2569</v>
      </c>
      <c r="CT142" t="str">
        <f>mg01s.RandDiscrete</f>
        <v>Diskreetti</v>
      </c>
      <c r="CU142" t="s">
        <v>332</v>
      </c>
    </row>
    <row r="143" spans="1:104" x14ac:dyDescent="0.25">
      <c r="A143" t="s">
        <v>304</v>
      </c>
      <c r="B143" t="s">
        <v>2763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2764</v>
      </c>
    </row>
    <row r="147" spans="1:2" x14ac:dyDescent="0.25">
      <c r="A147" t="s">
        <v>313</v>
      </c>
      <c r="B147" t="s">
        <v>2765</v>
      </c>
    </row>
    <row r="148" spans="1:2" x14ac:dyDescent="0.25">
      <c r="A148" t="s">
        <v>102</v>
      </c>
      <c r="B148" t="s">
        <v>2766</v>
      </c>
    </row>
    <row r="149" spans="1:2" x14ac:dyDescent="0.25">
      <c r="A149" t="s">
        <v>319</v>
      </c>
      <c r="B149" t="s">
        <v>2767</v>
      </c>
    </row>
    <row r="150" spans="1:2" x14ac:dyDescent="0.25">
      <c r="A150" t="s">
        <v>105</v>
      </c>
      <c r="B150" t="s">
        <v>2768</v>
      </c>
    </row>
    <row r="151" spans="1:2" x14ac:dyDescent="0.25">
      <c r="A151" t="s">
        <v>323</v>
      </c>
      <c r="B151" t="s">
        <v>2769</v>
      </c>
    </row>
    <row r="152" spans="1:2" x14ac:dyDescent="0.25">
      <c r="A152" t="s">
        <v>108</v>
      </c>
      <c r="B152" t="s">
        <v>2770</v>
      </c>
    </row>
    <row r="153" spans="1:2" x14ac:dyDescent="0.25">
      <c r="A153" t="s">
        <v>110</v>
      </c>
      <c r="B153" t="s">
        <v>2771</v>
      </c>
    </row>
    <row r="154" spans="1:2" x14ac:dyDescent="0.25">
      <c r="A154" t="s">
        <v>112</v>
      </c>
      <c r="B154" t="s">
        <v>2772</v>
      </c>
    </row>
    <row r="155" spans="1:2" x14ac:dyDescent="0.25">
      <c r="A155" t="s">
        <v>336</v>
      </c>
      <c r="B155" t="s">
        <v>2773</v>
      </c>
    </row>
    <row r="156" spans="1:2" x14ac:dyDescent="0.25">
      <c r="A156" t="s">
        <v>120</v>
      </c>
      <c r="B156" t="s">
        <v>2774</v>
      </c>
    </row>
    <row r="157" spans="1:2" x14ac:dyDescent="0.25">
      <c r="A157" t="s">
        <v>349</v>
      </c>
      <c r="B157" t="s">
        <v>2775</v>
      </c>
    </row>
    <row r="158" spans="1:2" x14ac:dyDescent="0.25">
      <c r="A158" t="s">
        <v>350</v>
      </c>
      <c r="B158" t="s">
        <v>2776</v>
      </c>
    </row>
    <row r="159" spans="1:2" x14ac:dyDescent="0.25">
      <c r="A159" t="s">
        <v>438</v>
      </c>
      <c r="B159" t="s">
        <v>2777</v>
      </c>
    </row>
    <row r="160" spans="1:2" x14ac:dyDescent="0.25">
      <c r="A160" t="s">
        <v>353</v>
      </c>
      <c r="B160" t="s">
        <v>2778</v>
      </c>
    </row>
    <row r="161" spans="1:2" x14ac:dyDescent="0.25">
      <c r="A161" t="s">
        <v>355</v>
      </c>
      <c r="B161" t="s">
        <v>2779</v>
      </c>
    </row>
    <row r="162" spans="1:2" x14ac:dyDescent="0.25">
      <c r="A162" t="s">
        <v>129</v>
      </c>
      <c r="B162" t="s">
        <v>2780</v>
      </c>
    </row>
    <row r="163" spans="1:2" x14ac:dyDescent="0.25">
      <c r="A163" t="s">
        <v>363</v>
      </c>
      <c r="B163" t="s">
        <v>2781</v>
      </c>
    </row>
    <row r="164" spans="1:2" x14ac:dyDescent="0.25">
      <c r="A164" t="s">
        <v>365</v>
      </c>
      <c r="B164" t="s">
        <v>2782</v>
      </c>
    </row>
    <row r="165" spans="1:2" x14ac:dyDescent="0.25">
      <c r="A165" t="s">
        <v>374</v>
      </c>
      <c r="B165" t="s">
        <v>2783</v>
      </c>
    </row>
    <row r="166" spans="1:2" x14ac:dyDescent="0.25">
      <c r="A166" t="s">
        <v>135</v>
      </c>
      <c r="B166" t="s">
        <v>2784</v>
      </c>
    </row>
    <row r="167" spans="1:2" x14ac:dyDescent="0.25">
      <c r="A167" t="s">
        <v>137</v>
      </c>
      <c r="B167" t="s">
        <v>2785</v>
      </c>
    </row>
    <row r="168" spans="1:2" x14ac:dyDescent="0.25">
      <c r="A168" t="s">
        <v>139</v>
      </c>
      <c r="B168" t="s">
        <v>2786</v>
      </c>
    </row>
    <row r="169" spans="1:2" x14ac:dyDescent="0.25">
      <c r="A169" t="s">
        <v>384</v>
      </c>
      <c r="B169" t="s">
        <v>2787</v>
      </c>
    </row>
    <row r="170" spans="1:2" x14ac:dyDescent="0.25">
      <c r="A170" t="s">
        <v>462</v>
      </c>
      <c r="B170" t="s">
        <v>2788</v>
      </c>
    </row>
    <row r="171" spans="1:2" x14ac:dyDescent="0.25">
      <c r="A171" t="s">
        <v>464</v>
      </c>
      <c r="B171" t="s">
        <v>2789</v>
      </c>
    </row>
    <row r="172" spans="1:2" x14ac:dyDescent="0.25">
      <c r="A172" t="s">
        <v>388</v>
      </c>
      <c r="B172" t="s">
        <v>2790</v>
      </c>
    </row>
    <row r="173" spans="1:2" x14ac:dyDescent="0.25">
      <c r="A173" t="s">
        <v>147</v>
      </c>
      <c r="B173" t="s">
        <v>2791</v>
      </c>
    </row>
    <row r="174" spans="1:2" x14ac:dyDescent="0.25">
      <c r="A174" t="s">
        <v>385</v>
      </c>
      <c r="B174" t="s">
        <v>2792</v>
      </c>
    </row>
    <row r="175" spans="1:2" x14ac:dyDescent="0.25">
      <c r="A175" t="s">
        <v>151</v>
      </c>
      <c r="B175" t="s">
        <v>2793</v>
      </c>
    </row>
    <row r="176" spans="1:2" x14ac:dyDescent="0.25">
      <c r="A176" t="s">
        <v>406</v>
      </c>
      <c r="B176" t="s">
        <v>2794</v>
      </c>
    </row>
    <row r="177" spans="1:2" x14ac:dyDescent="0.25">
      <c r="A177" t="s">
        <v>408</v>
      </c>
      <c r="B177" t="s">
        <v>2795</v>
      </c>
    </row>
    <row r="178" spans="1:2" x14ac:dyDescent="0.25">
      <c r="A178" t="s">
        <v>503</v>
      </c>
      <c r="B178" t="s">
        <v>2796</v>
      </c>
    </row>
    <row r="179" spans="1:2" x14ac:dyDescent="0.25">
      <c r="A179" t="s">
        <v>410</v>
      </c>
      <c r="B179" t="s">
        <v>2797</v>
      </c>
    </row>
    <row r="180" spans="1:2" x14ac:dyDescent="0.25">
      <c r="A180" t="s">
        <v>412</v>
      </c>
      <c r="B180" t="s">
        <v>2798</v>
      </c>
    </row>
    <row r="181" spans="1:2" x14ac:dyDescent="0.25">
      <c r="A181" t="s">
        <v>161</v>
      </c>
      <c r="B181" t="s">
        <v>2799</v>
      </c>
    </row>
    <row r="182" spans="1:2" x14ac:dyDescent="0.25">
      <c r="A182" t="s">
        <v>415</v>
      </c>
      <c r="B182" t="s">
        <v>2800</v>
      </c>
    </row>
    <row r="183" spans="1:2" x14ac:dyDescent="0.25">
      <c r="A183" t="s">
        <v>173</v>
      </c>
      <c r="B183" t="s">
        <v>2801</v>
      </c>
    </row>
    <row r="184" spans="1:2" x14ac:dyDescent="0.25">
      <c r="A184" t="s">
        <v>167</v>
      </c>
      <c r="B184" t="s">
        <v>2802</v>
      </c>
    </row>
    <row r="185" spans="1:2" x14ac:dyDescent="0.25">
      <c r="A185" t="s">
        <v>169</v>
      </c>
      <c r="B185" t="s">
        <v>2803</v>
      </c>
    </row>
    <row r="186" spans="1:2" x14ac:dyDescent="0.25">
      <c r="A186" t="s">
        <v>444</v>
      </c>
      <c r="B186" t="s">
        <v>2804</v>
      </c>
    </row>
    <row r="187" spans="1:2" x14ac:dyDescent="0.25">
      <c r="A187" t="s">
        <v>18</v>
      </c>
      <c r="B187" t="s">
        <v>2805</v>
      </c>
    </row>
    <row r="188" spans="1:2" x14ac:dyDescent="0.25">
      <c r="A188" t="s">
        <v>175</v>
      </c>
      <c r="B188" t="s">
        <v>2806</v>
      </c>
    </row>
    <row r="189" spans="1:2" x14ac:dyDescent="0.25">
      <c r="A189" t="s">
        <v>181</v>
      </c>
      <c r="B189" t="s">
        <v>2807</v>
      </c>
    </row>
    <row r="190" spans="1:2" x14ac:dyDescent="0.25">
      <c r="A190" t="s">
        <v>64</v>
      </c>
      <c r="B190" t="s">
        <v>2808</v>
      </c>
    </row>
    <row r="191" spans="1:2" x14ac:dyDescent="0.25">
      <c r="A191" t="s">
        <v>185</v>
      </c>
      <c r="B191" t="s">
        <v>2809</v>
      </c>
    </row>
    <row r="192" spans="1:2" x14ac:dyDescent="0.25">
      <c r="A192" t="s">
        <v>192</v>
      </c>
      <c r="B192" t="s">
        <v>2810</v>
      </c>
    </row>
    <row r="193" spans="1:2" x14ac:dyDescent="0.25">
      <c r="A193" t="s">
        <v>67</v>
      </c>
      <c r="B193" t="s">
        <v>2811</v>
      </c>
    </row>
    <row r="194" spans="1:2" x14ac:dyDescent="0.25">
      <c r="A194" t="s">
        <v>197</v>
      </c>
      <c r="B194" t="s">
        <v>2812</v>
      </c>
    </row>
    <row r="195" spans="1:2" x14ac:dyDescent="0.25">
      <c r="A195" t="s">
        <v>199</v>
      </c>
      <c r="B195" t="s">
        <v>2813</v>
      </c>
    </row>
    <row r="196" spans="1:2" x14ac:dyDescent="0.25">
      <c r="A196" t="s">
        <v>44</v>
      </c>
      <c r="B196" t="s">
        <v>2814</v>
      </c>
    </row>
    <row r="197" spans="1:2" x14ac:dyDescent="0.25">
      <c r="A197" t="s">
        <v>46</v>
      </c>
      <c r="B197" t="s">
        <v>2815</v>
      </c>
    </row>
    <row r="198" spans="1:2" x14ac:dyDescent="0.25">
      <c r="A198" t="s">
        <v>212</v>
      </c>
      <c r="B198" t="s">
        <v>2816</v>
      </c>
    </row>
    <row r="199" spans="1:2" x14ac:dyDescent="0.25">
      <c r="A199" t="s">
        <v>215</v>
      </c>
      <c r="B199" t="s">
        <v>2817</v>
      </c>
    </row>
    <row r="200" spans="1:2" x14ac:dyDescent="0.25">
      <c r="A200" t="s">
        <v>77</v>
      </c>
      <c r="B200" t="s">
        <v>2818</v>
      </c>
    </row>
    <row r="201" spans="1:2" x14ac:dyDescent="0.25">
      <c r="A201" t="s">
        <v>223</v>
      </c>
      <c r="B201" t="s">
        <v>2819</v>
      </c>
    </row>
    <row r="202" spans="1:2" x14ac:dyDescent="0.25">
      <c r="A202" t="s">
        <v>1</v>
      </c>
      <c r="B202" t="s">
        <v>2820</v>
      </c>
    </row>
    <row r="203" spans="1:2" x14ac:dyDescent="0.25">
      <c r="A203" t="s">
        <v>225</v>
      </c>
      <c r="B203" t="s">
        <v>2821</v>
      </c>
    </row>
    <row r="204" spans="1:2" x14ac:dyDescent="0.25">
      <c r="A204" t="s">
        <v>4</v>
      </c>
      <c r="B204" t="s">
        <v>2822</v>
      </c>
    </row>
    <row r="205" spans="1:2" x14ac:dyDescent="0.25">
      <c r="A205" t="s">
        <v>233</v>
      </c>
      <c r="B205" t="s">
        <v>2823</v>
      </c>
    </row>
    <row r="206" spans="1:2" x14ac:dyDescent="0.25">
      <c r="A206" t="s">
        <v>6</v>
      </c>
      <c r="B206" t="s">
        <v>2824</v>
      </c>
    </row>
    <row r="207" spans="1:2" x14ac:dyDescent="0.25">
      <c r="A207" t="s">
        <v>241</v>
      </c>
      <c r="B207" t="s">
        <v>2825</v>
      </c>
    </row>
    <row r="208" spans="1:2" x14ac:dyDescent="0.25">
      <c r="A208" t="s">
        <v>11</v>
      </c>
      <c r="B208" t="s">
        <v>2826</v>
      </c>
    </row>
    <row r="209" spans="1:103" x14ac:dyDescent="0.25">
      <c r="A209" t="s">
        <v>13</v>
      </c>
      <c r="B209" t="s">
        <v>2827</v>
      </c>
    </row>
    <row r="210" spans="1:103" x14ac:dyDescent="0.25">
      <c r="A210" t="s">
        <v>254</v>
      </c>
      <c r="B210" t="s">
        <v>2828</v>
      </c>
    </row>
    <row r="211" spans="1:103" x14ac:dyDescent="0.25">
      <c r="A211" t="s">
        <v>256</v>
      </c>
      <c r="B211" t="s">
        <v>2829</v>
      </c>
    </row>
    <row r="212" spans="1:103" x14ac:dyDescent="0.25">
      <c r="A212" t="s">
        <v>258</v>
      </c>
      <c r="B212" t="s">
        <v>2830</v>
      </c>
    </row>
    <row r="213" spans="1:103" x14ac:dyDescent="0.25">
      <c r="A213" t="s">
        <v>533</v>
      </c>
      <c r="B213" t="s">
        <v>2831</v>
      </c>
      <c r="BS213" t="b">
        <v>1</v>
      </c>
    </row>
    <row r="214" spans="1:103" x14ac:dyDescent="0.25">
      <c r="A214" t="s">
        <v>17</v>
      </c>
      <c r="B214" t="s">
        <v>2832</v>
      </c>
    </row>
    <row r="215" spans="1:103" x14ac:dyDescent="0.25">
      <c r="A215" t="s">
        <v>265</v>
      </c>
      <c r="B215" t="s">
        <v>2833</v>
      </c>
    </row>
    <row r="216" spans="1:103" x14ac:dyDescent="0.25">
      <c r="A216" t="s">
        <v>550</v>
      </c>
      <c r="B216" t="s">
        <v>2834</v>
      </c>
    </row>
    <row r="217" spans="1:103" x14ac:dyDescent="0.25">
      <c r="A217" t="s">
        <v>267</v>
      </c>
      <c r="B217" t="s">
        <v>2835</v>
      </c>
    </row>
    <row r="218" spans="1:103" x14ac:dyDescent="0.25">
      <c r="A218" t="s">
        <v>262</v>
      </c>
      <c r="B218" t="s">
        <v>2836</v>
      </c>
    </row>
    <row r="219" spans="1:103" x14ac:dyDescent="0.25">
      <c r="A219" t="s">
        <v>272</v>
      </c>
      <c r="B219" t="s">
        <v>2837</v>
      </c>
    </row>
    <row r="220" spans="1:103" x14ac:dyDescent="0.25">
      <c r="A220" t="s">
        <v>36</v>
      </c>
      <c r="B220" t="s">
        <v>2838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2839</v>
      </c>
      <c r="AE221" t="b">
        <v>1</v>
      </c>
    </row>
    <row r="222" spans="1:103" x14ac:dyDescent="0.25">
      <c r="A222" t="s">
        <v>269</v>
      </c>
      <c r="B222" t="s">
        <v>2840</v>
      </c>
      <c r="CY222" t="b">
        <v>1</v>
      </c>
    </row>
    <row r="223" spans="1:103" x14ac:dyDescent="0.25">
      <c r="A223" t="s">
        <v>40</v>
      </c>
      <c r="B223" t="s">
        <v>2841</v>
      </c>
    </row>
    <row r="224" spans="1:103" x14ac:dyDescent="0.25">
      <c r="A224" t="s">
        <v>42</v>
      </c>
      <c r="B224" t="s">
        <v>2842</v>
      </c>
      <c r="CI224" t="b">
        <v>1</v>
      </c>
    </row>
    <row r="225" spans="1:2" x14ac:dyDescent="0.25">
      <c r="A225" t="s">
        <v>275</v>
      </c>
      <c r="B225" t="s">
        <v>2843</v>
      </c>
    </row>
    <row r="226" spans="1:2" x14ac:dyDescent="0.25">
      <c r="A226" t="s">
        <v>73</v>
      </c>
      <c r="B226" t="s">
        <v>2844</v>
      </c>
    </row>
    <row r="227" spans="1:2" x14ac:dyDescent="0.25">
      <c r="A227" t="s">
        <v>75</v>
      </c>
      <c r="B227" t="s">
        <v>2845</v>
      </c>
    </row>
    <row r="228" spans="1:2" x14ac:dyDescent="0.25">
      <c r="A228" t="s">
        <v>88</v>
      </c>
      <c r="B228" t="s">
        <v>2846</v>
      </c>
    </row>
    <row r="229" spans="1:2" x14ac:dyDescent="0.25">
      <c r="A229" t="s">
        <v>49</v>
      </c>
      <c r="B229" t="s">
        <v>2847</v>
      </c>
    </row>
    <row r="230" spans="1:2" x14ac:dyDescent="0.25">
      <c r="A230" t="s">
        <v>51</v>
      </c>
      <c r="B230" t="s">
        <v>2848</v>
      </c>
    </row>
    <row r="231" spans="1:2" x14ac:dyDescent="0.25">
      <c r="A231" t="s">
        <v>53</v>
      </c>
      <c r="B231" t="s">
        <v>2849</v>
      </c>
    </row>
    <row r="232" spans="1:2" x14ac:dyDescent="0.25">
      <c r="A232" t="s">
        <v>55</v>
      </c>
      <c r="B232" t="s">
        <v>2850</v>
      </c>
    </row>
    <row r="233" spans="1:2" x14ac:dyDescent="0.25">
      <c r="A233" t="s">
        <v>57</v>
      </c>
      <c r="B233" t="s">
        <v>2851</v>
      </c>
    </row>
    <row r="234" spans="1:2" x14ac:dyDescent="0.25">
      <c r="A234" t="s">
        <v>59</v>
      </c>
      <c r="B234" t="s">
        <v>2852</v>
      </c>
    </row>
    <row r="235" spans="1:2" x14ac:dyDescent="0.25">
      <c r="A235" t="s">
        <v>24</v>
      </c>
      <c r="B235" t="s">
        <v>2853</v>
      </c>
    </row>
    <row r="236" spans="1:2" x14ac:dyDescent="0.25">
      <c r="A236" t="s">
        <v>32</v>
      </c>
      <c r="B236" t="s">
        <v>2854</v>
      </c>
    </row>
    <row r="237" spans="1:2" x14ac:dyDescent="0.25">
      <c r="A237" t="s">
        <v>101</v>
      </c>
      <c r="B237" t="s">
        <v>2855</v>
      </c>
    </row>
    <row r="238" spans="1:2" x14ac:dyDescent="0.25">
      <c r="A238" t="s">
        <v>159</v>
      </c>
      <c r="B238" t="s">
        <v>2856</v>
      </c>
    </row>
    <row r="239" spans="1:2" x14ac:dyDescent="0.25">
      <c r="A239" t="s">
        <v>107</v>
      </c>
      <c r="B239" t="s">
        <v>2857</v>
      </c>
    </row>
    <row r="240" spans="1:2" x14ac:dyDescent="0.25">
      <c r="A240" t="s">
        <v>15</v>
      </c>
      <c r="B240" t="s">
        <v>2858</v>
      </c>
    </row>
    <row r="241" spans="1:2" x14ac:dyDescent="0.25">
      <c r="A241" t="s">
        <v>171</v>
      </c>
      <c r="B241" t="s">
        <v>2859</v>
      </c>
    </row>
    <row r="242" spans="1:2" x14ac:dyDescent="0.25">
      <c r="A242" t="s">
        <v>117</v>
      </c>
      <c r="B242" t="s">
        <v>2860</v>
      </c>
    </row>
    <row r="243" spans="1:2" x14ac:dyDescent="0.25">
      <c r="A243" t="s">
        <v>119</v>
      </c>
      <c r="B243" t="s">
        <v>2861</v>
      </c>
    </row>
    <row r="244" spans="1:2" x14ac:dyDescent="0.25">
      <c r="A244" t="s">
        <v>122</v>
      </c>
      <c r="B244" t="s">
        <v>2862</v>
      </c>
    </row>
    <row r="245" spans="1:2" x14ac:dyDescent="0.25">
      <c r="A245" t="s">
        <v>176</v>
      </c>
      <c r="B245" t="s">
        <v>2863</v>
      </c>
    </row>
    <row r="246" spans="1:2" x14ac:dyDescent="0.25">
      <c r="A246" t="s">
        <v>126</v>
      </c>
      <c r="B246" t="s">
        <v>2864</v>
      </c>
    </row>
    <row r="247" spans="1:2" x14ac:dyDescent="0.25">
      <c r="A247" t="s">
        <v>130</v>
      </c>
      <c r="B247" t="s">
        <v>2865</v>
      </c>
    </row>
    <row r="248" spans="1:2" x14ac:dyDescent="0.25">
      <c r="A248" t="s">
        <v>39</v>
      </c>
      <c r="B248" t="s">
        <v>2866</v>
      </c>
    </row>
    <row r="249" spans="1:2" x14ac:dyDescent="0.25">
      <c r="A249" t="s">
        <v>133</v>
      </c>
      <c r="B249" t="s">
        <v>2867</v>
      </c>
    </row>
    <row r="250" spans="1:2" x14ac:dyDescent="0.25">
      <c r="A250" t="s">
        <v>69</v>
      </c>
      <c r="B250" t="s">
        <v>2868</v>
      </c>
    </row>
    <row r="251" spans="1:2" x14ac:dyDescent="0.25">
      <c r="A251" t="s">
        <v>71</v>
      </c>
      <c r="B251" t="s">
        <v>2869</v>
      </c>
    </row>
    <row r="252" spans="1:2" x14ac:dyDescent="0.25">
      <c r="A252" t="s">
        <v>141</v>
      </c>
      <c r="B252" t="s">
        <v>2870</v>
      </c>
    </row>
    <row r="253" spans="1:2" x14ac:dyDescent="0.25">
      <c r="A253" t="s">
        <v>143</v>
      </c>
      <c r="B253" t="s">
        <v>2871</v>
      </c>
    </row>
    <row r="254" spans="1:2" x14ac:dyDescent="0.25">
      <c r="A254" t="s">
        <v>145</v>
      </c>
      <c r="B254" t="s">
        <v>2872</v>
      </c>
    </row>
    <row r="255" spans="1:2" x14ac:dyDescent="0.25">
      <c r="A255" t="s">
        <v>386</v>
      </c>
      <c r="B255" t="s">
        <v>2873</v>
      </c>
    </row>
    <row r="256" spans="1:2" x14ac:dyDescent="0.25">
      <c r="A256" t="s">
        <v>30</v>
      </c>
      <c r="B256" t="s">
        <v>2874</v>
      </c>
    </row>
    <row r="257" spans="1:2" x14ac:dyDescent="0.25">
      <c r="A257" t="s">
        <v>33</v>
      </c>
      <c r="B257" t="s">
        <v>2875</v>
      </c>
    </row>
    <row r="258" spans="1:2" x14ac:dyDescent="0.25">
      <c r="A258" t="s">
        <v>153</v>
      </c>
      <c r="B258" t="s">
        <v>2876</v>
      </c>
    </row>
    <row r="259" spans="1:2" x14ac:dyDescent="0.25">
      <c r="A259" t="s">
        <v>155</v>
      </c>
      <c r="B259" t="s">
        <v>2873</v>
      </c>
    </row>
    <row r="260" spans="1:2" x14ac:dyDescent="0.25">
      <c r="A260" t="s">
        <v>157</v>
      </c>
      <c r="B260" t="s">
        <v>2877</v>
      </c>
    </row>
    <row r="261" spans="1:2" x14ac:dyDescent="0.25">
      <c r="A261" t="s">
        <v>3</v>
      </c>
      <c r="B261" t="s">
        <v>2878</v>
      </c>
    </row>
    <row r="262" spans="1:2" x14ac:dyDescent="0.25">
      <c r="A262" t="s">
        <v>78</v>
      </c>
      <c r="B262" t="s">
        <v>2879</v>
      </c>
    </row>
    <row r="263" spans="1:2" x14ac:dyDescent="0.25">
      <c r="A263" t="s">
        <v>80</v>
      </c>
      <c r="B263" t="s">
        <v>2880</v>
      </c>
    </row>
    <row r="264" spans="1:2" x14ac:dyDescent="0.25">
      <c r="A264" t="s">
        <v>82</v>
      </c>
      <c r="B264" t="s">
        <v>2881</v>
      </c>
    </row>
    <row r="265" spans="1:2" x14ac:dyDescent="0.25">
      <c r="A265" t="s">
        <v>84</v>
      </c>
      <c r="B265" t="s">
        <v>2882</v>
      </c>
    </row>
    <row r="266" spans="1:2" x14ac:dyDescent="0.25">
      <c r="A266" t="s">
        <v>86</v>
      </c>
      <c r="B266" t="s">
        <v>2883</v>
      </c>
    </row>
    <row r="267" spans="1:2" x14ac:dyDescent="0.25">
      <c r="A267" t="s">
        <v>29</v>
      </c>
      <c r="B267" t="s">
        <v>2884</v>
      </c>
    </row>
    <row r="268" spans="1:2" x14ac:dyDescent="0.25">
      <c r="A268" t="s">
        <v>90</v>
      </c>
      <c r="B268" t="s">
        <v>2885</v>
      </c>
    </row>
    <row r="269" spans="1:2" x14ac:dyDescent="0.25">
      <c r="A269" t="s">
        <v>95</v>
      </c>
      <c r="B269" t="s">
        <v>2886</v>
      </c>
    </row>
    <row r="270" spans="1:2" x14ac:dyDescent="0.25">
      <c r="A270" t="s">
        <v>2</v>
      </c>
      <c r="B270" t="s">
        <v>2887</v>
      </c>
    </row>
    <row r="271" spans="1:2" x14ac:dyDescent="0.25">
      <c r="A271" t="s">
        <v>7</v>
      </c>
      <c r="B271" t="s">
        <v>2888</v>
      </c>
    </row>
    <row r="273" spans="1:2" x14ac:dyDescent="0.25">
      <c r="A273" t="s">
        <v>9</v>
      </c>
      <c r="B273" t="s">
        <v>2889</v>
      </c>
    </row>
    <row r="274" spans="1:2" x14ac:dyDescent="0.25">
      <c r="A274" t="s">
        <v>163</v>
      </c>
      <c r="B274" t="s">
        <v>2890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2621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455</v>
      </c>
      <c r="AF2">
        <v>4</v>
      </c>
      <c r="AH2" s="1" t="s">
        <v>656</v>
      </c>
      <c r="AK2">
        <v>515</v>
      </c>
      <c r="AL2">
        <v>223</v>
      </c>
      <c r="AM2" t="s">
        <v>456</v>
      </c>
      <c r="AN2">
        <v>5</v>
      </c>
      <c r="AP2" s="1" t="s">
        <v>657</v>
      </c>
      <c r="AS2">
        <v>546</v>
      </c>
      <c r="AT2">
        <v>312</v>
      </c>
      <c r="AU2" t="s">
        <v>457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458</v>
      </c>
      <c r="BL2">
        <v>5</v>
      </c>
      <c r="BN2" s="1" t="s">
        <v>659</v>
      </c>
      <c r="BQ2">
        <v>523</v>
      </c>
      <c r="BR2">
        <v>293</v>
      </c>
      <c r="BS2" t="s">
        <v>459</v>
      </c>
      <c r="BT2">
        <v>5</v>
      </c>
      <c r="BV2" s="1" t="s">
        <v>660</v>
      </c>
      <c r="BY2">
        <v>523</v>
      </c>
      <c r="BZ2">
        <v>195</v>
      </c>
      <c r="CA2" t="s">
        <v>460</v>
      </c>
      <c r="CB2">
        <v>5</v>
      </c>
      <c r="CD2" s="1" t="s">
        <v>661</v>
      </c>
      <c r="CG2">
        <v>523</v>
      </c>
      <c r="CH2">
        <v>203</v>
      </c>
      <c r="CI2" t="s">
        <v>216</v>
      </c>
      <c r="CJ2">
        <v>5</v>
      </c>
      <c r="CL2" s="1" t="s">
        <v>662</v>
      </c>
      <c r="CO2">
        <v>523</v>
      </c>
      <c r="CP2">
        <v>263</v>
      </c>
      <c r="CQ2" t="s">
        <v>498</v>
      </c>
      <c r="CR2">
        <v>5</v>
      </c>
      <c r="CT2" s="1" t="s">
        <v>663</v>
      </c>
      <c r="CW2">
        <v>516</v>
      </c>
      <c r="CX2">
        <v>298</v>
      </c>
      <c r="CY2" t="s">
        <v>389</v>
      </c>
      <c r="CZ2">
        <v>4</v>
      </c>
    </row>
    <row r="3" spans="1:104" x14ac:dyDescent="0.25">
      <c r="W3" t="str">
        <f>dbCorrelationTitle</f>
        <v>Correlation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397</v>
      </c>
      <c r="AH4">
        <v>2</v>
      </c>
      <c r="AI4">
        <v>412</v>
      </c>
      <c r="AJ4">
        <v>30</v>
      </c>
      <c r="AK4">
        <v>90</v>
      </c>
      <c r="AM4" t="s">
        <v>397</v>
      </c>
      <c r="AP4">
        <v>2</v>
      </c>
      <c r="AQ4">
        <v>443</v>
      </c>
      <c r="AR4">
        <v>31</v>
      </c>
      <c r="AS4">
        <v>90</v>
      </c>
      <c r="AU4" t="s">
        <v>397</v>
      </c>
      <c r="AX4">
        <v>2</v>
      </c>
      <c r="AY4">
        <v>418</v>
      </c>
      <c r="AZ4">
        <v>33</v>
      </c>
      <c r="BA4">
        <v>104</v>
      </c>
      <c r="BC4" t="s">
        <v>397</v>
      </c>
      <c r="BF4">
        <v>2</v>
      </c>
      <c r="BG4">
        <v>407</v>
      </c>
      <c r="BH4">
        <v>30</v>
      </c>
      <c r="BI4">
        <v>90</v>
      </c>
      <c r="BK4" t="s">
        <v>397</v>
      </c>
      <c r="BN4">
        <v>2</v>
      </c>
      <c r="BO4">
        <v>407</v>
      </c>
      <c r="BP4">
        <v>30</v>
      </c>
      <c r="BQ4">
        <v>90</v>
      </c>
      <c r="BS4" t="s">
        <v>397</v>
      </c>
      <c r="BV4">
        <v>2</v>
      </c>
      <c r="BW4">
        <v>407</v>
      </c>
      <c r="BX4">
        <v>30</v>
      </c>
      <c r="BY4">
        <v>90</v>
      </c>
      <c r="CA4" t="s">
        <v>397</v>
      </c>
      <c r="CD4">
        <v>2</v>
      </c>
      <c r="CE4">
        <v>407</v>
      </c>
      <c r="CF4">
        <v>30</v>
      </c>
      <c r="CG4">
        <v>90</v>
      </c>
      <c r="CI4" t="s">
        <v>397</v>
      </c>
      <c r="CL4">
        <v>2</v>
      </c>
      <c r="CM4">
        <v>407</v>
      </c>
      <c r="CN4">
        <v>30</v>
      </c>
      <c r="CO4">
        <v>90</v>
      </c>
      <c r="CQ4" t="s">
        <v>397</v>
      </c>
      <c r="CT4">
        <v>2</v>
      </c>
      <c r="CU4">
        <v>410</v>
      </c>
      <c r="CV4">
        <v>31</v>
      </c>
      <c r="CW4">
        <v>90</v>
      </c>
      <c r="CY4" t="s">
        <v>397</v>
      </c>
    </row>
    <row r="5" spans="1:104" x14ac:dyDescent="0.25">
      <c r="T5">
        <v>0</v>
      </c>
      <c r="U5" t="str">
        <f>dbAnova1Title</f>
        <v>Anova: Single Factor</v>
      </c>
      <c r="V5">
        <v>0</v>
      </c>
      <c r="W5" t="str">
        <f>dbAnova1Title</f>
        <v>Anova: Single Factor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398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399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399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622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399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399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399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399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399</v>
      </c>
      <c r="CT5">
        <v>5</v>
      </c>
      <c r="CU5">
        <v>17</v>
      </c>
      <c r="CV5">
        <v>12</v>
      </c>
      <c r="CY5" t="s">
        <v>649</v>
      </c>
    </row>
    <row r="6" spans="1:104" x14ac:dyDescent="0.25">
      <c r="T6">
        <v>1</v>
      </c>
      <c r="U6" t="str">
        <f>dbAnova2Title</f>
        <v>Anova: Two-Factor With Replication</v>
      </c>
      <c r="V6">
        <v>1</v>
      </c>
      <c r="W6" t="str">
        <f>dbAnova2Title</f>
        <v>Anova: Two-Factor With Replication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619</v>
      </c>
      <c r="AP6">
        <v>5</v>
      </c>
      <c r="AQ6">
        <v>24</v>
      </c>
      <c r="AR6">
        <v>22</v>
      </c>
      <c r="AU6" t="s">
        <v>628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619</v>
      </c>
      <c r="BN6">
        <v>5</v>
      </c>
      <c r="BO6">
        <v>18</v>
      </c>
      <c r="BP6">
        <v>19</v>
      </c>
      <c r="BS6" t="s">
        <v>619</v>
      </c>
      <c r="BV6">
        <v>5</v>
      </c>
      <c r="BW6">
        <v>18</v>
      </c>
      <c r="BX6">
        <v>19</v>
      </c>
      <c r="CA6" t="s">
        <v>619</v>
      </c>
      <c r="CD6">
        <v>5</v>
      </c>
      <c r="CE6">
        <v>18</v>
      </c>
      <c r="CF6">
        <v>19</v>
      </c>
      <c r="CI6" t="s">
        <v>642</v>
      </c>
      <c r="CL6">
        <v>5</v>
      </c>
      <c r="CM6">
        <v>18</v>
      </c>
      <c r="CN6">
        <v>19</v>
      </c>
      <c r="CQ6" t="s">
        <v>619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Two-Factor Without Replication</v>
      </c>
      <c r="V7">
        <v>2</v>
      </c>
      <c r="W7" t="str">
        <f>dbAnova3Title</f>
        <v>Anova: Two-Factor Without Replication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650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Correlation</v>
      </c>
      <c r="V8">
        <v>3</v>
      </c>
      <c r="W8" t="str">
        <f>dbCorrelationTitle</f>
        <v>Correlation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620</v>
      </c>
      <c r="AP8">
        <v>5</v>
      </c>
      <c r="AQ8">
        <v>24</v>
      </c>
      <c r="AR8">
        <v>48</v>
      </c>
      <c r="AU8" t="s">
        <v>629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620</v>
      </c>
      <c r="BN8">
        <v>5</v>
      </c>
      <c r="BO8">
        <v>18</v>
      </c>
      <c r="BP8">
        <v>44</v>
      </c>
      <c r="BS8" t="s">
        <v>620</v>
      </c>
      <c r="BV8">
        <v>5</v>
      </c>
      <c r="BW8">
        <v>17</v>
      </c>
      <c r="BX8">
        <v>40</v>
      </c>
      <c r="CA8" t="s">
        <v>479</v>
      </c>
      <c r="CD8">
        <v>5</v>
      </c>
      <c r="CE8">
        <v>18</v>
      </c>
      <c r="CF8">
        <v>41</v>
      </c>
      <c r="CI8" t="s">
        <v>643</v>
      </c>
      <c r="CL8">
        <v>13</v>
      </c>
      <c r="CM8">
        <v>18</v>
      </c>
      <c r="CN8">
        <v>39</v>
      </c>
      <c r="CQ8" t="s">
        <v>480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Covariance</v>
      </c>
      <c r="V9">
        <v>4</v>
      </c>
      <c r="W9" t="str">
        <f>dbCovarianceTitle</f>
        <v>Covariance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624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320</v>
      </c>
      <c r="CT9">
        <v>5</v>
      </c>
      <c r="CU9">
        <v>17</v>
      </c>
      <c r="CV9">
        <v>63</v>
      </c>
      <c r="CY9" t="s">
        <v>321</v>
      </c>
    </row>
    <row r="10" spans="1:104" x14ac:dyDescent="0.25">
      <c r="A10" t="s">
        <v>505</v>
      </c>
      <c r="B10" t="s">
        <v>300</v>
      </c>
      <c r="T10">
        <v>5</v>
      </c>
      <c r="U10" t="str">
        <f>dbDescripTitle</f>
        <v>Descriptive Statistics</v>
      </c>
      <c r="V10">
        <v>5</v>
      </c>
      <c r="W10" t="str">
        <f>dbDescripTitle</f>
        <v>Descriptive Statistics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506</v>
      </c>
      <c r="AP10">
        <v>13</v>
      </c>
      <c r="AQ10">
        <v>25</v>
      </c>
      <c r="AR10">
        <v>75</v>
      </c>
      <c r="AU10" t="s">
        <v>480</v>
      </c>
      <c r="AV10" t="b">
        <v>0</v>
      </c>
      <c r="AX10">
        <v>12</v>
      </c>
      <c r="AZ10">
        <v>130</v>
      </c>
      <c r="BC10" t="s">
        <v>625</v>
      </c>
      <c r="BF10">
        <v>12</v>
      </c>
      <c r="BG10">
        <v>220</v>
      </c>
      <c r="BH10">
        <v>40</v>
      </c>
      <c r="BK10" t="s">
        <v>506</v>
      </c>
      <c r="BN10">
        <v>12</v>
      </c>
      <c r="BO10">
        <v>220</v>
      </c>
      <c r="BP10">
        <v>40</v>
      </c>
      <c r="BS10" t="s">
        <v>506</v>
      </c>
      <c r="BV10">
        <v>13</v>
      </c>
      <c r="BW10">
        <v>17</v>
      </c>
      <c r="BX10">
        <v>60</v>
      </c>
      <c r="CA10" t="s">
        <v>480</v>
      </c>
      <c r="CB10" t="b">
        <v>0</v>
      </c>
      <c r="CD10">
        <v>13</v>
      </c>
      <c r="CE10">
        <v>18</v>
      </c>
      <c r="CF10">
        <v>64</v>
      </c>
      <c r="CI10" t="s">
        <v>480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26</v>
      </c>
      <c r="T11">
        <v>6</v>
      </c>
      <c r="U11" t="str">
        <f>dbExponentTitle</f>
        <v>Exponential Smoothing</v>
      </c>
      <c r="V11">
        <v>6</v>
      </c>
      <c r="W11" t="str">
        <f>dbExponentTitle</f>
        <v>Exponential Smoothing</v>
      </c>
      <c r="X11" t="s">
        <v>452</v>
      </c>
      <c r="Y11" s="1" t="s">
        <v>660</v>
      </c>
      <c r="AH11">
        <v>12</v>
      </c>
      <c r="AM11" t="s">
        <v>509</v>
      </c>
      <c r="AP11">
        <v>13</v>
      </c>
      <c r="AQ11">
        <v>197</v>
      </c>
      <c r="AR11">
        <v>75</v>
      </c>
      <c r="AU11" t="s">
        <v>630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509</v>
      </c>
      <c r="BN11">
        <v>12</v>
      </c>
      <c r="BS11" t="s">
        <v>509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622</v>
      </c>
      <c r="CD11">
        <v>5</v>
      </c>
      <c r="CE11">
        <v>18</v>
      </c>
      <c r="CF11">
        <v>85</v>
      </c>
      <c r="CI11" t="s">
        <v>326</v>
      </c>
      <c r="CL11">
        <v>12</v>
      </c>
      <c r="CM11">
        <v>18</v>
      </c>
      <c r="CN11">
        <v>82</v>
      </c>
      <c r="CQ11" t="s">
        <v>327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651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 Two-Sample for Variances</v>
      </c>
      <c r="V12">
        <v>7</v>
      </c>
      <c r="W12" t="str">
        <f>dbFTestTitle</f>
        <v>F-Test Two-Sample for Variances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621</v>
      </c>
      <c r="AN12" t="b">
        <v>0</v>
      </c>
      <c r="AP12">
        <v>113</v>
      </c>
      <c r="AQ12">
        <v>25</v>
      </c>
      <c r="AR12">
        <v>93</v>
      </c>
      <c r="AU12" t="s">
        <v>631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621</v>
      </c>
      <c r="BL12" t="b">
        <v>0</v>
      </c>
      <c r="BN12">
        <v>13</v>
      </c>
      <c r="BO12">
        <v>18</v>
      </c>
      <c r="BP12">
        <v>75</v>
      </c>
      <c r="BS12" t="s">
        <v>621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331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 Analysis</v>
      </c>
      <c r="V13">
        <v>8</v>
      </c>
      <c r="W13" t="str">
        <f>dbFourierTitle</f>
        <v>Fourier Analysis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326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622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622</v>
      </c>
      <c r="BV13">
        <v>5</v>
      </c>
      <c r="BW13">
        <v>17</v>
      </c>
      <c r="BX13">
        <v>99</v>
      </c>
      <c r="CA13" t="s">
        <v>623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622</v>
      </c>
      <c r="CL13">
        <v>5</v>
      </c>
      <c r="CM13">
        <v>42</v>
      </c>
      <c r="CN13">
        <v>103</v>
      </c>
      <c r="CQ13" t="s">
        <v>403</v>
      </c>
      <c r="CT13">
        <v>5</v>
      </c>
    </row>
    <row r="14" spans="1:104" x14ac:dyDescent="0.25">
      <c r="A14" t="s">
        <v>404</v>
      </c>
      <c r="B14" t="s">
        <v>405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Moving Average</v>
      </c>
      <c r="V15">
        <v>10</v>
      </c>
      <c r="W15" t="str">
        <f>dbMovingTitle</f>
        <v>Moving Average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622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622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623</v>
      </c>
      <c r="BN15">
        <v>12</v>
      </c>
      <c r="BO15">
        <v>18</v>
      </c>
      <c r="BP15">
        <v>127</v>
      </c>
      <c r="BS15" t="s">
        <v>623</v>
      </c>
      <c r="BV15">
        <v>205</v>
      </c>
      <c r="BW15">
        <v>17</v>
      </c>
      <c r="BX15">
        <v>119</v>
      </c>
      <c r="CA15" t="s">
        <v>624</v>
      </c>
      <c r="CD15">
        <v>12</v>
      </c>
      <c r="CE15">
        <v>18</v>
      </c>
      <c r="CF15">
        <v>132</v>
      </c>
      <c r="CI15" t="s">
        <v>623</v>
      </c>
      <c r="CL15">
        <v>5</v>
      </c>
      <c r="CM15">
        <v>42</v>
      </c>
      <c r="CN15">
        <v>146</v>
      </c>
      <c r="CQ15" t="s">
        <v>648</v>
      </c>
      <c r="CT15">
        <v>5</v>
      </c>
    </row>
    <row r="16" spans="1:104" x14ac:dyDescent="0.25">
      <c r="A16" t="s">
        <v>526</v>
      </c>
      <c r="B16" t="s">
        <v>527</v>
      </c>
      <c r="T16">
        <v>11</v>
      </c>
      <c r="U16" t="str">
        <f>dbRandomTitle</f>
        <v>Random Number Generation</v>
      </c>
      <c r="V16">
        <v>11</v>
      </c>
      <c r="W16" t="str">
        <f>dbRandomTitle</f>
        <v>Random Number Generation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624</v>
      </c>
      <c r="BN16">
        <v>12</v>
      </c>
      <c r="BP16">
        <v>147</v>
      </c>
      <c r="BS16" t="s">
        <v>624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624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529</v>
      </c>
      <c r="T17">
        <v>12</v>
      </c>
      <c r="U17" t="str">
        <f>dbRankPerTitle</f>
        <v>Rank and Percentile</v>
      </c>
      <c r="V17">
        <v>12</v>
      </c>
      <c r="W17" t="str">
        <f>dbRankPerTitle</f>
        <v>Rank and Percentile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623</v>
      </c>
      <c r="AP17">
        <v>12</v>
      </c>
      <c r="AQ17">
        <v>24</v>
      </c>
      <c r="AR17">
        <v>142</v>
      </c>
      <c r="AU17" t="s">
        <v>623</v>
      </c>
      <c r="BF17">
        <v>12</v>
      </c>
      <c r="BH17">
        <v>160</v>
      </c>
      <c r="BK17" t="s">
        <v>625</v>
      </c>
      <c r="BN17">
        <v>12</v>
      </c>
      <c r="BP17">
        <v>167</v>
      </c>
      <c r="BS17" t="s">
        <v>625</v>
      </c>
      <c r="BV17">
        <v>205</v>
      </c>
      <c r="BW17">
        <v>17</v>
      </c>
      <c r="BX17">
        <v>139</v>
      </c>
      <c r="CA17" t="s">
        <v>625</v>
      </c>
      <c r="CD17">
        <v>12</v>
      </c>
      <c r="CF17">
        <v>172</v>
      </c>
      <c r="CI17" t="s">
        <v>625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622</v>
      </c>
      <c r="CT17">
        <v>5</v>
      </c>
    </row>
    <row r="18" spans="1:104" x14ac:dyDescent="0.25">
      <c r="A18" t="s">
        <v>531</v>
      </c>
      <c r="B18" t="s">
        <v>351</v>
      </c>
      <c r="T18">
        <v>13</v>
      </c>
      <c r="U18" t="str">
        <f>dbRegressionTitle</f>
        <v>Regression</v>
      </c>
      <c r="V18">
        <v>13</v>
      </c>
      <c r="W18" t="str">
        <f>dbRegressionTitle</f>
        <v>Regression</v>
      </c>
      <c r="X18" t="s">
        <v>448</v>
      </c>
      <c r="Y18" s="1" t="s">
        <v>657</v>
      </c>
      <c r="AH18">
        <v>12</v>
      </c>
      <c r="AJ18">
        <v>169</v>
      </c>
      <c r="AM18" t="s">
        <v>624</v>
      </c>
      <c r="AP18">
        <v>12</v>
      </c>
      <c r="AR18">
        <v>162</v>
      </c>
      <c r="AU18" t="s">
        <v>624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626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125</v>
      </c>
      <c r="T19">
        <v>14</v>
      </c>
      <c r="U19" t="str">
        <f>dbSamplingTitle</f>
        <v>Sampling</v>
      </c>
      <c r="V19">
        <v>14</v>
      </c>
      <c r="W19" t="str">
        <f>dbSamplingTitle</f>
        <v>Sampling</v>
      </c>
      <c r="X19" t="s">
        <v>585</v>
      </c>
      <c r="Y19" s="1" t="s">
        <v>662</v>
      </c>
      <c r="AH19">
        <v>12</v>
      </c>
      <c r="AJ19">
        <v>189</v>
      </c>
      <c r="AM19" t="s">
        <v>625</v>
      </c>
      <c r="AP19">
        <v>12</v>
      </c>
      <c r="AR19">
        <v>182</v>
      </c>
      <c r="AU19" t="s">
        <v>625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627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623</v>
      </c>
      <c r="CT19">
        <v>5</v>
      </c>
    </row>
    <row r="20" spans="1:104" x14ac:dyDescent="0.25">
      <c r="A20" t="s">
        <v>343</v>
      </c>
      <c r="B20" t="s">
        <v>455</v>
      </c>
      <c r="T20">
        <v>15</v>
      </c>
      <c r="U20" t="str">
        <f>dbTTest1Title</f>
        <v>t-Test: Paired Two Sample for Means</v>
      </c>
      <c r="V20">
        <v>15</v>
      </c>
      <c r="W20" t="str">
        <f>dbTTest1Title</f>
        <v>t-Test: Paired Two Sample for Means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345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624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t-Test: Two-Sample Assuming Equal Variances</v>
      </c>
      <c r="V21">
        <v>16</v>
      </c>
      <c r="W21" t="str">
        <f>dbTTest2Title</f>
        <v>t-Test: Two-Sample Assuming Equal Variances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639</v>
      </c>
      <c r="BT21" t="b">
        <v>0</v>
      </c>
      <c r="CL21">
        <v>12</v>
      </c>
      <c r="CN21">
        <v>230</v>
      </c>
      <c r="CQ21" t="s">
        <v>625</v>
      </c>
      <c r="CT21">
        <v>5</v>
      </c>
    </row>
    <row r="22" spans="1:104" x14ac:dyDescent="0.25">
      <c r="A22" t="s">
        <v>440</v>
      </c>
      <c r="B22" t="s">
        <v>456</v>
      </c>
      <c r="T22">
        <v>17</v>
      </c>
      <c r="U22" t="str">
        <f>dbTTest3Title</f>
        <v>t-Test: Two-Sample Assuming Unequal Variances</v>
      </c>
      <c r="V22">
        <v>17</v>
      </c>
      <c r="W22" t="str">
        <f>dbTTest3Title</f>
        <v>t-Test: Two-Sample Assuming Unequal Variances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442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652</v>
      </c>
    </row>
    <row r="23" spans="1:104" x14ac:dyDescent="0.25">
      <c r="A23" t="s">
        <v>443</v>
      </c>
      <c r="B23" t="s">
        <v>356</v>
      </c>
      <c r="T23">
        <v>18</v>
      </c>
      <c r="U23" t="str">
        <f>dbZTestTitle</f>
        <v>z-Test: Two Sample for Means</v>
      </c>
      <c r="V23">
        <v>18</v>
      </c>
      <c r="W23" t="str">
        <f>dbZTestTitle</f>
        <v>z-Test: Two Sample for Means</v>
      </c>
      <c r="X23" t="s">
        <v>357</v>
      </c>
      <c r="Y23" s="1" t="s">
        <v>674</v>
      </c>
      <c r="AP23">
        <v>13</v>
      </c>
      <c r="AR23">
        <v>216</v>
      </c>
      <c r="AU23" t="s">
        <v>358</v>
      </c>
      <c r="AV23" t="b">
        <v>0</v>
      </c>
      <c r="BF23" s="1" t="s">
        <v>666</v>
      </c>
      <c r="BI23">
        <v>523</v>
      </c>
      <c r="BJ23">
        <v>191</v>
      </c>
      <c r="BK23" t="s">
        <v>359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361</v>
      </c>
      <c r="X24" t="s">
        <v>551</v>
      </c>
      <c r="AP24">
        <v>13</v>
      </c>
      <c r="AR24">
        <v>231</v>
      </c>
      <c r="AU24" t="s">
        <v>632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640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653</v>
      </c>
    </row>
    <row r="25" spans="1:104" x14ac:dyDescent="0.25">
      <c r="A25" t="s">
        <v>552</v>
      </c>
      <c r="B25" t="s">
        <v>553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633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397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555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574</v>
      </c>
      <c r="X26" t="s">
        <v>376</v>
      </c>
      <c r="AH26" s="1" t="s">
        <v>664</v>
      </c>
      <c r="AK26">
        <v>509</v>
      </c>
      <c r="AL26">
        <v>187</v>
      </c>
      <c r="AM26" t="s">
        <v>356</v>
      </c>
      <c r="AN26">
        <v>5</v>
      </c>
      <c r="AP26">
        <v>13</v>
      </c>
      <c r="AR26">
        <v>231</v>
      </c>
      <c r="AU26" t="s">
        <v>634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399</v>
      </c>
      <c r="BN26">
        <v>113</v>
      </c>
      <c r="BO26">
        <v>18</v>
      </c>
      <c r="BP26">
        <v>247</v>
      </c>
      <c r="BS26" t="s">
        <v>641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622</v>
      </c>
    </row>
    <row r="27" spans="1:104" x14ac:dyDescent="0.25">
      <c r="A27" t="s">
        <v>377</v>
      </c>
      <c r="B27" t="s">
        <v>378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635</v>
      </c>
      <c r="BF27">
        <v>5</v>
      </c>
      <c r="BG27">
        <v>18</v>
      </c>
      <c r="BH27">
        <v>19</v>
      </c>
      <c r="BK27" t="s">
        <v>619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397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381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397</v>
      </c>
      <c r="AP28">
        <v>13</v>
      </c>
      <c r="AR28">
        <v>270</v>
      </c>
      <c r="AU28" t="s">
        <v>636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399</v>
      </c>
      <c r="CT28">
        <v>12</v>
      </c>
      <c r="CU28">
        <v>17</v>
      </c>
      <c r="CV28">
        <v>225</v>
      </c>
      <c r="CY28" t="s">
        <v>623</v>
      </c>
    </row>
    <row r="29" spans="1:104" x14ac:dyDescent="0.25">
      <c r="A29" t="s">
        <v>383</v>
      </c>
      <c r="B29" t="s">
        <v>598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399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620</v>
      </c>
      <c r="CD29">
        <v>5</v>
      </c>
      <c r="CE29">
        <v>17</v>
      </c>
      <c r="CF29">
        <v>18</v>
      </c>
      <c r="CI29" t="s">
        <v>642</v>
      </c>
      <c r="CT29">
        <v>12</v>
      </c>
      <c r="CV29">
        <v>245</v>
      </c>
      <c r="CY29" t="s">
        <v>624</v>
      </c>
    </row>
    <row r="30" spans="1:104" x14ac:dyDescent="0.25">
      <c r="A30" t="s">
        <v>600</v>
      </c>
      <c r="B30" t="s">
        <v>601</v>
      </c>
      <c r="X30" t="s">
        <v>332</v>
      </c>
      <c r="AH30">
        <v>5</v>
      </c>
      <c r="AI30">
        <v>20</v>
      </c>
      <c r="AJ30">
        <v>19</v>
      </c>
      <c r="AM30" t="s">
        <v>619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625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506</v>
      </c>
      <c r="CD31">
        <v>5</v>
      </c>
      <c r="CE31">
        <v>17</v>
      </c>
      <c r="CF31">
        <v>41</v>
      </c>
      <c r="CI31" t="s">
        <v>643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94</v>
      </c>
      <c r="AH32">
        <v>5</v>
      </c>
      <c r="AI32">
        <v>20</v>
      </c>
      <c r="AJ32">
        <v>45</v>
      </c>
      <c r="AM32" t="s">
        <v>301</v>
      </c>
      <c r="BF32">
        <v>12</v>
      </c>
      <c r="BK32" t="s">
        <v>509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621</v>
      </c>
      <c r="BL33" t="b">
        <v>0</v>
      </c>
      <c r="CD33">
        <v>5</v>
      </c>
      <c r="CE33">
        <v>17</v>
      </c>
      <c r="CF33">
        <v>70</v>
      </c>
      <c r="CI33" t="s">
        <v>644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326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622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480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622</v>
      </c>
      <c r="BF36">
        <v>12</v>
      </c>
      <c r="BG36">
        <v>18</v>
      </c>
      <c r="BH36">
        <v>120</v>
      </c>
      <c r="BK36" t="s">
        <v>623</v>
      </c>
      <c r="CD36">
        <v>5</v>
      </c>
      <c r="CE36">
        <v>17</v>
      </c>
      <c r="CF36">
        <v>114</v>
      </c>
      <c r="CI36" t="s">
        <v>326</v>
      </c>
      <c r="CT36">
        <v>5</v>
      </c>
      <c r="CZ36" t="s">
        <v>551</v>
      </c>
    </row>
    <row r="37" spans="1:104" x14ac:dyDescent="0.25">
      <c r="A37" t="s">
        <v>473</v>
      </c>
      <c r="B37" t="s">
        <v>474</v>
      </c>
      <c r="AH37">
        <v>111</v>
      </c>
      <c r="AN37">
        <v>2</v>
      </c>
      <c r="BF37">
        <v>12</v>
      </c>
      <c r="BH37">
        <v>140</v>
      </c>
      <c r="BK37" t="s">
        <v>624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487</v>
      </c>
      <c r="AH38">
        <v>12</v>
      </c>
      <c r="AI38">
        <v>20</v>
      </c>
      <c r="AJ38">
        <v>115</v>
      </c>
      <c r="AM38" t="s">
        <v>623</v>
      </c>
      <c r="BF38">
        <v>12</v>
      </c>
      <c r="BH38">
        <v>160</v>
      </c>
      <c r="BK38" t="s">
        <v>625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622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624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491</v>
      </c>
      <c r="AH40">
        <v>12</v>
      </c>
      <c r="AJ40">
        <v>155</v>
      </c>
      <c r="AM40" t="s">
        <v>625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623</v>
      </c>
      <c r="CT40">
        <v>5</v>
      </c>
    </row>
    <row r="41" spans="1:104" x14ac:dyDescent="0.25">
      <c r="A41" t="s">
        <v>492</v>
      </c>
      <c r="B41" t="s">
        <v>493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624</v>
      </c>
      <c r="CT41">
        <v>5</v>
      </c>
    </row>
    <row r="42" spans="1:104" x14ac:dyDescent="0.25">
      <c r="A42" t="s">
        <v>494</v>
      </c>
      <c r="B42" t="s">
        <v>495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625</v>
      </c>
      <c r="CT42">
        <v>5</v>
      </c>
    </row>
    <row r="43" spans="1:104" x14ac:dyDescent="0.25">
      <c r="A43" t="s">
        <v>496</v>
      </c>
      <c r="B43" t="s">
        <v>497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401</v>
      </c>
      <c r="BF44" s="1" t="s">
        <v>670</v>
      </c>
      <c r="BI44">
        <v>523</v>
      </c>
      <c r="BJ44">
        <v>191</v>
      </c>
      <c r="BK44" t="s">
        <v>402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174</v>
      </c>
    </row>
    <row r="45" spans="1:104" x14ac:dyDescent="0.25">
      <c r="A45" t="s">
        <v>422</v>
      </c>
      <c r="B45" t="s">
        <v>423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425</v>
      </c>
      <c r="BF46">
        <v>2</v>
      </c>
      <c r="BG46">
        <v>407</v>
      </c>
      <c r="BH46">
        <v>30</v>
      </c>
      <c r="BI46">
        <v>90</v>
      </c>
      <c r="BK46" t="s">
        <v>397</v>
      </c>
      <c r="CT46">
        <v>5</v>
      </c>
      <c r="CU46">
        <v>184</v>
      </c>
      <c r="CV46">
        <v>114</v>
      </c>
      <c r="CY46" t="s">
        <v>426</v>
      </c>
    </row>
    <row r="47" spans="1:104" x14ac:dyDescent="0.25">
      <c r="A47" t="s">
        <v>427</v>
      </c>
      <c r="B47" t="s">
        <v>428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399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430</v>
      </c>
      <c r="AH48" s="1" t="s">
        <v>665</v>
      </c>
      <c r="AK48">
        <v>523</v>
      </c>
      <c r="AL48">
        <v>185</v>
      </c>
      <c r="AM48" t="s">
        <v>361</v>
      </c>
      <c r="AN48">
        <v>5</v>
      </c>
      <c r="BF48">
        <v>5</v>
      </c>
      <c r="BG48">
        <v>18</v>
      </c>
      <c r="BH48">
        <v>19</v>
      </c>
      <c r="BK48" t="s">
        <v>619</v>
      </c>
    </row>
    <row r="49" spans="1:104" x14ac:dyDescent="0.25">
      <c r="A49" t="s">
        <v>431</v>
      </c>
      <c r="B49" t="s">
        <v>459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433</v>
      </c>
      <c r="AH50">
        <v>2</v>
      </c>
      <c r="AI50">
        <v>407</v>
      </c>
      <c r="AJ50">
        <v>30</v>
      </c>
      <c r="AK50">
        <v>90</v>
      </c>
      <c r="AM50" t="s">
        <v>397</v>
      </c>
      <c r="BF50">
        <v>5</v>
      </c>
      <c r="BG50">
        <v>18</v>
      </c>
      <c r="BH50">
        <v>44</v>
      </c>
      <c r="BK50" t="s">
        <v>620</v>
      </c>
      <c r="CD50" s="1" t="s">
        <v>672</v>
      </c>
      <c r="CG50">
        <v>550</v>
      </c>
      <c r="CH50">
        <v>227</v>
      </c>
      <c r="CI50" t="s">
        <v>20</v>
      </c>
      <c r="CJ50">
        <v>5</v>
      </c>
      <c r="CT50">
        <v>5</v>
      </c>
      <c r="CU50">
        <v>17</v>
      </c>
      <c r="CV50">
        <v>101</v>
      </c>
      <c r="CY50" t="s">
        <v>21</v>
      </c>
      <c r="CZ50" t="s">
        <v>599</v>
      </c>
    </row>
    <row r="51" spans="1:104" x14ac:dyDescent="0.25">
      <c r="A51" t="s">
        <v>439</v>
      </c>
      <c r="B51" t="s">
        <v>418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399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420</v>
      </c>
      <c r="AH52">
        <v>5</v>
      </c>
      <c r="AI52">
        <v>18</v>
      </c>
      <c r="AJ52">
        <v>19</v>
      </c>
      <c r="AM52" t="s">
        <v>619</v>
      </c>
      <c r="BF52">
        <v>12</v>
      </c>
      <c r="BG52">
        <v>220</v>
      </c>
      <c r="BH52">
        <v>40</v>
      </c>
      <c r="BK52" t="s">
        <v>506</v>
      </c>
      <c r="CD52">
        <v>2</v>
      </c>
      <c r="CE52">
        <v>440</v>
      </c>
      <c r="CF52">
        <v>30</v>
      </c>
      <c r="CG52">
        <v>90</v>
      </c>
      <c r="CI52" t="s">
        <v>397</v>
      </c>
      <c r="CT52">
        <v>5</v>
      </c>
      <c r="CU52">
        <v>132</v>
      </c>
      <c r="CV52">
        <v>101</v>
      </c>
      <c r="CY52" t="s">
        <v>421</v>
      </c>
    </row>
    <row r="53" spans="1:104" x14ac:dyDescent="0.25">
      <c r="A53" t="s">
        <v>338</v>
      </c>
      <c r="B53" t="s">
        <v>339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509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399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341</v>
      </c>
      <c r="AH54">
        <v>13</v>
      </c>
      <c r="AI54">
        <v>19</v>
      </c>
      <c r="AJ54">
        <v>41</v>
      </c>
      <c r="AM54" t="s">
        <v>480</v>
      </c>
      <c r="AN54" t="b">
        <v>0</v>
      </c>
      <c r="BF54">
        <v>13</v>
      </c>
      <c r="BG54">
        <v>18</v>
      </c>
      <c r="BH54">
        <v>75</v>
      </c>
      <c r="BK54" t="s">
        <v>621</v>
      </c>
      <c r="BL54" t="b">
        <v>0</v>
      </c>
      <c r="CD54">
        <v>5</v>
      </c>
      <c r="CE54">
        <v>17</v>
      </c>
      <c r="CF54">
        <v>18</v>
      </c>
      <c r="CI54" t="s">
        <v>642</v>
      </c>
      <c r="CT54">
        <v>5</v>
      </c>
      <c r="CU54">
        <v>232</v>
      </c>
      <c r="CV54">
        <v>101</v>
      </c>
      <c r="CY54" t="s">
        <v>342</v>
      </c>
    </row>
    <row r="55" spans="1:104" x14ac:dyDescent="0.25">
      <c r="A55" t="s">
        <v>177</v>
      </c>
      <c r="B55" t="s">
        <v>178</v>
      </c>
      <c r="AH55">
        <v>5</v>
      </c>
      <c r="AI55">
        <v>20</v>
      </c>
      <c r="AJ55">
        <v>62</v>
      </c>
      <c r="AM55" t="s">
        <v>326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622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180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643</v>
      </c>
      <c r="CT56">
        <v>5</v>
      </c>
      <c r="CU56">
        <v>17</v>
      </c>
      <c r="CV56">
        <v>131</v>
      </c>
      <c r="CY56" t="s">
        <v>556</v>
      </c>
    </row>
    <row r="57" spans="1:104" x14ac:dyDescent="0.25">
      <c r="A57" t="s">
        <v>557</v>
      </c>
      <c r="B57" t="s">
        <v>558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622</v>
      </c>
      <c r="BF57">
        <v>12</v>
      </c>
      <c r="BG57">
        <v>18</v>
      </c>
      <c r="BH57">
        <v>120</v>
      </c>
      <c r="BK57" t="s">
        <v>623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186</v>
      </c>
      <c r="AH58">
        <v>111</v>
      </c>
      <c r="AN58">
        <v>2</v>
      </c>
      <c r="BF58">
        <v>12</v>
      </c>
      <c r="BH58">
        <v>140</v>
      </c>
      <c r="BK58" t="s">
        <v>624</v>
      </c>
      <c r="CD58">
        <v>5</v>
      </c>
      <c r="CE58">
        <v>17</v>
      </c>
      <c r="CF58">
        <v>70</v>
      </c>
      <c r="CI58" t="s">
        <v>644</v>
      </c>
      <c r="CT58">
        <v>5</v>
      </c>
      <c r="CU58">
        <v>288</v>
      </c>
      <c r="CV58">
        <v>131</v>
      </c>
      <c r="CY58" t="s">
        <v>187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623</v>
      </c>
      <c r="BF59">
        <v>12</v>
      </c>
      <c r="BH59">
        <v>160</v>
      </c>
      <c r="BK59" t="s">
        <v>625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190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624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480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567</v>
      </c>
      <c r="AH61">
        <v>12</v>
      </c>
      <c r="AJ61">
        <v>147</v>
      </c>
      <c r="AM61" t="s">
        <v>625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326</v>
      </c>
      <c r="CT61">
        <v>5</v>
      </c>
      <c r="CU61">
        <v>288</v>
      </c>
      <c r="CV61">
        <v>153</v>
      </c>
      <c r="CY61" t="s">
        <v>187</v>
      </c>
    </row>
    <row r="62" spans="1:104" x14ac:dyDescent="0.25">
      <c r="A62" t="s">
        <v>568</v>
      </c>
      <c r="B62" t="s">
        <v>569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571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622</v>
      </c>
      <c r="CT63" t="s">
        <v>554</v>
      </c>
    </row>
    <row r="64" spans="1:104" x14ac:dyDescent="0.25">
      <c r="A64" t="s">
        <v>572</v>
      </c>
      <c r="B64" t="s">
        <v>458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359</v>
      </c>
      <c r="CD65">
        <v>12</v>
      </c>
      <c r="CE65">
        <v>17</v>
      </c>
      <c r="CF65">
        <v>156</v>
      </c>
      <c r="CI65" t="s">
        <v>623</v>
      </c>
      <c r="CT65">
        <v>5</v>
      </c>
    </row>
    <row r="66" spans="1:104" x14ac:dyDescent="0.25">
      <c r="A66" t="s">
        <v>194</v>
      </c>
      <c r="B66" t="s">
        <v>460</v>
      </c>
      <c r="BF66" t="s">
        <v>334</v>
      </c>
      <c r="CD66">
        <v>12</v>
      </c>
      <c r="CF66">
        <v>176</v>
      </c>
      <c r="CI66" t="s">
        <v>624</v>
      </c>
      <c r="CT66">
        <v>5</v>
      </c>
    </row>
    <row r="67" spans="1:104" x14ac:dyDescent="0.25">
      <c r="A67" t="s">
        <v>195</v>
      </c>
      <c r="B67" t="s">
        <v>196</v>
      </c>
      <c r="BF67" s="1" t="s">
        <v>667</v>
      </c>
      <c r="BI67">
        <v>523</v>
      </c>
      <c r="BJ67">
        <v>181</v>
      </c>
      <c r="BK67" t="s">
        <v>575</v>
      </c>
      <c r="BL67">
        <v>5</v>
      </c>
      <c r="CD67">
        <v>12</v>
      </c>
      <c r="CF67">
        <v>196</v>
      </c>
      <c r="CI67" t="s">
        <v>625</v>
      </c>
      <c r="CT67">
        <v>5</v>
      </c>
    </row>
    <row r="68" spans="1:104" x14ac:dyDescent="0.25">
      <c r="A68" t="s">
        <v>576</v>
      </c>
      <c r="B68" t="s">
        <v>577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579</v>
      </c>
      <c r="AH69" s="1" t="s">
        <v>669</v>
      </c>
      <c r="AK69">
        <v>523</v>
      </c>
      <c r="AL69">
        <v>205</v>
      </c>
      <c r="AM69" t="s">
        <v>196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397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581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399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583</v>
      </c>
      <c r="AH71">
        <v>2</v>
      </c>
      <c r="AI71">
        <v>407</v>
      </c>
      <c r="AJ71">
        <v>30</v>
      </c>
      <c r="AK71">
        <v>90</v>
      </c>
      <c r="AM71" t="s">
        <v>397</v>
      </c>
      <c r="BF71">
        <v>5</v>
      </c>
      <c r="BG71">
        <v>18</v>
      </c>
      <c r="BH71">
        <v>19</v>
      </c>
      <c r="BK71" t="s">
        <v>619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399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202</v>
      </c>
    </row>
    <row r="73" spans="1:104" x14ac:dyDescent="0.25">
      <c r="A73" t="s">
        <v>203</v>
      </c>
      <c r="B73" t="s">
        <v>204</v>
      </c>
      <c r="AH73">
        <v>5</v>
      </c>
      <c r="AI73">
        <v>18</v>
      </c>
      <c r="AJ73">
        <v>19</v>
      </c>
      <c r="AM73" t="s">
        <v>619</v>
      </c>
      <c r="BF73">
        <v>13</v>
      </c>
      <c r="BG73">
        <v>18</v>
      </c>
      <c r="BH73">
        <v>40</v>
      </c>
      <c r="BK73" t="s">
        <v>621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206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622</v>
      </c>
      <c r="CD74" t="s">
        <v>441</v>
      </c>
      <c r="CT74">
        <v>5</v>
      </c>
      <c r="CU74">
        <v>24</v>
      </c>
      <c r="CV74">
        <v>134</v>
      </c>
      <c r="CY74" t="s">
        <v>27</v>
      </c>
    </row>
    <row r="75" spans="1:104" x14ac:dyDescent="0.25">
      <c r="A75" t="s">
        <v>207</v>
      </c>
      <c r="B75" t="s">
        <v>208</v>
      </c>
      <c r="AH75">
        <v>13</v>
      </c>
      <c r="AI75">
        <v>18</v>
      </c>
      <c r="AJ75">
        <v>41</v>
      </c>
      <c r="AM75" t="s">
        <v>621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209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499</v>
      </c>
      <c r="AH76">
        <v>5</v>
      </c>
      <c r="AI76">
        <v>18</v>
      </c>
      <c r="AJ76">
        <v>69</v>
      </c>
      <c r="AM76" t="s">
        <v>500</v>
      </c>
      <c r="BF76">
        <v>12</v>
      </c>
      <c r="BG76">
        <v>18</v>
      </c>
      <c r="BH76">
        <v>86</v>
      </c>
      <c r="BK76" t="s">
        <v>623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624</v>
      </c>
      <c r="CD77">
        <v>2</v>
      </c>
      <c r="CE77">
        <v>440</v>
      </c>
      <c r="CF77">
        <v>30</v>
      </c>
      <c r="CG77">
        <v>90</v>
      </c>
      <c r="CI77" t="s">
        <v>397</v>
      </c>
      <c r="CT77" t="s">
        <v>376</v>
      </c>
    </row>
    <row r="78" spans="1:104" x14ac:dyDescent="0.25">
      <c r="A78" t="s">
        <v>219</v>
      </c>
      <c r="B78" t="s">
        <v>216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622</v>
      </c>
      <c r="BF78">
        <v>12</v>
      </c>
      <c r="BH78">
        <v>126</v>
      </c>
      <c r="BK78" t="s">
        <v>625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399</v>
      </c>
      <c r="CT78">
        <v>5</v>
      </c>
      <c r="CZ78" t="s">
        <v>376</v>
      </c>
    </row>
    <row r="79" spans="1:104" x14ac:dyDescent="0.25">
      <c r="A79" t="s">
        <v>220</v>
      </c>
      <c r="B79" t="s">
        <v>20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642</v>
      </c>
      <c r="CT79">
        <v>5</v>
      </c>
    </row>
    <row r="80" spans="1:104" x14ac:dyDescent="0.25">
      <c r="A80" t="s">
        <v>221</v>
      </c>
      <c r="B80" t="s">
        <v>555</v>
      </c>
      <c r="AH80">
        <v>5</v>
      </c>
      <c r="AI80">
        <v>18</v>
      </c>
      <c r="AJ80">
        <v>112</v>
      </c>
      <c r="AM80" t="s">
        <v>623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209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605</v>
      </c>
      <c r="BL81" t="b">
        <v>0</v>
      </c>
      <c r="CD81">
        <v>5</v>
      </c>
      <c r="CE81">
        <v>17</v>
      </c>
      <c r="CF81">
        <v>41</v>
      </c>
      <c r="CI81" t="s">
        <v>643</v>
      </c>
      <c r="CT81">
        <v>5</v>
      </c>
    </row>
    <row r="82" spans="1:104" x14ac:dyDescent="0.25">
      <c r="A82" t="s">
        <v>606</v>
      </c>
      <c r="B82" t="s">
        <v>607</v>
      </c>
      <c r="AH82">
        <v>205</v>
      </c>
      <c r="AI82">
        <v>18</v>
      </c>
      <c r="AJ82">
        <v>132</v>
      </c>
      <c r="AM82" t="s">
        <v>624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302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644</v>
      </c>
      <c r="CT83">
        <v>5</v>
      </c>
    </row>
    <row r="84" spans="1:104" x14ac:dyDescent="0.25">
      <c r="A84" t="s">
        <v>303</v>
      </c>
      <c r="B84" t="s">
        <v>466</v>
      </c>
      <c r="AH84">
        <v>205</v>
      </c>
      <c r="AI84">
        <v>18</v>
      </c>
      <c r="AJ84">
        <v>152</v>
      </c>
      <c r="AM84" t="s">
        <v>625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227</v>
      </c>
      <c r="AH85">
        <v>13</v>
      </c>
      <c r="AI85">
        <v>18</v>
      </c>
      <c r="AJ85">
        <v>175</v>
      </c>
      <c r="AM85" t="s">
        <v>626</v>
      </c>
      <c r="AN85" t="b">
        <v>0</v>
      </c>
      <c r="CD85">
        <v>13</v>
      </c>
      <c r="CE85">
        <v>18</v>
      </c>
      <c r="CF85">
        <v>87</v>
      </c>
      <c r="CI85" t="s">
        <v>480</v>
      </c>
      <c r="CJ85" t="b">
        <v>0</v>
      </c>
      <c r="CT85">
        <v>5</v>
      </c>
    </row>
    <row r="86" spans="1:104" x14ac:dyDescent="0.25">
      <c r="A86" t="s">
        <v>228</v>
      </c>
      <c r="B86" t="s">
        <v>229</v>
      </c>
      <c r="AH86">
        <v>13</v>
      </c>
      <c r="AI86">
        <v>222</v>
      </c>
      <c r="AJ86">
        <v>175</v>
      </c>
      <c r="AM86" t="s">
        <v>627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326</v>
      </c>
      <c r="CT86">
        <v>5</v>
      </c>
    </row>
    <row r="87" spans="1:104" x14ac:dyDescent="0.25">
      <c r="A87" t="s">
        <v>231</v>
      </c>
      <c r="B87" t="s">
        <v>615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617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622</v>
      </c>
      <c r="CT88">
        <v>5</v>
      </c>
      <c r="CU88">
        <v>26</v>
      </c>
      <c r="CV88">
        <v>108</v>
      </c>
      <c r="CY88" t="s">
        <v>618</v>
      </c>
    </row>
    <row r="89" spans="1:104" x14ac:dyDescent="0.25">
      <c r="A89" t="s">
        <v>299</v>
      </c>
      <c r="B89" t="s">
        <v>234</v>
      </c>
      <c r="BF89">
        <v>2</v>
      </c>
      <c r="BG89">
        <v>407</v>
      </c>
      <c r="BH89">
        <v>30</v>
      </c>
      <c r="BI89">
        <v>90</v>
      </c>
      <c r="BK89" t="s">
        <v>397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66</v>
      </c>
      <c r="BK90" t="s">
        <v>399</v>
      </c>
      <c r="CD90">
        <v>12</v>
      </c>
      <c r="CE90">
        <v>17</v>
      </c>
      <c r="CF90">
        <v>152</v>
      </c>
      <c r="CI90" t="s">
        <v>623</v>
      </c>
    </row>
    <row r="91" spans="1:104" x14ac:dyDescent="0.25">
      <c r="A91" t="s">
        <v>237</v>
      </c>
      <c r="B91" t="s">
        <v>238</v>
      </c>
      <c r="BF91">
        <v>5</v>
      </c>
      <c r="BG91">
        <v>18</v>
      </c>
      <c r="BH91">
        <v>19</v>
      </c>
      <c r="BK91" t="s">
        <v>619</v>
      </c>
      <c r="CD91">
        <v>12</v>
      </c>
      <c r="CF91">
        <v>172</v>
      </c>
      <c r="CI91" t="s">
        <v>624</v>
      </c>
      <c r="CT91" t="s">
        <v>379</v>
      </c>
    </row>
    <row r="92" spans="1:104" x14ac:dyDescent="0.25">
      <c r="A92" t="s">
        <v>239</v>
      </c>
      <c r="B92" t="s">
        <v>484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625</v>
      </c>
      <c r="CT92">
        <v>5</v>
      </c>
      <c r="CZ92" t="s">
        <v>379</v>
      </c>
    </row>
    <row r="93" spans="1:104" x14ac:dyDescent="0.25">
      <c r="A93" t="s">
        <v>485</v>
      </c>
      <c r="B93" t="s">
        <v>486</v>
      </c>
      <c r="BF93">
        <v>5</v>
      </c>
      <c r="BG93">
        <v>18</v>
      </c>
      <c r="BH93">
        <v>43</v>
      </c>
      <c r="BK93" t="s">
        <v>637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243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245</v>
      </c>
      <c r="BF95">
        <v>13</v>
      </c>
      <c r="BG95">
        <v>18</v>
      </c>
      <c r="BH95">
        <v>66</v>
      </c>
      <c r="BK95" t="s">
        <v>480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247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622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251</v>
      </c>
      <c r="BF98">
        <v>12</v>
      </c>
      <c r="BG98">
        <v>18</v>
      </c>
      <c r="BH98">
        <v>112</v>
      </c>
      <c r="BK98" t="s">
        <v>623</v>
      </c>
      <c r="CT98">
        <v>5</v>
      </c>
    </row>
    <row r="99" spans="1:104" x14ac:dyDescent="0.25">
      <c r="A99" t="s">
        <v>252</v>
      </c>
      <c r="B99" t="s">
        <v>510</v>
      </c>
      <c r="BF99">
        <v>12</v>
      </c>
      <c r="BH99">
        <v>132</v>
      </c>
      <c r="BK99" t="s">
        <v>624</v>
      </c>
      <c r="CD99" t="s">
        <v>357</v>
      </c>
      <c r="CT99">
        <v>5</v>
      </c>
    </row>
    <row r="100" spans="1:104" x14ac:dyDescent="0.25">
      <c r="A100" t="s">
        <v>511</v>
      </c>
      <c r="B100" t="s">
        <v>512</v>
      </c>
      <c r="BF100">
        <v>12</v>
      </c>
      <c r="BH100">
        <v>152</v>
      </c>
      <c r="BK100" t="s">
        <v>625</v>
      </c>
      <c r="CD100" s="1" t="s">
        <v>674</v>
      </c>
      <c r="CG100">
        <v>577</v>
      </c>
      <c r="CH100">
        <v>281</v>
      </c>
      <c r="CI100" t="s">
        <v>245</v>
      </c>
      <c r="CJ100">
        <v>5</v>
      </c>
      <c r="CT100">
        <v>5</v>
      </c>
      <c r="CU100">
        <v>23</v>
      </c>
      <c r="CV100">
        <v>131</v>
      </c>
      <c r="CY100" t="s">
        <v>28</v>
      </c>
    </row>
    <row r="101" spans="1:104" x14ac:dyDescent="0.25">
      <c r="A101" t="s">
        <v>513</v>
      </c>
      <c r="B101" t="s">
        <v>514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402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397</v>
      </c>
      <c r="CT102">
        <v>5</v>
      </c>
      <c r="CU102">
        <v>25</v>
      </c>
      <c r="CV102">
        <v>108</v>
      </c>
      <c r="CY102" t="s">
        <v>618</v>
      </c>
    </row>
    <row r="103" spans="1:104" x14ac:dyDescent="0.25">
      <c r="A103" t="s">
        <v>516</v>
      </c>
      <c r="B103" t="s">
        <v>517</v>
      </c>
      <c r="BF103">
        <v>13</v>
      </c>
      <c r="BG103">
        <v>18</v>
      </c>
      <c r="BH103">
        <v>174</v>
      </c>
      <c r="BK103" t="s">
        <v>518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399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417</v>
      </c>
      <c r="BF104">
        <v>13</v>
      </c>
      <c r="BK104" t="s">
        <v>638</v>
      </c>
      <c r="BL104" t="b">
        <v>0</v>
      </c>
      <c r="CD104">
        <v>5</v>
      </c>
      <c r="CE104">
        <v>17</v>
      </c>
      <c r="CF104">
        <v>18</v>
      </c>
      <c r="CI104" t="s">
        <v>642</v>
      </c>
    </row>
    <row r="105" spans="1:104" x14ac:dyDescent="0.25">
      <c r="A105" t="s">
        <v>534</v>
      </c>
      <c r="B105" t="s">
        <v>535</v>
      </c>
      <c r="BF105">
        <v>13</v>
      </c>
      <c r="BK105" t="s">
        <v>626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537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643</v>
      </c>
      <c r="CT106">
        <v>5</v>
      </c>
      <c r="CZ106" t="s">
        <v>382</v>
      </c>
    </row>
    <row r="107" spans="1:104" x14ac:dyDescent="0.25">
      <c r="A107" t="s">
        <v>538</v>
      </c>
      <c r="B107" t="s">
        <v>389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260</v>
      </c>
      <c r="CD108">
        <v>5</v>
      </c>
      <c r="CE108">
        <v>17</v>
      </c>
      <c r="CF108">
        <v>68</v>
      </c>
      <c r="CI108" t="s">
        <v>645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646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647</v>
      </c>
      <c r="CT112">
        <v>5</v>
      </c>
    </row>
    <row r="113" spans="1:104" x14ac:dyDescent="0.25">
      <c r="A113" t="s">
        <v>539</v>
      </c>
      <c r="B113" t="s">
        <v>540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542</v>
      </c>
      <c r="CD114">
        <v>13</v>
      </c>
      <c r="CE114">
        <v>17</v>
      </c>
      <c r="CF114">
        <v>143</v>
      </c>
      <c r="CI114" t="s">
        <v>480</v>
      </c>
      <c r="CJ114" t="b">
        <v>0</v>
      </c>
      <c r="CT114">
        <v>5</v>
      </c>
    </row>
    <row r="115" spans="1:104" x14ac:dyDescent="0.25">
      <c r="A115" t="s">
        <v>543</v>
      </c>
      <c r="B115" t="s">
        <v>457</v>
      </c>
      <c r="CD115">
        <v>5</v>
      </c>
      <c r="CE115">
        <v>17</v>
      </c>
      <c r="CF115">
        <v>168</v>
      </c>
      <c r="CI115" t="s">
        <v>326</v>
      </c>
      <c r="CT115">
        <v>5</v>
      </c>
    </row>
    <row r="116" spans="1:104" x14ac:dyDescent="0.25">
      <c r="A116" t="s">
        <v>544</v>
      </c>
      <c r="B116" t="s">
        <v>545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548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622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561</v>
      </c>
      <c r="CD118">
        <v>111</v>
      </c>
      <c r="CJ118">
        <v>2</v>
      </c>
    </row>
    <row r="119" spans="1:104" x14ac:dyDescent="0.25">
      <c r="A119" t="s">
        <v>562</v>
      </c>
      <c r="B119" t="s">
        <v>563</v>
      </c>
      <c r="CD119">
        <v>12</v>
      </c>
      <c r="CE119">
        <v>17</v>
      </c>
      <c r="CF119">
        <v>211</v>
      </c>
      <c r="CI119" t="s">
        <v>623</v>
      </c>
      <c r="CT119" t="s">
        <v>332</v>
      </c>
    </row>
    <row r="120" spans="1:104" x14ac:dyDescent="0.25">
      <c r="A120" t="s">
        <v>366</v>
      </c>
      <c r="B120" t="s">
        <v>367</v>
      </c>
      <c r="CD120">
        <v>12</v>
      </c>
      <c r="CF120">
        <v>231</v>
      </c>
      <c r="CI120" t="s">
        <v>624</v>
      </c>
      <c r="CT120">
        <v>5</v>
      </c>
      <c r="CZ120" t="s">
        <v>332</v>
      </c>
    </row>
    <row r="121" spans="1:104" x14ac:dyDescent="0.25">
      <c r="A121" t="s">
        <v>368</v>
      </c>
      <c r="B121" t="s">
        <v>369</v>
      </c>
      <c r="CD121">
        <v>12</v>
      </c>
      <c r="CF121">
        <v>251</v>
      </c>
      <c r="CI121" t="s">
        <v>625</v>
      </c>
      <c r="CT121">
        <v>5</v>
      </c>
    </row>
    <row r="122" spans="1:104" x14ac:dyDescent="0.25">
      <c r="A122" t="s">
        <v>370</v>
      </c>
      <c r="B122" t="s">
        <v>453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295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589</v>
      </c>
      <c r="CT125">
        <v>5</v>
      </c>
    </row>
    <row r="126" spans="1:104" x14ac:dyDescent="0.25">
      <c r="A126" t="s">
        <v>590</v>
      </c>
      <c r="B126" t="s">
        <v>591</v>
      </c>
      <c r="CT126">
        <v>5</v>
      </c>
    </row>
    <row r="127" spans="1:104" x14ac:dyDescent="0.25">
      <c r="A127" t="s">
        <v>592</v>
      </c>
      <c r="B127" t="s">
        <v>593</v>
      </c>
      <c r="CT127">
        <v>5</v>
      </c>
    </row>
    <row r="128" spans="1:104" x14ac:dyDescent="0.25">
      <c r="A128" t="s">
        <v>594</v>
      </c>
      <c r="B128" t="s">
        <v>595</v>
      </c>
      <c r="CT128">
        <v>5</v>
      </c>
    </row>
    <row r="129" spans="1:104" x14ac:dyDescent="0.25">
      <c r="A129" t="s">
        <v>596</v>
      </c>
      <c r="B129" t="s">
        <v>597</v>
      </c>
      <c r="CT129">
        <v>5</v>
      </c>
    </row>
    <row r="130" spans="1:104" x14ac:dyDescent="0.25">
      <c r="A130" t="s">
        <v>277</v>
      </c>
      <c r="B130" t="s">
        <v>278</v>
      </c>
      <c r="CT130">
        <v>5</v>
      </c>
      <c r="CU130">
        <v>23</v>
      </c>
      <c r="CV130">
        <v>107</v>
      </c>
      <c r="CY130" t="s">
        <v>25</v>
      </c>
    </row>
    <row r="131" spans="1:104" x14ac:dyDescent="0.25">
      <c r="A131" t="s">
        <v>279</v>
      </c>
      <c r="B131" t="s">
        <v>280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282</v>
      </c>
    </row>
    <row r="133" spans="1:104" x14ac:dyDescent="0.25">
      <c r="A133" t="s">
        <v>283</v>
      </c>
      <c r="B133" t="s">
        <v>284</v>
      </c>
    </row>
    <row r="134" spans="1:104" x14ac:dyDescent="0.25">
      <c r="A134" t="s">
        <v>285</v>
      </c>
      <c r="B134" t="s">
        <v>286</v>
      </c>
      <c r="CT134" t="s">
        <v>287</v>
      </c>
    </row>
    <row r="135" spans="1:104" x14ac:dyDescent="0.25">
      <c r="A135" t="s">
        <v>288</v>
      </c>
      <c r="B135" t="s">
        <v>289</v>
      </c>
      <c r="CT135" t="s">
        <v>507</v>
      </c>
    </row>
    <row r="136" spans="1:104" x14ac:dyDescent="0.25">
      <c r="A136" t="s">
        <v>290</v>
      </c>
      <c r="B136" t="s">
        <v>291</v>
      </c>
      <c r="CT136" t="str">
        <f>mg01s.RandUniform</f>
        <v>Uniform</v>
      </c>
      <c r="CU136" t="s">
        <v>551</v>
      </c>
    </row>
    <row r="137" spans="1:104" x14ac:dyDescent="0.25">
      <c r="A137" t="s">
        <v>292</v>
      </c>
      <c r="B137" t="s">
        <v>310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610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612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297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91</v>
      </c>
      <c r="CT141" t="str">
        <f>mg01s.RandPatterned</f>
        <v>Patterned</v>
      </c>
      <c r="CU141" t="s">
        <v>599</v>
      </c>
    </row>
    <row r="142" spans="1:104" x14ac:dyDescent="0.25">
      <c r="A142" t="s">
        <v>92</v>
      </c>
      <c r="B142" t="s">
        <v>498</v>
      </c>
      <c r="CT142" t="str">
        <f>mg01s.RandDiscrete</f>
        <v>Discrete</v>
      </c>
      <c r="CU142" t="s">
        <v>332</v>
      </c>
    </row>
    <row r="143" spans="1:104" x14ac:dyDescent="0.25">
      <c r="A143" t="s">
        <v>304</v>
      </c>
      <c r="B143" t="s">
        <v>305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102</v>
      </c>
      <c r="B148" t="s">
        <v>318</v>
      </c>
    </row>
    <row r="149" spans="1:2" x14ac:dyDescent="0.25">
      <c r="A149" t="s">
        <v>319</v>
      </c>
      <c r="B149" t="s">
        <v>104</v>
      </c>
    </row>
    <row r="150" spans="1:2" x14ac:dyDescent="0.25">
      <c r="A150" t="s">
        <v>105</v>
      </c>
      <c r="B150" t="s">
        <v>322</v>
      </c>
    </row>
    <row r="151" spans="1:2" x14ac:dyDescent="0.25">
      <c r="A151" t="s">
        <v>323</v>
      </c>
      <c r="B151" t="s">
        <v>324</v>
      </c>
    </row>
    <row r="152" spans="1:2" x14ac:dyDescent="0.25">
      <c r="A152" t="s">
        <v>108</v>
      </c>
      <c r="B152" t="s">
        <v>109</v>
      </c>
    </row>
    <row r="153" spans="1:2" x14ac:dyDescent="0.25">
      <c r="A153" t="s">
        <v>110</v>
      </c>
      <c r="B153" t="s">
        <v>111</v>
      </c>
    </row>
    <row r="154" spans="1:2" x14ac:dyDescent="0.25">
      <c r="A154" t="s">
        <v>112</v>
      </c>
      <c r="B154" t="s">
        <v>335</v>
      </c>
    </row>
    <row r="155" spans="1:2" x14ac:dyDescent="0.25">
      <c r="A155" t="s">
        <v>336</v>
      </c>
      <c r="B155" t="s">
        <v>337</v>
      </c>
    </row>
    <row r="156" spans="1:2" x14ac:dyDescent="0.25">
      <c r="A156" t="s">
        <v>120</v>
      </c>
      <c r="B156" t="s">
        <v>348</v>
      </c>
    </row>
    <row r="157" spans="1:2" x14ac:dyDescent="0.25">
      <c r="A157" t="s">
        <v>349</v>
      </c>
      <c r="B157" t="s">
        <v>446</v>
      </c>
    </row>
    <row r="158" spans="1:2" x14ac:dyDescent="0.25">
      <c r="A158" t="s">
        <v>350</v>
      </c>
      <c r="B158" t="s">
        <v>115</v>
      </c>
    </row>
    <row r="159" spans="1:2" x14ac:dyDescent="0.25">
      <c r="A159" t="s">
        <v>438</v>
      </c>
      <c r="B159" t="s">
        <v>352</v>
      </c>
    </row>
    <row r="160" spans="1:2" x14ac:dyDescent="0.25">
      <c r="A160" t="s">
        <v>353</v>
      </c>
      <c r="B160" t="s">
        <v>354</v>
      </c>
    </row>
    <row r="161" spans="1:2" x14ac:dyDescent="0.25">
      <c r="A161" t="s">
        <v>355</v>
      </c>
      <c r="B161" t="s">
        <v>128</v>
      </c>
    </row>
    <row r="162" spans="1:2" x14ac:dyDescent="0.25">
      <c r="A162" t="s">
        <v>129</v>
      </c>
      <c r="B162" t="s">
        <v>362</v>
      </c>
    </row>
    <row r="163" spans="1:2" x14ac:dyDescent="0.25">
      <c r="A163" t="s">
        <v>363</v>
      </c>
      <c r="B163" t="s">
        <v>364</v>
      </c>
    </row>
    <row r="164" spans="1:2" x14ac:dyDescent="0.25">
      <c r="A164" t="s">
        <v>365</v>
      </c>
      <c r="B164" t="s">
        <v>131</v>
      </c>
    </row>
    <row r="165" spans="1:2" x14ac:dyDescent="0.25">
      <c r="A165" t="s">
        <v>374</v>
      </c>
      <c r="B165" t="s">
        <v>375</v>
      </c>
    </row>
    <row r="166" spans="1:2" x14ac:dyDescent="0.25">
      <c r="A166" t="s">
        <v>135</v>
      </c>
      <c r="B166" t="s">
        <v>136</v>
      </c>
    </row>
    <row r="167" spans="1:2" x14ac:dyDescent="0.25">
      <c r="A167" t="s">
        <v>137</v>
      </c>
      <c r="B167" t="s">
        <v>138</v>
      </c>
    </row>
    <row r="168" spans="1:2" x14ac:dyDescent="0.25">
      <c r="A168" t="s">
        <v>139</v>
      </c>
      <c r="B168" t="s">
        <v>140</v>
      </c>
    </row>
    <row r="169" spans="1:2" x14ac:dyDescent="0.25">
      <c r="A169" t="s">
        <v>384</v>
      </c>
      <c r="B169" t="s">
        <v>461</v>
      </c>
    </row>
    <row r="170" spans="1:2" x14ac:dyDescent="0.25">
      <c r="A170" t="s">
        <v>462</v>
      </c>
      <c r="B170" t="s">
        <v>463</v>
      </c>
    </row>
    <row r="171" spans="1:2" x14ac:dyDescent="0.25">
      <c r="A171" t="s">
        <v>464</v>
      </c>
      <c r="B171" t="s">
        <v>465</v>
      </c>
    </row>
    <row r="172" spans="1:2" x14ac:dyDescent="0.25">
      <c r="A172" t="s">
        <v>388</v>
      </c>
      <c r="B172" t="s">
        <v>146</v>
      </c>
    </row>
    <row r="173" spans="1:2" x14ac:dyDescent="0.25">
      <c r="A173" t="s">
        <v>147</v>
      </c>
      <c r="B173" t="s">
        <v>148</v>
      </c>
    </row>
    <row r="174" spans="1:2" x14ac:dyDescent="0.25">
      <c r="A174" t="s">
        <v>385</v>
      </c>
      <c r="B174" t="s">
        <v>475</v>
      </c>
    </row>
    <row r="175" spans="1:2" x14ac:dyDescent="0.25">
      <c r="A175" t="s">
        <v>151</v>
      </c>
      <c r="B175" t="s">
        <v>152</v>
      </c>
    </row>
    <row r="176" spans="1:2" x14ac:dyDescent="0.25">
      <c r="A176" t="s">
        <v>406</v>
      </c>
      <c r="B176" t="s">
        <v>407</v>
      </c>
    </row>
    <row r="177" spans="1:2" x14ac:dyDescent="0.25">
      <c r="A177" t="s">
        <v>408</v>
      </c>
      <c r="B177" t="s">
        <v>502</v>
      </c>
    </row>
    <row r="178" spans="1:2" x14ac:dyDescent="0.25">
      <c r="A178" t="s">
        <v>503</v>
      </c>
      <c r="B178" t="s">
        <v>504</v>
      </c>
    </row>
    <row r="179" spans="1:2" x14ac:dyDescent="0.25">
      <c r="A179" t="s">
        <v>410</v>
      </c>
      <c r="B179" t="s">
        <v>411</v>
      </c>
    </row>
    <row r="180" spans="1:2" x14ac:dyDescent="0.25">
      <c r="A180" t="s">
        <v>412</v>
      </c>
      <c r="B180" t="s">
        <v>160</v>
      </c>
    </row>
    <row r="181" spans="1:2" x14ac:dyDescent="0.25">
      <c r="A181" t="s">
        <v>161</v>
      </c>
      <c r="B181" t="s">
        <v>414</v>
      </c>
    </row>
    <row r="182" spans="1:2" x14ac:dyDescent="0.25">
      <c r="A182" t="s">
        <v>415</v>
      </c>
      <c r="B182" t="s">
        <v>416</v>
      </c>
    </row>
    <row r="183" spans="1:2" x14ac:dyDescent="0.25">
      <c r="A183" t="s">
        <v>173</v>
      </c>
      <c r="B183" t="s">
        <v>166</v>
      </c>
    </row>
    <row r="184" spans="1:2" x14ac:dyDescent="0.25">
      <c r="A184" t="s">
        <v>167</v>
      </c>
      <c r="B184" t="s">
        <v>168</v>
      </c>
    </row>
    <row r="185" spans="1:2" x14ac:dyDescent="0.25">
      <c r="A185" t="s">
        <v>169</v>
      </c>
      <c r="B185" t="s">
        <v>183</v>
      </c>
    </row>
    <row r="186" spans="1:2" x14ac:dyDescent="0.25">
      <c r="A186" t="s">
        <v>444</v>
      </c>
      <c r="B186" t="s">
        <v>172</v>
      </c>
    </row>
    <row r="187" spans="1:2" x14ac:dyDescent="0.25">
      <c r="A187" t="s">
        <v>18</v>
      </c>
      <c r="B187" t="s">
        <v>19</v>
      </c>
    </row>
    <row r="188" spans="1:2" x14ac:dyDescent="0.25">
      <c r="A188" t="s">
        <v>175</v>
      </c>
      <c r="B188" t="s">
        <v>22</v>
      </c>
    </row>
    <row r="189" spans="1:2" x14ac:dyDescent="0.25">
      <c r="A189" t="s">
        <v>181</v>
      </c>
      <c r="B189" t="s">
        <v>182</v>
      </c>
    </row>
    <row r="190" spans="1:2" x14ac:dyDescent="0.25">
      <c r="A190" t="s">
        <v>64</v>
      </c>
      <c r="B190" t="s">
        <v>184</v>
      </c>
    </row>
    <row r="191" spans="1:2" x14ac:dyDescent="0.25">
      <c r="A191" t="s">
        <v>185</v>
      </c>
      <c r="B191" t="s">
        <v>191</v>
      </c>
    </row>
    <row r="192" spans="1:2" x14ac:dyDescent="0.25">
      <c r="A192" t="s">
        <v>192</v>
      </c>
      <c r="B192" t="s">
        <v>66</v>
      </c>
    </row>
    <row r="193" spans="1:2" x14ac:dyDescent="0.25">
      <c r="A193" t="s">
        <v>67</v>
      </c>
      <c r="B193" t="s">
        <v>68</v>
      </c>
    </row>
    <row r="194" spans="1:2" x14ac:dyDescent="0.25">
      <c r="A194" t="s">
        <v>197</v>
      </c>
      <c r="B194" t="s">
        <v>198</v>
      </c>
    </row>
    <row r="195" spans="1:2" x14ac:dyDescent="0.25">
      <c r="A195" t="s">
        <v>199</v>
      </c>
      <c r="B195" t="s">
        <v>43</v>
      </c>
    </row>
    <row r="196" spans="1:2" x14ac:dyDescent="0.25">
      <c r="A196" t="s">
        <v>44</v>
      </c>
      <c r="B196" t="s">
        <v>45</v>
      </c>
    </row>
    <row r="197" spans="1:2" x14ac:dyDescent="0.25">
      <c r="A197" t="s">
        <v>46</v>
      </c>
      <c r="B197" t="s">
        <v>211</v>
      </c>
    </row>
    <row r="198" spans="1:2" x14ac:dyDescent="0.25">
      <c r="A198" t="s">
        <v>212</v>
      </c>
      <c r="B198" t="s">
        <v>214</v>
      </c>
    </row>
    <row r="199" spans="1:2" x14ac:dyDescent="0.25">
      <c r="A199" t="s">
        <v>215</v>
      </c>
      <c r="B199" t="s">
        <v>76</v>
      </c>
    </row>
    <row r="200" spans="1:2" x14ac:dyDescent="0.25">
      <c r="A200" t="s">
        <v>77</v>
      </c>
      <c r="B200" t="s">
        <v>222</v>
      </c>
    </row>
    <row r="201" spans="1:2" x14ac:dyDescent="0.25">
      <c r="A201" t="s">
        <v>223</v>
      </c>
      <c r="B201" t="s">
        <v>217</v>
      </c>
    </row>
    <row r="202" spans="1:2" x14ac:dyDescent="0.25">
      <c r="A202" t="s">
        <v>1</v>
      </c>
      <c r="B202" t="s">
        <v>224</v>
      </c>
    </row>
    <row r="203" spans="1:2" x14ac:dyDescent="0.25">
      <c r="A203" t="s">
        <v>225</v>
      </c>
      <c r="B203" t="s">
        <v>226</v>
      </c>
    </row>
    <row r="204" spans="1:2" x14ac:dyDescent="0.25">
      <c r="A204" t="s">
        <v>4</v>
      </c>
      <c r="B204" t="s">
        <v>232</v>
      </c>
    </row>
    <row r="205" spans="1:2" x14ac:dyDescent="0.25">
      <c r="A205" t="s">
        <v>233</v>
      </c>
      <c r="B205" t="s">
        <v>5</v>
      </c>
    </row>
    <row r="206" spans="1:2" x14ac:dyDescent="0.25">
      <c r="A206" t="s">
        <v>6</v>
      </c>
      <c r="B206" t="s">
        <v>240</v>
      </c>
    </row>
    <row r="207" spans="1:2" x14ac:dyDescent="0.25">
      <c r="A207" t="s">
        <v>241</v>
      </c>
      <c r="B207" t="s">
        <v>10</v>
      </c>
    </row>
    <row r="208" spans="1:2" x14ac:dyDescent="0.25">
      <c r="A208" t="s">
        <v>11</v>
      </c>
      <c r="B208" t="s">
        <v>12</v>
      </c>
    </row>
    <row r="209" spans="1:103" x14ac:dyDescent="0.25">
      <c r="A209" t="s">
        <v>13</v>
      </c>
      <c r="B209" t="s">
        <v>253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257</v>
      </c>
    </row>
    <row r="212" spans="1:103" x14ac:dyDescent="0.25">
      <c r="A212" t="s">
        <v>258</v>
      </c>
      <c r="B212" t="s">
        <v>532</v>
      </c>
    </row>
    <row r="213" spans="1:103" x14ac:dyDescent="0.25">
      <c r="A213" t="s">
        <v>533</v>
      </c>
      <c r="B213" t="s">
        <v>16</v>
      </c>
      <c r="BS213" t="b">
        <v>1</v>
      </c>
    </row>
    <row r="214" spans="1:103" x14ac:dyDescent="0.25">
      <c r="A214" t="s">
        <v>17</v>
      </c>
      <c r="B214" t="s">
        <v>264</v>
      </c>
    </row>
    <row r="215" spans="1:103" x14ac:dyDescent="0.25">
      <c r="A215" t="s">
        <v>265</v>
      </c>
      <c r="B215" t="s">
        <v>549</v>
      </c>
    </row>
    <row r="216" spans="1:103" x14ac:dyDescent="0.25">
      <c r="A216" t="s">
        <v>550</v>
      </c>
      <c r="B216" t="s">
        <v>266</v>
      </c>
    </row>
    <row r="217" spans="1:103" x14ac:dyDescent="0.25">
      <c r="A217" t="s">
        <v>267</v>
      </c>
      <c r="B217" t="s">
        <v>261</v>
      </c>
    </row>
    <row r="218" spans="1:103" x14ac:dyDescent="0.25">
      <c r="A218" t="s">
        <v>262</v>
      </c>
      <c r="B218" t="s">
        <v>271</v>
      </c>
    </row>
    <row r="219" spans="1:103" x14ac:dyDescent="0.25">
      <c r="A219" t="s">
        <v>272</v>
      </c>
      <c r="B219" t="s">
        <v>273</v>
      </c>
    </row>
    <row r="220" spans="1:103" x14ac:dyDescent="0.25">
      <c r="A220" t="s">
        <v>36</v>
      </c>
      <c r="B220" t="s">
        <v>37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268</v>
      </c>
      <c r="AE221" t="b">
        <v>1</v>
      </c>
    </row>
    <row r="222" spans="1:103" x14ac:dyDescent="0.25">
      <c r="A222" t="s">
        <v>269</v>
      </c>
      <c r="B222" t="s">
        <v>270</v>
      </c>
      <c r="CY222" t="b">
        <v>1</v>
      </c>
    </row>
    <row r="223" spans="1:103" x14ac:dyDescent="0.25">
      <c r="A223" t="s">
        <v>40</v>
      </c>
      <c r="B223" t="s">
        <v>41</v>
      </c>
    </row>
    <row r="224" spans="1:103" x14ac:dyDescent="0.25">
      <c r="A224" t="s">
        <v>42</v>
      </c>
      <c r="B224" t="s">
        <v>274</v>
      </c>
      <c r="CI224" t="b">
        <v>1</v>
      </c>
    </row>
    <row r="225" spans="1:2" x14ac:dyDescent="0.25">
      <c r="A225" t="s">
        <v>275</v>
      </c>
      <c r="B225" t="s">
        <v>276</v>
      </c>
    </row>
    <row r="226" spans="1:2" x14ac:dyDescent="0.25">
      <c r="A226" t="s">
        <v>73</v>
      </c>
      <c r="B226" t="s">
        <v>74</v>
      </c>
    </row>
    <row r="227" spans="1:2" x14ac:dyDescent="0.25">
      <c r="A227" t="s">
        <v>75</v>
      </c>
      <c r="B227" t="s">
        <v>87</v>
      </c>
    </row>
    <row r="228" spans="1:2" x14ac:dyDescent="0.25">
      <c r="A228" t="s">
        <v>88</v>
      </c>
      <c r="B228" t="s">
        <v>48</v>
      </c>
    </row>
    <row r="229" spans="1:2" x14ac:dyDescent="0.25">
      <c r="A229" t="s">
        <v>49</v>
      </c>
      <c r="B229" t="s">
        <v>50</v>
      </c>
    </row>
    <row r="230" spans="1:2" x14ac:dyDescent="0.25">
      <c r="A230" t="s">
        <v>51</v>
      </c>
      <c r="B230" t="s">
        <v>52</v>
      </c>
    </row>
    <row r="231" spans="1:2" x14ac:dyDescent="0.25">
      <c r="A231" t="s">
        <v>53</v>
      </c>
      <c r="B231" t="s">
        <v>54</v>
      </c>
    </row>
    <row r="232" spans="1:2" x14ac:dyDescent="0.25">
      <c r="A232" t="s">
        <v>55</v>
      </c>
      <c r="B232" t="s">
        <v>56</v>
      </c>
    </row>
    <row r="233" spans="1:2" x14ac:dyDescent="0.25">
      <c r="A233" t="s">
        <v>57</v>
      </c>
      <c r="B233" t="s">
        <v>58</v>
      </c>
    </row>
    <row r="234" spans="1:2" x14ac:dyDescent="0.25">
      <c r="A234" t="s">
        <v>59</v>
      </c>
      <c r="B234" t="s">
        <v>23</v>
      </c>
    </row>
    <row r="235" spans="1:2" x14ac:dyDescent="0.25">
      <c r="A235" t="s">
        <v>24</v>
      </c>
      <c r="B235" t="s">
        <v>31</v>
      </c>
    </row>
    <row r="236" spans="1:2" x14ac:dyDescent="0.25">
      <c r="A236" t="s">
        <v>32</v>
      </c>
      <c r="B236" t="s">
        <v>100</v>
      </c>
    </row>
    <row r="237" spans="1:2" x14ac:dyDescent="0.25">
      <c r="A237" t="s">
        <v>101</v>
      </c>
      <c r="B237" t="s">
        <v>158</v>
      </c>
    </row>
    <row r="238" spans="1:2" x14ac:dyDescent="0.25">
      <c r="A238" t="s">
        <v>159</v>
      </c>
      <c r="B238" t="s">
        <v>106</v>
      </c>
    </row>
    <row r="239" spans="1:2" x14ac:dyDescent="0.25">
      <c r="A239" t="s">
        <v>107</v>
      </c>
      <c r="B239" t="s">
        <v>14</v>
      </c>
    </row>
    <row r="240" spans="1:2" x14ac:dyDescent="0.25">
      <c r="A240" t="s">
        <v>15</v>
      </c>
      <c r="B240" t="s">
        <v>170</v>
      </c>
    </row>
    <row r="241" spans="1:2" x14ac:dyDescent="0.25">
      <c r="A241" t="s">
        <v>171</v>
      </c>
      <c r="B241" t="s">
        <v>116</v>
      </c>
    </row>
    <row r="242" spans="1:2" x14ac:dyDescent="0.25">
      <c r="A242" t="s">
        <v>117</v>
      </c>
      <c r="B242" t="s">
        <v>118</v>
      </c>
    </row>
    <row r="243" spans="1:2" x14ac:dyDescent="0.25">
      <c r="A243" t="s">
        <v>119</v>
      </c>
      <c r="B243" t="s">
        <v>121</v>
      </c>
    </row>
    <row r="244" spans="1:2" x14ac:dyDescent="0.25">
      <c r="A244" t="s">
        <v>122</v>
      </c>
      <c r="B244" t="s">
        <v>123</v>
      </c>
    </row>
    <row r="245" spans="1:2" x14ac:dyDescent="0.25">
      <c r="A245" t="s">
        <v>176</v>
      </c>
      <c r="B245" t="s">
        <v>35</v>
      </c>
    </row>
    <row r="246" spans="1:2" x14ac:dyDescent="0.25">
      <c r="A246" t="s">
        <v>126</v>
      </c>
      <c r="B246" t="s">
        <v>127</v>
      </c>
    </row>
    <row r="247" spans="1:2" x14ac:dyDescent="0.25">
      <c r="A247" t="s">
        <v>130</v>
      </c>
      <c r="B247" t="s">
        <v>38</v>
      </c>
    </row>
    <row r="248" spans="1:2" x14ac:dyDescent="0.25">
      <c r="A248" t="s">
        <v>39</v>
      </c>
      <c r="B248" t="s">
        <v>132</v>
      </c>
    </row>
    <row r="249" spans="1:2" x14ac:dyDescent="0.25">
      <c r="A249" t="s">
        <v>133</v>
      </c>
      <c r="B249" t="s">
        <v>134</v>
      </c>
    </row>
    <row r="250" spans="1:2" x14ac:dyDescent="0.25">
      <c r="A250" t="s">
        <v>69</v>
      </c>
      <c r="B250" t="s">
        <v>70</v>
      </c>
    </row>
    <row r="251" spans="1:2" x14ac:dyDescent="0.25">
      <c r="A251" t="s">
        <v>71</v>
      </c>
      <c r="B251" t="s">
        <v>72</v>
      </c>
    </row>
    <row r="252" spans="1:2" x14ac:dyDescent="0.25">
      <c r="A252" t="s">
        <v>141</v>
      </c>
      <c r="B252" t="s">
        <v>142</v>
      </c>
    </row>
    <row r="253" spans="1:2" x14ac:dyDescent="0.25">
      <c r="A253" t="s">
        <v>143</v>
      </c>
      <c r="B253" t="s">
        <v>144</v>
      </c>
    </row>
    <row r="254" spans="1:2" x14ac:dyDescent="0.25">
      <c r="A254" t="s">
        <v>145</v>
      </c>
      <c r="B254" t="s">
        <v>47</v>
      </c>
    </row>
    <row r="255" spans="1:2" x14ac:dyDescent="0.25">
      <c r="A255" t="s">
        <v>386</v>
      </c>
      <c r="B255" t="s">
        <v>387</v>
      </c>
    </row>
    <row r="256" spans="1:2" x14ac:dyDescent="0.25">
      <c r="A256" t="s">
        <v>30</v>
      </c>
      <c r="B256" t="s">
        <v>149</v>
      </c>
    </row>
    <row r="257" spans="1:2" x14ac:dyDescent="0.25">
      <c r="A257" t="s">
        <v>33</v>
      </c>
      <c r="B257" t="s">
        <v>34</v>
      </c>
    </row>
    <row r="258" spans="1:2" x14ac:dyDescent="0.25">
      <c r="A258" t="s">
        <v>153</v>
      </c>
      <c r="B258" t="s">
        <v>154</v>
      </c>
    </row>
    <row r="259" spans="1:2" x14ac:dyDescent="0.25">
      <c r="A259" t="s">
        <v>155</v>
      </c>
      <c r="B259" t="s">
        <v>156</v>
      </c>
    </row>
    <row r="260" spans="1:2" x14ac:dyDescent="0.25">
      <c r="A260" t="s">
        <v>157</v>
      </c>
      <c r="B260" t="s">
        <v>150</v>
      </c>
    </row>
    <row r="261" spans="1:2" x14ac:dyDescent="0.25">
      <c r="A261" t="s">
        <v>3</v>
      </c>
      <c r="B261" t="s">
        <v>409</v>
      </c>
    </row>
    <row r="262" spans="1:2" x14ac:dyDescent="0.25">
      <c r="A262" t="s">
        <v>78</v>
      </c>
      <c r="B262" t="s">
        <v>79</v>
      </c>
    </row>
    <row r="263" spans="1:2" x14ac:dyDescent="0.25">
      <c r="A263" t="s">
        <v>80</v>
      </c>
      <c r="B263" t="s">
        <v>81</v>
      </c>
    </row>
    <row r="264" spans="1:2" x14ac:dyDescent="0.25">
      <c r="A264" t="s">
        <v>82</v>
      </c>
      <c r="B264" t="s">
        <v>83</v>
      </c>
    </row>
    <row r="265" spans="1:2" x14ac:dyDescent="0.25">
      <c r="A265" t="s">
        <v>84</v>
      </c>
      <c r="B265" t="s">
        <v>85</v>
      </c>
    </row>
    <row r="266" spans="1:2" x14ac:dyDescent="0.25">
      <c r="A266" t="s">
        <v>86</v>
      </c>
      <c r="B266" t="s">
        <v>213</v>
      </c>
    </row>
    <row r="267" spans="1:2" x14ac:dyDescent="0.25">
      <c r="A267" t="s">
        <v>29</v>
      </c>
      <c r="B267" t="s">
        <v>89</v>
      </c>
    </row>
    <row r="268" spans="1:2" x14ac:dyDescent="0.25">
      <c r="A268" t="s">
        <v>90</v>
      </c>
      <c r="B268" t="s">
        <v>0</v>
      </c>
    </row>
    <row r="269" spans="1:2" x14ac:dyDescent="0.25">
      <c r="A269" t="s">
        <v>95</v>
      </c>
      <c r="B269" t="s">
        <v>96</v>
      </c>
    </row>
    <row r="270" spans="1:2" x14ac:dyDescent="0.25">
      <c r="A270" t="s">
        <v>2</v>
      </c>
      <c r="B270" t="s">
        <v>103</v>
      </c>
    </row>
    <row r="271" spans="1:2" x14ac:dyDescent="0.25">
      <c r="A271" t="s">
        <v>7</v>
      </c>
      <c r="B271" t="s">
        <v>8</v>
      </c>
    </row>
    <row r="273" spans="1:2" x14ac:dyDescent="0.25">
      <c r="A273" t="s">
        <v>9</v>
      </c>
      <c r="B273" t="s">
        <v>162</v>
      </c>
    </row>
    <row r="274" spans="1:2" x14ac:dyDescent="0.25">
      <c r="A274" t="s">
        <v>163</v>
      </c>
      <c r="B274" t="s">
        <v>113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442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2891</v>
      </c>
      <c r="AF2">
        <v>4</v>
      </c>
      <c r="AH2" s="1" t="s">
        <v>656</v>
      </c>
      <c r="AK2">
        <v>515</v>
      </c>
      <c r="AL2">
        <v>223</v>
      </c>
      <c r="AM2" t="s">
        <v>2892</v>
      </c>
      <c r="AN2">
        <v>5</v>
      </c>
      <c r="AP2" s="1" t="s">
        <v>657</v>
      </c>
      <c r="AS2">
        <v>546</v>
      </c>
      <c r="AT2">
        <v>312</v>
      </c>
      <c r="AU2" t="s">
        <v>2893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2894</v>
      </c>
      <c r="BL2">
        <v>5</v>
      </c>
      <c r="BN2" s="1" t="s">
        <v>659</v>
      </c>
      <c r="BQ2">
        <v>523</v>
      </c>
      <c r="BR2">
        <v>293</v>
      </c>
      <c r="BS2" t="s">
        <v>2895</v>
      </c>
      <c r="BT2">
        <v>5</v>
      </c>
      <c r="BV2" s="1" t="s">
        <v>660</v>
      </c>
      <c r="BY2">
        <v>523</v>
      </c>
      <c r="BZ2">
        <v>195</v>
      </c>
      <c r="CA2" t="s">
        <v>2896</v>
      </c>
      <c r="CB2">
        <v>5</v>
      </c>
      <c r="CD2" s="1" t="s">
        <v>661</v>
      </c>
      <c r="CG2">
        <v>523</v>
      </c>
      <c r="CH2">
        <v>203</v>
      </c>
      <c r="CI2" t="s">
        <v>2897</v>
      </c>
      <c r="CJ2">
        <v>5</v>
      </c>
      <c r="CL2" s="1" t="s">
        <v>662</v>
      </c>
      <c r="CO2">
        <v>523</v>
      </c>
      <c r="CP2">
        <v>263</v>
      </c>
      <c r="CQ2" t="s">
        <v>2898</v>
      </c>
      <c r="CR2">
        <v>5</v>
      </c>
      <c r="CT2" s="1" t="s">
        <v>663</v>
      </c>
      <c r="CW2">
        <v>516</v>
      </c>
      <c r="CX2">
        <v>298</v>
      </c>
      <c r="CY2" t="s">
        <v>2899</v>
      </c>
      <c r="CZ2">
        <v>4</v>
      </c>
    </row>
    <row r="3" spans="1:104" x14ac:dyDescent="0.25">
      <c r="W3" t="str">
        <f>dbCorrelationTitle</f>
        <v>Korrelációanalízis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2900</v>
      </c>
      <c r="AH4">
        <v>2</v>
      </c>
      <c r="AI4">
        <v>412</v>
      </c>
      <c r="AJ4">
        <v>30</v>
      </c>
      <c r="AK4">
        <v>90</v>
      </c>
      <c r="AM4" t="s">
        <v>2900</v>
      </c>
      <c r="AP4">
        <v>2</v>
      </c>
      <c r="AQ4">
        <v>443</v>
      </c>
      <c r="AR4">
        <v>31</v>
      </c>
      <c r="AS4">
        <v>90</v>
      </c>
      <c r="AU4" t="s">
        <v>2900</v>
      </c>
      <c r="AX4">
        <v>2</v>
      </c>
      <c r="AY4">
        <v>418</v>
      </c>
      <c r="AZ4">
        <v>33</v>
      </c>
      <c r="BA4">
        <v>104</v>
      </c>
      <c r="BC4" t="s">
        <v>2900</v>
      </c>
      <c r="BF4">
        <v>2</v>
      </c>
      <c r="BG4">
        <v>407</v>
      </c>
      <c r="BH4">
        <v>30</v>
      </c>
      <c r="BI4">
        <v>90</v>
      </c>
      <c r="BK4" t="s">
        <v>2900</v>
      </c>
      <c r="BN4">
        <v>2</v>
      </c>
      <c r="BO4">
        <v>407</v>
      </c>
      <c r="BP4">
        <v>30</v>
      </c>
      <c r="BQ4">
        <v>90</v>
      </c>
      <c r="BS4" t="s">
        <v>2900</v>
      </c>
      <c r="BV4">
        <v>2</v>
      </c>
      <c r="BW4">
        <v>407</v>
      </c>
      <c r="BX4">
        <v>30</v>
      </c>
      <c r="BY4">
        <v>90</v>
      </c>
      <c r="CA4" t="s">
        <v>2900</v>
      </c>
      <c r="CD4">
        <v>2</v>
      </c>
      <c r="CE4">
        <v>407</v>
      </c>
      <c r="CF4">
        <v>30</v>
      </c>
      <c r="CG4">
        <v>90</v>
      </c>
      <c r="CI4" t="s">
        <v>2900</v>
      </c>
      <c r="CL4">
        <v>2</v>
      </c>
      <c r="CM4">
        <v>407</v>
      </c>
      <c r="CN4">
        <v>30</v>
      </c>
      <c r="CO4">
        <v>90</v>
      </c>
      <c r="CQ4" t="s">
        <v>2900</v>
      </c>
      <c r="CT4">
        <v>2</v>
      </c>
      <c r="CU4">
        <v>410</v>
      </c>
      <c r="CV4">
        <v>31</v>
      </c>
      <c r="CW4">
        <v>90</v>
      </c>
      <c r="CY4" t="s">
        <v>2900</v>
      </c>
    </row>
    <row r="5" spans="1:104" x14ac:dyDescent="0.25">
      <c r="T5">
        <v>0</v>
      </c>
      <c r="U5" t="str">
        <f>dbAnova1Title</f>
        <v>Egytényezős varianciaanalízis</v>
      </c>
      <c r="V5">
        <v>0</v>
      </c>
      <c r="W5" t="str">
        <f>dbAnova1Title</f>
        <v>Egytényezős varianciaanalízis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2901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2902</v>
      </c>
      <c r="AP5">
        <v>14</v>
      </c>
      <c r="AQ5">
        <v>7</v>
      </c>
      <c r="AR5">
        <v>4</v>
      </c>
      <c r="AS5">
        <v>420</v>
      </c>
      <c r="AT5">
        <v>112</v>
      </c>
      <c r="AU5" t="s">
        <v>2902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2903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2902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2902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2902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2902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2902</v>
      </c>
      <c r="CT5">
        <v>5</v>
      </c>
      <c r="CU5">
        <v>17</v>
      </c>
      <c r="CV5">
        <v>12</v>
      </c>
      <c r="CY5" t="s">
        <v>2904</v>
      </c>
    </row>
    <row r="6" spans="1:104" x14ac:dyDescent="0.25">
      <c r="T6">
        <v>1</v>
      </c>
      <c r="U6" t="str">
        <f>dbAnova2Title</f>
        <v>Kéttényezős varianciaanalízis ismétlésekkel</v>
      </c>
      <c r="V6">
        <v>1</v>
      </c>
      <c r="W6" t="str">
        <f>dbAnova2Title</f>
        <v>Kéttényezős varianciaanalízis ismétlésekkel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2905</v>
      </c>
      <c r="AP6">
        <v>5</v>
      </c>
      <c r="AQ6">
        <v>24</v>
      </c>
      <c r="AR6">
        <v>22</v>
      </c>
      <c r="AU6" t="s">
        <v>2906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2905</v>
      </c>
      <c r="BN6">
        <v>5</v>
      </c>
      <c r="BO6">
        <v>18</v>
      </c>
      <c r="BP6">
        <v>19</v>
      </c>
      <c r="BS6" t="s">
        <v>2905</v>
      </c>
      <c r="BV6">
        <v>5</v>
      </c>
      <c r="BW6">
        <v>18</v>
      </c>
      <c r="BX6">
        <v>19</v>
      </c>
      <c r="CA6" t="s">
        <v>2905</v>
      </c>
      <c r="CD6">
        <v>5</v>
      </c>
      <c r="CE6">
        <v>18</v>
      </c>
      <c r="CF6">
        <v>19</v>
      </c>
      <c r="CI6" t="s">
        <v>2907</v>
      </c>
      <c r="CL6">
        <v>5</v>
      </c>
      <c r="CM6">
        <v>18</v>
      </c>
      <c r="CN6">
        <v>19</v>
      </c>
      <c r="CQ6" t="s">
        <v>2905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Kéttényezős varianciaanalízis ismétlések nélkül</v>
      </c>
      <c r="V7">
        <v>2</v>
      </c>
      <c r="W7" t="str">
        <f>dbAnova3Title</f>
        <v>Kéttényezős varianciaanalízis ismétlések nélkül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166</v>
      </c>
      <c r="AV7" t="s">
        <v>316</v>
      </c>
      <c r="AX7">
        <v>12</v>
      </c>
      <c r="AY7">
        <v>18</v>
      </c>
      <c r="AZ7">
        <v>55</v>
      </c>
      <c r="BC7" t="s">
        <v>2908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2909</v>
      </c>
    </row>
    <row r="8" spans="1:104" x14ac:dyDescent="0.25">
      <c r="A8" t="s">
        <v>476</v>
      </c>
      <c r="B8" t="s">
        <v>2910</v>
      </c>
      <c r="T8">
        <v>3</v>
      </c>
      <c r="U8" t="str">
        <f>dbCorrelationTitle</f>
        <v>Korrelációanalízis</v>
      </c>
      <c r="V8">
        <v>3</v>
      </c>
      <c r="W8" t="str">
        <f>dbCorrelationTitle</f>
        <v>Korrelációanalízis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2911</v>
      </c>
      <c r="AP8">
        <v>5</v>
      </c>
      <c r="AQ8">
        <v>24</v>
      </c>
      <c r="AR8">
        <v>48</v>
      </c>
      <c r="AU8" t="s">
        <v>2912</v>
      </c>
      <c r="AX8">
        <v>12</v>
      </c>
      <c r="AZ8">
        <v>90</v>
      </c>
      <c r="BC8" t="s">
        <v>2913</v>
      </c>
      <c r="BF8">
        <v>5</v>
      </c>
      <c r="BG8">
        <v>18</v>
      </c>
      <c r="BH8">
        <v>44</v>
      </c>
      <c r="BK8" t="s">
        <v>2911</v>
      </c>
      <c r="BN8">
        <v>5</v>
      </c>
      <c r="BO8">
        <v>18</v>
      </c>
      <c r="BP8">
        <v>44</v>
      </c>
      <c r="BS8" t="s">
        <v>2911</v>
      </c>
      <c r="BV8">
        <v>5</v>
      </c>
      <c r="BW8">
        <v>17</v>
      </c>
      <c r="BX8">
        <v>40</v>
      </c>
      <c r="CA8" t="s">
        <v>2914</v>
      </c>
      <c r="CD8">
        <v>5</v>
      </c>
      <c r="CE8">
        <v>18</v>
      </c>
      <c r="CF8">
        <v>41</v>
      </c>
      <c r="CI8" t="s">
        <v>2915</v>
      </c>
      <c r="CL8">
        <v>13</v>
      </c>
      <c r="CM8">
        <v>18</v>
      </c>
      <c r="CN8">
        <v>39</v>
      </c>
      <c r="CQ8" t="s">
        <v>2916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2917</v>
      </c>
      <c r="T9">
        <v>4</v>
      </c>
      <c r="U9" t="str">
        <f>dbCovarianceTitle</f>
        <v>Kovarianciaanalízis</v>
      </c>
      <c r="V9">
        <v>4</v>
      </c>
      <c r="W9" t="str">
        <f>dbCovarianceTitle</f>
        <v>Kovarianciaanalízis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166</v>
      </c>
      <c r="AV9" t="s">
        <v>316</v>
      </c>
      <c r="AX9">
        <v>12</v>
      </c>
      <c r="AZ9">
        <v>110</v>
      </c>
      <c r="BC9" t="s">
        <v>2918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2919</v>
      </c>
      <c r="CT9">
        <v>5</v>
      </c>
      <c r="CU9">
        <v>17</v>
      </c>
      <c r="CV9">
        <v>63</v>
      </c>
      <c r="CY9" t="s">
        <v>2920</v>
      </c>
    </row>
    <row r="10" spans="1:104" x14ac:dyDescent="0.25">
      <c r="A10" t="s">
        <v>505</v>
      </c>
      <c r="B10" t="s">
        <v>2921</v>
      </c>
      <c r="T10">
        <v>5</v>
      </c>
      <c r="U10" t="str">
        <f>dbDescripTitle</f>
        <v>Leíró statisztika</v>
      </c>
      <c r="V10">
        <v>5</v>
      </c>
      <c r="W10" t="str">
        <f>dbDescripTitle</f>
        <v>Leíró statisztika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2922</v>
      </c>
      <c r="AP10">
        <v>13</v>
      </c>
      <c r="AQ10">
        <v>25</v>
      </c>
      <c r="AR10">
        <v>75</v>
      </c>
      <c r="AU10" t="s">
        <v>2916</v>
      </c>
      <c r="AV10" t="b">
        <v>0</v>
      </c>
      <c r="AX10">
        <v>12</v>
      </c>
      <c r="AZ10">
        <v>130</v>
      </c>
      <c r="BC10" t="s">
        <v>2923</v>
      </c>
      <c r="BF10">
        <v>12</v>
      </c>
      <c r="BG10">
        <v>220</v>
      </c>
      <c r="BH10">
        <v>40</v>
      </c>
      <c r="BK10" t="s">
        <v>2922</v>
      </c>
      <c r="BN10">
        <v>12</v>
      </c>
      <c r="BO10">
        <v>220</v>
      </c>
      <c r="BP10">
        <v>40</v>
      </c>
      <c r="BS10" t="s">
        <v>2922</v>
      </c>
      <c r="BV10">
        <v>13</v>
      </c>
      <c r="BW10">
        <v>17</v>
      </c>
      <c r="BX10">
        <v>60</v>
      </c>
      <c r="CA10" t="s">
        <v>2916</v>
      </c>
      <c r="CB10" t="b">
        <v>0</v>
      </c>
      <c r="CD10">
        <v>13</v>
      </c>
      <c r="CE10">
        <v>18</v>
      </c>
      <c r="CF10">
        <v>64</v>
      </c>
      <c r="CI10" t="s">
        <v>2916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2924</v>
      </c>
      <c r="T11">
        <v>6</v>
      </c>
      <c r="U11" t="str">
        <f>dbExponentTitle</f>
        <v>Exponenciális simítás</v>
      </c>
      <c r="V11">
        <v>6</v>
      </c>
      <c r="W11" t="str">
        <f>dbExponentTitle</f>
        <v>Exponenciális simítás</v>
      </c>
      <c r="X11" t="s">
        <v>452</v>
      </c>
      <c r="Y11" s="1" t="s">
        <v>660</v>
      </c>
      <c r="AH11">
        <v>12</v>
      </c>
      <c r="AM11" t="s">
        <v>2925</v>
      </c>
      <c r="AP11">
        <v>13</v>
      </c>
      <c r="AQ11">
        <v>190</v>
      </c>
      <c r="AR11">
        <v>75</v>
      </c>
      <c r="AU11" t="s">
        <v>2926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2927</v>
      </c>
      <c r="BF11">
        <v>12</v>
      </c>
      <c r="BK11" t="s">
        <v>2925</v>
      </c>
      <c r="BN11">
        <v>12</v>
      </c>
      <c r="BS11" t="s">
        <v>2925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2903</v>
      </c>
      <c r="CD11">
        <v>5</v>
      </c>
      <c r="CE11">
        <v>18</v>
      </c>
      <c r="CF11">
        <v>85</v>
      </c>
      <c r="CI11" t="s">
        <v>1019</v>
      </c>
      <c r="CL11">
        <v>12</v>
      </c>
      <c r="CM11">
        <v>18</v>
      </c>
      <c r="CN11">
        <v>82</v>
      </c>
      <c r="CQ11" t="s">
        <v>2928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2929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Kétmintás F-próba a szórásnégyzetre</v>
      </c>
      <c r="V12">
        <v>7</v>
      </c>
      <c r="W12" t="str">
        <f>dbFTestTitle</f>
        <v>Kétmintás F-próba a szórásnégyzetre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2924</v>
      </c>
      <c r="AN12" t="b">
        <v>0</v>
      </c>
      <c r="AP12">
        <v>113</v>
      </c>
      <c r="AQ12">
        <v>25</v>
      </c>
      <c r="AR12">
        <v>93</v>
      </c>
      <c r="AU12" t="s">
        <v>2930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2931</v>
      </c>
      <c r="BF12">
        <v>13</v>
      </c>
      <c r="BG12">
        <v>20</v>
      </c>
      <c r="BH12">
        <v>75</v>
      </c>
      <c r="BK12" t="s">
        <v>2924</v>
      </c>
      <c r="BL12" t="b">
        <v>0</v>
      </c>
      <c r="BN12">
        <v>13</v>
      </c>
      <c r="BO12">
        <v>18</v>
      </c>
      <c r="BP12">
        <v>75</v>
      </c>
      <c r="BS12" t="s">
        <v>2924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2932</v>
      </c>
      <c r="CT12">
        <v>5</v>
      </c>
      <c r="CZ12" t="s">
        <v>332</v>
      </c>
    </row>
    <row r="13" spans="1:104" x14ac:dyDescent="0.25">
      <c r="A13" t="s">
        <v>333</v>
      </c>
      <c r="B13" t="s">
        <v>2933</v>
      </c>
      <c r="T13">
        <v>8</v>
      </c>
      <c r="U13" t="str">
        <f>dbFourierTitle</f>
        <v>Fourier-analízis</v>
      </c>
      <c r="V13">
        <v>8</v>
      </c>
      <c r="W13" t="str">
        <f>dbFourierTitle</f>
        <v>Fourier-analízis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1019</v>
      </c>
      <c r="AP13">
        <v>208</v>
      </c>
      <c r="AQ13">
        <v>233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2903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2903</v>
      </c>
      <c r="BV13">
        <v>5</v>
      </c>
      <c r="BW13">
        <v>17</v>
      </c>
      <c r="BX13">
        <v>99</v>
      </c>
      <c r="CA13" t="s">
        <v>2934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2903</v>
      </c>
      <c r="CL13">
        <v>5</v>
      </c>
      <c r="CM13">
        <v>42</v>
      </c>
      <c r="CN13">
        <v>103</v>
      </c>
      <c r="CQ13" t="s">
        <v>2935</v>
      </c>
      <c r="CT13">
        <v>5</v>
      </c>
    </row>
    <row r="14" spans="1:104" x14ac:dyDescent="0.25">
      <c r="A14" t="s">
        <v>404</v>
      </c>
      <c r="B14" t="s">
        <v>2936</v>
      </c>
      <c r="T14">
        <v>9</v>
      </c>
      <c r="U14" t="str">
        <f>dbHistogramTitle</f>
        <v>Hisztogram</v>
      </c>
      <c r="V14">
        <v>9</v>
      </c>
      <c r="W14" t="str">
        <f>dbHistogramTitle</f>
        <v>Hisztogram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294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2937</v>
      </c>
      <c r="T15">
        <v>10</v>
      </c>
      <c r="U15" t="str">
        <f>dbMovingTitle</f>
        <v>Mozgóátlag</v>
      </c>
      <c r="V15">
        <v>10</v>
      </c>
      <c r="W15" t="str">
        <f>dbMovingTitle</f>
        <v>Mozgóátlag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2903</v>
      </c>
      <c r="AP15">
        <v>14</v>
      </c>
      <c r="AQ15">
        <v>7</v>
      </c>
      <c r="AR15">
        <v>124</v>
      </c>
      <c r="AS15">
        <v>420</v>
      </c>
      <c r="AT15">
        <v>179</v>
      </c>
      <c r="AU15" t="s">
        <v>2903</v>
      </c>
      <c r="AX15">
        <v>24</v>
      </c>
      <c r="AY15">
        <v>418</v>
      </c>
      <c r="AZ15">
        <v>66</v>
      </c>
      <c r="BA15">
        <v>104</v>
      </c>
      <c r="BC15" t="s">
        <v>2938</v>
      </c>
      <c r="BF15">
        <v>12</v>
      </c>
      <c r="BG15">
        <v>20</v>
      </c>
      <c r="BH15">
        <v>120</v>
      </c>
      <c r="BK15" t="s">
        <v>2934</v>
      </c>
      <c r="BN15">
        <v>12</v>
      </c>
      <c r="BO15">
        <v>18</v>
      </c>
      <c r="BP15">
        <v>127</v>
      </c>
      <c r="BS15" t="s">
        <v>2934</v>
      </c>
      <c r="BV15">
        <v>205</v>
      </c>
      <c r="BW15">
        <v>17</v>
      </c>
      <c r="BX15">
        <v>119</v>
      </c>
      <c r="CA15" t="s">
        <v>2918</v>
      </c>
      <c r="CD15">
        <v>12</v>
      </c>
      <c r="CE15">
        <v>18</v>
      </c>
      <c r="CF15">
        <v>132</v>
      </c>
      <c r="CI15" t="s">
        <v>2934</v>
      </c>
      <c r="CL15">
        <v>5</v>
      </c>
      <c r="CM15">
        <v>42</v>
      </c>
      <c r="CN15">
        <v>146</v>
      </c>
      <c r="CQ15" t="s">
        <v>2939</v>
      </c>
      <c r="CT15">
        <v>5</v>
      </c>
    </row>
    <row r="16" spans="1:104" x14ac:dyDescent="0.25">
      <c r="A16" t="s">
        <v>526</v>
      </c>
      <c r="B16" t="s">
        <v>2940</v>
      </c>
      <c r="T16">
        <v>11</v>
      </c>
      <c r="U16" t="str">
        <f>dbRandomTitle</f>
        <v>Véletlenszám-generálás</v>
      </c>
      <c r="V16">
        <v>11</v>
      </c>
      <c r="W16" t="str">
        <f>dbRandomTitle</f>
        <v>Véletlenszám-generálás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2918</v>
      </c>
      <c r="BN16">
        <v>12</v>
      </c>
      <c r="BP16">
        <v>147</v>
      </c>
      <c r="BS16" t="s">
        <v>2918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2918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2941</v>
      </c>
      <c r="T17">
        <v>12</v>
      </c>
      <c r="U17" t="str">
        <f>dbRankPerTitle</f>
        <v>Rangsor és százalékos rangsor</v>
      </c>
      <c r="V17">
        <v>12</v>
      </c>
      <c r="W17" t="str">
        <f>dbRankPerTitle</f>
        <v>Rangsor és százalékos rangsor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2934</v>
      </c>
      <c r="AP17">
        <v>12</v>
      </c>
      <c r="AQ17">
        <v>24</v>
      </c>
      <c r="AR17">
        <v>142</v>
      </c>
      <c r="AU17" t="s">
        <v>2934</v>
      </c>
      <c r="BF17">
        <v>12</v>
      </c>
      <c r="BH17">
        <v>160</v>
      </c>
      <c r="BK17" t="s">
        <v>2923</v>
      </c>
      <c r="BN17">
        <v>12</v>
      </c>
      <c r="BP17">
        <v>167</v>
      </c>
      <c r="BS17" t="s">
        <v>2923</v>
      </c>
      <c r="BV17">
        <v>205</v>
      </c>
      <c r="BW17">
        <v>17</v>
      </c>
      <c r="BX17">
        <v>139</v>
      </c>
      <c r="CA17" t="s">
        <v>2923</v>
      </c>
      <c r="CD17">
        <v>12</v>
      </c>
      <c r="CF17">
        <v>172</v>
      </c>
      <c r="CI17" t="s">
        <v>2923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2903</v>
      </c>
      <c r="CT17">
        <v>5</v>
      </c>
    </row>
    <row r="18" spans="1:104" x14ac:dyDescent="0.25">
      <c r="A18" t="s">
        <v>531</v>
      </c>
      <c r="B18" t="s">
        <v>2942</v>
      </c>
      <c r="T18">
        <v>13</v>
      </c>
      <c r="U18" t="str">
        <f>dbRegressionTitle</f>
        <v>Regresszió</v>
      </c>
      <c r="V18">
        <v>13</v>
      </c>
      <c r="W18" t="str">
        <f>dbRegressionTitle</f>
        <v>Regresszió</v>
      </c>
      <c r="X18" t="s">
        <v>448</v>
      </c>
      <c r="Y18" s="1" t="s">
        <v>657</v>
      </c>
      <c r="AH18">
        <v>12</v>
      </c>
      <c r="AJ18">
        <v>169</v>
      </c>
      <c r="AM18" t="s">
        <v>2918</v>
      </c>
      <c r="AP18">
        <v>12</v>
      </c>
      <c r="AR18">
        <v>162</v>
      </c>
      <c r="AU18" t="s">
        <v>2918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2943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2944</v>
      </c>
      <c r="T19">
        <v>14</v>
      </c>
      <c r="U19" t="str">
        <f>dbSamplingTitle</f>
        <v>Mintavétel</v>
      </c>
      <c r="V19">
        <v>14</v>
      </c>
      <c r="W19" t="str">
        <f>dbSamplingTitle</f>
        <v>Mintavétel</v>
      </c>
      <c r="X19" t="s">
        <v>585</v>
      </c>
      <c r="Y19" s="1" t="s">
        <v>662</v>
      </c>
      <c r="AH19">
        <v>12</v>
      </c>
      <c r="AJ19">
        <v>189</v>
      </c>
      <c r="AM19" t="s">
        <v>2923</v>
      </c>
      <c r="AP19">
        <v>12</v>
      </c>
      <c r="AR19">
        <v>182</v>
      </c>
      <c r="AU19" t="s">
        <v>2923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2945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2934</v>
      </c>
      <c r="CT19">
        <v>5</v>
      </c>
    </row>
    <row r="20" spans="1:104" x14ac:dyDescent="0.25">
      <c r="A20" t="s">
        <v>343</v>
      </c>
      <c r="B20" t="s">
        <v>2946</v>
      </c>
      <c r="T20">
        <v>15</v>
      </c>
      <c r="U20" t="str">
        <f>dbTTest1Title</f>
        <v>Kétmintás párosított t-próba a várható értékre</v>
      </c>
      <c r="V20">
        <v>15</v>
      </c>
      <c r="W20" t="str">
        <f>dbTTest1Title</f>
        <v>Kétmintás párosított t-próba a várható értékre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166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2947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2918</v>
      </c>
      <c r="CT20">
        <v>5</v>
      </c>
    </row>
    <row r="21" spans="1:104" x14ac:dyDescent="0.25">
      <c r="A21" t="s">
        <v>346</v>
      </c>
      <c r="B21" t="s">
        <v>2948</v>
      </c>
      <c r="T21">
        <v>16</v>
      </c>
      <c r="U21" t="str">
        <f>dbTTest2Title</f>
        <v>Kétmintás t-próba egyenlő szórásnégyzeteknél</v>
      </c>
      <c r="V21">
        <v>16</v>
      </c>
      <c r="W21" t="str">
        <f>dbTTest2Title</f>
        <v>Kétmintás t-próba egyenlő szórásnégyzeteknél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166</v>
      </c>
      <c r="BN21">
        <v>113</v>
      </c>
      <c r="BO21">
        <v>18</v>
      </c>
      <c r="BP21">
        <v>209</v>
      </c>
      <c r="BS21" t="s">
        <v>2949</v>
      </c>
      <c r="BT21" t="b">
        <v>0</v>
      </c>
      <c r="CL21">
        <v>12</v>
      </c>
      <c r="CN21">
        <v>230</v>
      </c>
      <c r="CQ21" t="s">
        <v>2923</v>
      </c>
      <c r="CT21">
        <v>5</v>
      </c>
    </row>
    <row r="22" spans="1:104" x14ac:dyDescent="0.25">
      <c r="A22" t="s">
        <v>440</v>
      </c>
      <c r="B22" t="s">
        <v>2892</v>
      </c>
      <c r="T22">
        <v>17</v>
      </c>
      <c r="U22" t="str">
        <f>dbTTest3Title</f>
        <v>Kétmintás t-próba nem-egyenlő szórásnégyzeteknél</v>
      </c>
      <c r="V22">
        <v>17</v>
      </c>
      <c r="W22" t="str">
        <f>dbTTest3Title</f>
        <v>Kétmintás t-próba nem-egyenlő szórásnégyzeteknél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397</v>
      </c>
      <c r="AT22">
        <v>53</v>
      </c>
      <c r="AU22" t="s">
        <v>2950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2951</v>
      </c>
    </row>
    <row r="23" spans="1:104" x14ac:dyDescent="0.25">
      <c r="A23" t="s">
        <v>443</v>
      </c>
      <c r="B23" t="s">
        <v>2952</v>
      </c>
      <c r="T23">
        <v>18</v>
      </c>
      <c r="U23" t="str">
        <f>dbZTestTitle</f>
        <v>Kétmintás z-próba a várható értékre</v>
      </c>
      <c r="V23">
        <v>18</v>
      </c>
      <c r="W23" t="str">
        <f>dbZTestTitle</f>
        <v>Kétmintás z-próba a várható értékre</v>
      </c>
      <c r="X23" t="s">
        <v>357</v>
      </c>
      <c r="Y23" s="1" t="s">
        <v>674</v>
      </c>
      <c r="AP23">
        <v>13</v>
      </c>
      <c r="AR23">
        <v>216</v>
      </c>
      <c r="AU23" t="s">
        <v>2953</v>
      </c>
      <c r="AV23" t="b">
        <v>0</v>
      </c>
      <c r="BF23" s="1" t="s">
        <v>666</v>
      </c>
      <c r="BI23">
        <v>523</v>
      </c>
      <c r="BJ23">
        <v>191</v>
      </c>
      <c r="BK23" t="s">
        <v>2954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339</v>
      </c>
    </row>
    <row r="24" spans="1:104" x14ac:dyDescent="0.25">
      <c r="A24" t="s">
        <v>360</v>
      </c>
      <c r="B24" t="s">
        <v>2955</v>
      </c>
      <c r="X24" t="s">
        <v>551</v>
      </c>
      <c r="AP24">
        <v>13</v>
      </c>
      <c r="AR24">
        <v>231</v>
      </c>
      <c r="AU24" t="s">
        <v>2956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2957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2958</v>
      </c>
    </row>
    <row r="25" spans="1:104" x14ac:dyDescent="0.25">
      <c r="A25" t="s">
        <v>552</v>
      </c>
      <c r="B25" t="s">
        <v>2959</v>
      </c>
      <c r="X25" t="s">
        <v>554</v>
      </c>
      <c r="AH25" t="s">
        <v>614</v>
      </c>
      <c r="AP25">
        <v>13</v>
      </c>
      <c r="AQ25">
        <v>219</v>
      </c>
      <c r="AR25">
        <v>216</v>
      </c>
      <c r="AU25" t="s">
        <v>2960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2900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2961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2962</v>
      </c>
      <c r="X26" t="s">
        <v>376</v>
      </c>
      <c r="AH26" s="1" t="s">
        <v>664</v>
      </c>
      <c r="AK26">
        <v>509</v>
      </c>
      <c r="AL26">
        <v>187</v>
      </c>
      <c r="AM26" t="s">
        <v>2952</v>
      </c>
      <c r="AN26">
        <v>5</v>
      </c>
      <c r="AP26">
        <v>13</v>
      </c>
      <c r="AR26">
        <v>231</v>
      </c>
      <c r="AU26" t="s">
        <v>2963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2902</v>
      </c>
      <c r="BN26">
        <v>113</v>
      </c>
      <c r="BO26">
        <v>18</v>
      </c>
      <c r="BP26">
        <v>247</v>
      </c>
      <c r="BS26" t="s">
        <v>2964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2903</v>
      </c>
    </row>
    <row r="27" spans="1:104" x14ac:dyDescent="0.25">
      <c r="A27" t="s">
        <v>377</v>
      </c>
      <c r="B27" t="s">
        <v>2965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397</v>
      </c>
      <c r="AT27">
        <v>35</v>
      </c>
      <c r="AU27" t="s">
        <v>2966</v>
      </c>
      <c r="BF27">
        <v>5</v>
      </c>
      <c r="BG27">
        <v>18</v>
      </c>
      <c r="BH27">
        <v>19</v>
      </c>
      <c r="BK27" t="s">
        <v>2905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2900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2967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2900</v>
      </c>
      <c r="AP28">
        <v>13</v>
      </c>
      <c r="AR28">
        <v>270</v>
      </c>
      <c r="AU28" t="s">
        <v>2968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2902</v>
      </c>
      <c r="CT28">
        <v>12</v>
      </c>
      <c r="CU28">
        <v>17</v>
      </c>
      <c r="CV28">
        <v>225</v>
      </c>
      <c r="CY28" t="s">
        <v>2934</v>
      </c>
    </row>
    <row r="29" spans="1:104" x14ac:dyDescent="0.25">
      <c r="A29" t="s">
        <v>383</v>
      </c>
      <c r="B29" t="s">
        <v>2969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2902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2911</v>
      </c>
      <c r="CD29">
        <v>5</v>
      </c>
      <c r="CE29">
        <v>17</v>
      </c>
      <c r="CF29">
        <v>18</v>
      </c>
      <c r="CI29" t="s">
        <v>2907</v>
      </c>
      <c r="CT29">
        <v>12</v>
      </c>
      <c r="CV29">
        <v>245</v>
      </c>
      <c r="CY29" t="s">
        <v>2918</v>
      </c>
    </row>
    <row r="30" spans="1:104" x14ac:dyDescent="0.25">
      <c r="A30" t="s">
        <v>600</v>
      </c>
      <c r="B30" t="s">
        <v>2970</v>
      </c>
      <c r="X30" t="s">
        <v>332</v>
      </c>
      <c r="AH30">
        <v>5</v>
      </c>
      <c r="AI30">
        <v>20</v>
      </c>
      <c r="AJ30">
        <v>19</v>
      </c>
      <c r="AM30" t="s">
        <v>2905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2923</v>
      </c>
    </row>
    <row r="31" spans="1:104" x14ac:dyDescent="0.25">
      <c r="A31" t="s">
        <v>602</v>
      </c>
      <c r="B31" t="s">
        <v>2971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2922</v>
      </c>
      <c r="CD31">
        <v>5</v>
      </c>
      <c r="CE31">
        <v>17</v>
      </c>
      <c r="CF31">
        <v>41</v>
      </c>
      <c r="CI31" t="s">
        <v>2915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2972</v>
      </c>
      <c r="AH32">
        <v>5</v>
      </c>
      <c r="AI32">
        <v>20</v>
      </c>
      <c r="AJ32">
        <v>45</v>
      </c>
      <c r="AM32" t="s">
        <v>2973</v>
      </c>
      <c r="BF32">
        <v>12</v>
      </c>
      <c r="BK32" t="s">
        <v>2925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2924</v>
      </c>
      <c r="BL33" t="b">
        <v>0</v>
      </c>
      <c r="CD33">
        <v>5</v>
      </c>
      <c r="CE33">
        <v>17</v>
      </c>
      <c r="CF33">
        <v>70</v>
      </c>
      <c r="CI33" t="s">
        <v>2974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1019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2903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2916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2903</v>
      </c>
      <c r="BF36">
        <v>12</v>
      </c>
      <c r="BG36">
        <v>18</v>
      </c>
      <c r="BH36">
        <v>120</v>
      </c>
      <c r="BK36" t="s">
        <v>2934</v>
      </c>
      <c r="CD36">
        <v>5</v>
      </c>
      <c r="CE36">
        <v>17</v>
      </c>
      <c r="CF36">
        <v>114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2975</v>
      </c>
      <c r="AH37">
        <v>111</v>
      </c>
      <c r="AN37">
        <v>2</v>
      </c>
      <c r="BF37">
        <v>12</v>
      </c>
      <c r="BH37">
        <v>140</v>
      </c>
      <c r="BK37" t="s">
        <v>2918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2976</v>
      </c>
      <c r="AH38">
        <v>12</v>
      </c>
      <c r="AI38">
        <v>20</v>
      </c>
      <c r="AJ38">
        <v>115</v>
      </c>
      <c r="AM38" t="s">
        <v>2934</v>
      </c>
      <c r="BF38">
        <v>12</v>
      </c>
      <c r="BH38">
        <v>160</v>
      </c>
      <c r="BK38" t="s">
        <v>2923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2903</v>
      </c>
      <c r="CT38">
        <v>5</v>
      </c>
    </row>
    <row r="39" spans="1:104" x14ac:dyDescent="0.25">
      <c r="A39" t="s">
        <v>488</v>
      </c>
      <c r="B39" t="s">
        <v>2977</v>
      </c>
      <c r="AH39">
        <v>12</v>
      </c>
      <c r="AJ39">
        <v>135</v>
      </c>
      <c r="AM39" t="s">
        <v>2918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2978</v>
      </c>
      <c r="AH40">
        <v>12</v>
      </c>
      <c r="AJ40">
        <v>155</v>
      </c>
      <c r="AM40" t="s">
        <v>2923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2934</v>
      </c>
      <c r="CT40">
        <v>5</v>
      </c>
    </row>
    <row r="41" spans="1:104" x14ac:dyDescent="0.25">
      <c r="A41" t="s">
        <v>492</v>
      </c>
      <c r="B41" t="s">
        <v>2979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2918</v>
      </c>
      <c r="CT41">
        <v>5</v>
      </c>
    </row>
    <row r="42" spans="1:104" x14ac:dyDescent="0.25">
      <c r="A42" t="s">
        <v>494</v>
      </c>
      <c r="B42" t="s">
        <v>2980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2923</v>
      </c>
      <c r="CT42">
        <v>5</v>
      </c>
    </row>
    <row r="43" spans="1:104" x14ac:dyDescent="0.25">
      <c r="A43" t="s">
        <v>496</v>
      </c>
      <c r="B43" t="s">
        <v>2981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2982</v>
      </c>
      <c r="BF44" s="1" t="s">
        <v>670</v>
      </c>
      <c r="BI44">
        <v>523</v>
      </c>
      <c r="BJ44">
        <v>191</v>
      </c>
      <c r="BK44" t="s">
        <v>2983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88</v>
      </c>
      <c r="CV44">
        <v>114</v>
      </c>
      <c r="CY44" t="s">
        <v>2984</v>
      </c>
    </row>
    <row r="45" spans="1:104" x14ac:dyDescent="0.25">
      <c r="A45" t="s">
        <v>422</v>
      </c>
      <c r="B45" t="s">
        <v>2985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25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2986</v>
      </c>
      <c r="BF46">
        <v>2</v>
      </c>
      <c r="BG46">
        <v>407</v>
      </c>
      <c r="BH46">
        <v>30</v>
      </c>
      <c r="BI46">
        <v>90</v>
      </c>
      <c r="BK46" t="s">
        <v>2900</v>
      </c>
      <c r="CT46">
        <v>5</v>
      </c>
      <c r="CU46">
        <v>224</v>
      </c>
      <c r="CV46">
        <v>114</v>
      </c>
      <c r="CY46" t="s">
        <v>2987</v>
      </c>
    </row>
    <row r="47" spans="1:104" x14ac:dyDescent="0.25">
      <c r="A47" t="s">
        <v>427</v>
      </c>
      <c r="B47" t="s">
        <v>2988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2902</v>
      </c>
      <c r="CT47">
        <v>8</v>
      </c>
      <c r="CU47">
        <v>160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2989</v>
      </c>
      <c r="AH48" s="1" t="s">
        <v>665</v>
      </c>
      <c r="AK48">
        <v>523</v>
      </c>
      <c r="AL48">
        <v>185</v>
      </c>
      <c r="AM48" t="s">
        <v>2955</v>
      </c>
      <c r="AN48">
        <v>5</v>
      </c>
      <c r="BF48">
        <v>5</v>
      </c>
      <c r="BG48">
        <v>18</v>
      </c>
      <c r="BH48">
        <v>19</v>
      </c>
      <c r="BK48" t="s">
        <v>2905</v>
      </c>
    </row>
    <row r="49" spans="1:104" x14ac:dyDescent="0.25">
      <c r="A49" t="s">
        <v>431</v>
      </c>
      <c r="B49" t="s">
        <v>2895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2990</v>
      </c>
      <c r="AH50">
        <v>2</v>
      </c>
      <c r="AI50">
        <v>407</v>
      </c>
      <c r="AJ50">
        <v>30</v>
      </c>
      <c r="AK50">
        <v>90</v>
      </c>
      <c r="AM50" t="s">
        <v>2900</v>
      </c>
      <c r="BF50">
        <v>5</v>
      </c>
      <c r="BG50">
        <v>18</v>
      </c>
      <c r="BH50">
        <v>44</v>
      </c>
      <c r="BK50" t="s">
        <v>2911</v>
      </c>
      <c r="CD50" s="1" t="s">
        <v>672</v>
      </c>
      <c r="CG50">
        <v>550</v>
      </c>
      <c r="CH50">
        <v>227</v>
      </c>
      <c r="CI50" t="s">
        <v>2991</v>
      </c>
      <c r="CJ50">
        <v>5</v>
      </c>
      <c r="CT50">
        <v>5</v>
      </c>
      <c r="CU50">
        <v>17</v>
      </c>
      <c r="CV50">
        <v>101</v>
      </c>
      <c r="CY50" t="s">
        <v>2992</v>
      </c>
      <c r="CZ50" t="s">
        <v>599</v>
      </c>
    </row>
    <row r="51" spans="1:104" x14ac:dyDescent="0.25">
      <c r="A51" t="s">
        <v>439</v>
      </c>
      <c r="B51" t="s">
        <v>2993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2902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1083</v>
      </c>
      <c r="AH52">
        <v>5</v>
      </c>
      <c r="AI52">
        <v>18</v>
      </c>
      <c r="AJ52">
        <v>19</v>
      </c>
      <c r="AM52" t="s">
        <v>2905</v>
      </c>
      <c r="BF52">
        <v>12</v>
      </c>
      <c r="BG52">
        <v>220</v>
      </c>
      <c r="BH52">
        <v>40</v>
      </c>
      <c r="BK52" t="s">
        <v>2922</v>
      </c>
      <c r="CD52">
        <v>2</v>
      </c>
      <c r="CE52">
        <v>440</v>
      </c>
      <c r="CF52">
        <v>30</v>
      </c>
      <c r="CG52">
        <v>90</v>
      </c>
      <c r="CI52" t="s">
        <v>2900</v>
      </c>
      <c r="CT52">
        <v>5</v>
      </c>
      <c r="CU52">
        <v>132</v>
      </c>
      <c r="CV52">
        <v>101</v>
      </c>
      <c r="CY52" t="s">
        <v>2994</v>
      </c>
    </row>
    <row r="53" spans="1:104" x14ac:dyDescent="0.25">
      <c r="A53" t="s">
        <v>338</v>
      </c>
      <c r="B53" t="s">
        <v>2995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2925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2902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2996</v>
      </c>
      <c r="AH54">
        <v>13</v>
      </c>
      <c r="AI54">
        <v>19</v>
      </c>
      <c r="AJ54">
        <v>41</v>
      </c>
      <c r="AM54" t="s">
        <v>2916</v>
      </c>
      <c r="AN54" t="b">
        <v>0</v>
      </c>
      <c r="BF54">
        <v>13</v>
      </c>
      <c r="BG54">
        <v>18</v>
      </c>
      <c r="BH54">
        <v>75</v>
      </c>
      <c r="BK54" t="s">
        <v>2924</v>
      </c>
      <c r="BL54" t="b">
        <v>0</v>
      </c>
      <c r="CD54">
        <v>5</v>
      </c>
      <c r="CE54">
        <v>17</v>
      </c>
      <c r="CF54">
        <v>18</v>
      </c>
      <c r="CI54" t="s">
        <v>2907</v>
      </c>
      <c r="CT54">
        <v>5</v>
      </c>
      <c r="CU54">
        <v>232</v>
      </c>
      <c r="CV54">
        <v>101</v>
      </c>
      <c r="CY54" t="s">
        <v>2997</v>
      </c>
    </row>
    <row r="55" spans="1:104" x14ac:dyDescent="0.25">
      <c r="A55" t="s">
        <v>177</v>
      </c>
      <c r="B55" t="s">
        <v>2998</v>
      </c>
      <c r="AH55">
        <v>5</v>
      </c>
      <c r="AI55">
        <v>20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2903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2999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2915</v>
      </c>
      <c r="CT56">
        <v>5</v>
      </c>
      <c r="CU56">
        <v>17</v>
      </c>
      <c r="CV56">
        <v>131</v>
      </c>
      <c r="CY56" t="s">
        <v>3000</v>
      </c>
    </row>
    <row r="57" spans="1:104" x14ac:dyDescent="0.25">
      <c r="A57" t="s">
        <v>557</v>
      </c>
      <c r="B57" t="s">
        <v>3001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2903</v>
      </c>
      <c r="BF57">
        <v>12</v>
      </c>
      <c r="BG57">
        <v>18</v>
      </c>
      <c r="BH57">
        <v>120</v>
      </c>
      <c r="BK57" t="s">
        <v>2934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156</v>
      </c>
      <c r="CV57">
        <v>129</v>
      </c>
      <c r="CW57">
        <v>60</v>
      </c>
    </row>
    <row r="58" spans="1:104" x14ac:dyDescent="0.25">
      <c r="A58" t="s">
        <v>559</v>
      </c>
      <c r="B58" t="s">
        <v>3002</v>
      </c>
      <c r="AH58">
        <v>111</v>
      </c>
      <c r="AN58">
        <v>2</v>
      </c>
      <c r="BF58">
        <v>12</v>
      </c>
      <c r="BH58">
        <v>140</v>
      </c>
      <c r="BK58" t="s">
        <v>2918</v>
      </c>
      <c r="CD58">
        <v>5</v>
      </c>
      <c r="CE58">
        <v>17</v>
      </c>
      <c r="CF58">
        <v>70</v>
      </c>
      <c r="CI58" t="s">
        <v>2974</v>
      </c>
      <c r="CT58">
        <v>5</v>
      </c>
      <c r="CU58">
        <v>220</v>
      </c>
      <c r="CV58">
        <v>131</v>
      </c>
      <c r="CY58" t="s">
        <v>3003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2934</v>
      </c>
      <c r="BF59">
        <v>12</v>
      </c>
      <c r="BH59">
        <v>160</v>
      </c>
      <c r="BK59" t="s">
        <v>2923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3004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2918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2916</v>
      </c>
      <c r="CJ60" t="b">
        <v>0</v>
      </c>
      <c r="CT60">
        <v>7</v>
      </c>
      <c r="CU60">
        <v>156</v>
      </c>
      <c r="CV60">
        <v>151</v>
      </c>
      <c r="CW60">
        <v>60</v>
      </c>
    </row>
    <row r="61" spans="1:104" x14ac:dyDescent="0.25">
      <c r="A61" t="s">
        <v>566</v>
      </c>
      <c r="B61" t="s">
        <v>3005</v>
      </c>
      <c r="AH61">
        <v>12</v>
      </c>
      <c r="AJ61">
        <v>147</v>
      </c>
      <c r="AM61" t="s">
        <v>2923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1019</v>
      </c>
      <c r="CT61">
        <v>5</v>
      </c>
      <c r="CU61">
        <v>220</v>
      </c>
      <c r="CV61">
        <v>153</v>
      </c>
      <c r="CY61" t="s">
        <v>3003</v>
      </c>
    </row>
    <row r="62" spans="1:104" x14ac:dyDescent="0.25">
      <c r="A62" t="s">
        <v>568</v>
      </c>
      <c r="B62" t="s">
        <v>3006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3007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2903</v>
      </c>
      <c r="CT63" t="s">
        <v>554</v>
      </c>
    </row>
    <row r="64" spans="1:104" x14ac:dyDescent="0.25">
      <c r="A64" t="s">
        <v>572</v>
      </c>
      <c r="B64" t="s">
        <v>2894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2954</v>
      </c>
      <c r="CD65">
        <v>12</v>
      </c>
      <c r="CE65">
        <v>17</v>
      </c>
      <c r="CF65">
        <v>156</v>
      </c>
      <c r="CI65" t="s">
        <v>2934</v>
      </c>
      <c r="CT65">
        <v>5</v>
      </c>
    </row>
    <row r="66" spans="1:104" x14ac:dyDescent="0.25">
      <c r="A66" t="s">
        <v>194</v>
      </c>
      <c r="B66" t="s">
        <v>2896</v>
      </c>
      <c r="BF66" t="s">
        <v>334</v>
      </c>
      <c r="CD66">
        <v>12</v>
      </c>
      <c r="CF66">
        <v>176</v>
      </c>
      <c r="CI66" t="s">
        <v>2918</v>
      </c>
      <c r="CT66">
        <v>5</v>
      </c>
    </row>
    <row r="67" spans="1:104" x14ac:dyDescent="0.25">
      <c r="A67" t="s">
        <v>195</v>
      </c>
      <c r="B67" t="s">
        <v>3008</v>
      </c>
      <c r="BF67" s="1" t="s">
        <v>667</v>
      </c>
      <c r="BI67">
        <v>523</v>
      </c>
      <c r="BJ67">
        <v>181</v>
      </c>
      <c r="BK67" t="s">
        <v>3009</v>
      </c>
      <c r="BL67">
        <v>5</v>
      </c>
      <c r="CD67">
        <v>12</v>
      </c>
      <c r="CF67">
        <v>196</v>
      </c>
      <c r="CI67" t="s">
        <v>2923</v>
      </c>
      <c r="CT67">
        <v>5</v>
      </c>
    </row>
    <row r="68" spans="1:104" x14ac:dyDescent="0.25">
      <c r="A68" t="s">
        <v>576</v>
      </c>
      <c r="B68" t="s">
        <v>3010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3011</v>
      </c>
      <c r="AH69" s="1" t="s">
        <v>669</v>
      </c>
      <c r="AK69">
        <v>523</v>
      </c>
      <c r="AL69">
        <v>205</v>
      </c>
      <c r="AM69" t="s">
        <v>3008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2900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3012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2902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3013</v>
      </c>
      <c r="AH71">
        <v>2</v>
      </c>
      <c r="AI71">
        <v>407</v>
      </c>
      <c r="AJ71">
        <v>30</v>
      </c>
      <c r="AK71">
        <v>90</v>
      </c>
      <c r="AM71" t="s">
        <v>2900</v>
      </c>
      <c r="BF71">
        <v>5</v>
      </c>
      <c r="BG71">
        <v>18</v>
      </c>
      <c r="BH71">
        <v>19</v>
      </c>
      <c r="BK71" t="s">
        <v>2905</v>
      </c>
      <c r="CT71">
        <v>5</v>
      </c>
    </row>
    <row r="72" spans="1:104" x14ac:dyDescent="0.25">
      <c r="A72" t="s">
        <v>200</v>
      </c>
      <c r="B72" t="s">
        <v>3014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2902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3015</v>
      </c>
    </row>
    <row r="73" spans="1:104" x14ac:dyDescent="0.25">
      <c r="A73" t="s">
        <v>203</v>
      </c>
      <c r="B73" t="s">
        <v>3016</v>
      </c>
      <c r="AH73">
        <v>5</v>
      </c>
      <c r="AI73">
        <v>18</v>
      </c>
      <c r="AJ73">
        <v>19</v>
      </c>
      <c r="AM73" t="s">
        <v>2905</v>
      </c>
      <c r="BF73">
        <v>13</v>
      </c>
      <c r="BG73">
        <v>18</v>
      </c>
      <c r="BH73">
        <v>40</v>
      </c>
      <c r="BK73" t="s">
        <v>2924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3017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2903</v>
      </c>
      <c r="CD74" t="s">
        <v>441</v>
      </c>
      <c r="CT74">
        <v>5</v>
      </c>
      <c r="CU74">
        <v>24</v>
      </c>
      <c r="CV74">
        <v>134</v>
      </c>
      <c r="CY74" t="s">
        <v>3018</v>
      </c>
    </row>
    <row r="75" spans="1:104" x14ac:dyDescent="0.25">
      <c r="A75" t="s">
        <v>207</v>
      </c>
      <c r="B75" t="s">
        <v>3019</v>
      </c>
      <c r="AH75">
        <v>13</v>
      </c>
      <c r="AI75">
        <v>18</v>
      </c>
      <c r="AJ75">
        <v>41</v>
      </c>
      <c r="AM75" t="s">
        <v>2924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3020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3021</v>
      </c>
      <c r="AH76">
        <v>5</v>
      </c>
      <c r="AI76">
        <v>18</v>
      </c>
      <c r="AJ76">
        <v>69</v>
      </c>
      <c r="AM76" t="s">
        <v>3022</v>
      </c>
      <c r="BF76">
        <v>12</v>
      </c>
      <c r="BG76">
        <v>18</v>
      </c>
      <c r="BH76">
        <v>86</v>
      </c>
      <c r="BK76" t="s">
        <v>2934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2918</v>
      </c>
      <c r="CD77">
        <v>2</v>
      </c>
      <c r="CE77">
        <v>440</v>
      </c>
      <c r="CF77">
        <v>30</v>
      </c>
      <c r="CG77">
        <v>90</v>
      </c>
      <c r="CI77" t="s">
        <v>2900</v>
      </c>
      <c r="CT77" t="s">
        <v>376</v>
      </c>
    </row>
    <row r="78" spans="1:104" x14ac:dyDescent="0.25">
      <c r="A78" t="s">
        <v>219</v>
      </c>
      <c r="B78" t="s">
        <v>2897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2903</v>
      </c>
      <c r="BF78">
        <v>12</v>
      </c>
      <c r="BH78">
        <v>126</v>
      </c>
      <c r="BK78" t="s">
        <v>2923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2902</v>
      </c>
      <c r="CT78">
        <v>5</v>
      </c>
      <c r="CZ78" t="s">
        <v>376</v>
      </c>
    </row>
    <row r="79" spans="1:104" x14ac:dyDescent="0.25">
      <c r="A79" t="s">
        <v>220</v>
      </c>
      <c r="B79" t="s">
        <v>2991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2907</v>
      </c>
      <c r="CT79">
        <v>5</v>
      </c>
    </row>
    <row r="80" spans="1:104" x14ac:dyDescent="0.25">
      <c r="A80" t="s">
        <v>221</v>
      </c>
      <c r="B80" t="s">
        <v>2961</v>
      </c>
      <c r="AH80">
        <v>5</v>
      </c>
      <c r="AI80">
        <v>18</v>
      </c>
      <c r="AJ80">
        <v>112</v>
      </c>
      <c r="AM80" t="s">
        <v>2934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3020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3023</v>
      </c>
      <c r="BL81" t="b">
        <v>0</v>
      </c>
      <c r="CD81">
        <v>5</v>
      </c>
      <c r="CE81">
        <v>17</v>
      </c>
      <c r="CF81">
        <v>41</v>
      </c>
      <c r="CI81" t="s">
        <v>2915</v>
      </c>
      <c r="CT81">
        <v>5</v>
      </c>
    </row>
    <row r="82" spans="1:104" x14ac:dyDescent="0.25">
      <c r="A82" t="s">
        <v>606</v>
      </c>
      <c r="B82" t="s">
        <v>3024</v>
      </c>
      <c r="AH82">
        <v>205</v>
      </c>
      <c r="AI82">
        <v>18</v>
      </c>
      <c r="AJ82">
        <v>132</v>
      </c>
      <c r="AM82" t="s">
        <v>2918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3025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2974</v>
      </c>
      <c r="CT83">
        <v>5</v>
      </c>
    </row>
    <row r="84" spans="1:104" x14ac:dyDescent="0.25">
      <c r="A84" t="s">
        <v>303</v>
      </c>
      <c r="B84" t="s">
        <v>3026</v>
      </c>
      <c r="AH84">
        <v>205</v>
      </c>
      <c r="AI84">
        <v>18</v>
      </c>
      <c r="AJ84">
        <v>152</v>
      </c>
      <c r="AM84" t="s">
        <v>2923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3027</v>
      </c>
      <c r="AH85">
        <v>13</v>
      </c>
      <c r="AI85">
        <v>18</v>
      </c>
      <c r="AJ85">
        <v>175</v>
      </c>
      <c r="AM85" t="s">
        <v>2943</v>
      </c>
      <c r="AN85" t="b">
        <v>0</v>
      </c>
      <c r="CD85">
        <v>13</v>
      </c>
      <c r="CE85">
        <v>18</v>
      </c>
      <c r="CF85">
        <v>87</v>
      </c>
      <c r="CI85" t="s">
        <v>2916</v>
      </c>
      <c r="CJ85" t="b">
        <v>0</v>
      </c>
      <c r="CT85">
        <v>5</v>
      </c>
    </row>
    <row r="86" spans="1:104" x14ac:dyDescent="0.25">
      <c r="A86" t="s">
        <v>228</v>
      </c>
      <c r="B86" t="s">
        <v>3028</v>
      </c>
      <c r="AH86">
        <v>13</v>
      </c>
      <c r="AI86">
        <v>222</v>
      </c>
      <c r="AJ86">
        <v>175</v>
      </c>
      <c r="AM86" t="s">
        <v>3029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1019</v>
      </c>
      <c r="CT86">
        <v>5</v>
      </c>
    </row>
    <row r="87" spans="1:104" x14ac:dyDescent="0.25">
      <c r="A87" t="s">
        <v>231</v>
      </c>
      <c r="B87" t="s">
        <v>3030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3014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3031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2903</v>
      </c>
      <c r="CT88">
        <v>5</v>
      </c>
      <c r="CU88">
        <v>26</v>
      </c>
      <c r="CV88">
        <v>108</v>
      </c>
      <c r="CY88" t="s">
        <v>3032</v>
      </c>
    </row>
    <row r="89" spans="1:104" x14ac:dyDescent="0.25">
      <c r="A89" t="s">
        <v>299</v>
      </c>
      <c r="B89" t="s">
        <v>3033</v>
      </c>
      <c r="BF89">
        <v>2</v>
      </c>
      <c r="BG89">
        <v>407</v>
      </c>
      <c r="BH89">
        <v>30</v>
      </c>
      <c r="BI89">
        <v>90</v>
      </c>
      <c r="BK89" t="s">
        <v>2900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3034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2902</v>
      </c>
      <c r="CD90">
        <v>12</v>
      </c>
      <c r="CE90">
        <v>17</v>
      </c>
      <c r="CF90">
        <v>152</v>
      </c>
      <c r="CI90" t="s">
        <v>2934</v>
      </c>
    </row>
    <row r="91" spans="1:104" x14ac:dyDescent="0.25">
      <c r="A91" t="s">
        <v>237</v>
      </c>
      <c r="B91" t="s">
        <v>3035</v>
      </c>
      <c r="BF91">
        <v>5</v>
      </c>
      <c r="BG91">
        <v>18</v>
      </c>
      <c r="BH91">
        <v>19</v>
      </c>
      <c r="BK91" t="s">
        <v>2905</v>
      </c>
      <c r="CD91">
        <v>12</v>
      </c>
      <c r="CF91">
        <v>172</v>
      </c>
      <c r="CI91" t="s">
        <v>2918</v>
      </c>
      <c r="CT91" t="s">
        <v>379</v>
      </c>
    </row>
    <row r="92" spans="1:104" x14ac:dyDescent="0.25">
      <c r="A92" t="s">
        <v>239</v>
      </c>
      <c r="B92" t="s">
        <v>3036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2923</v>
      </c>
      <c r="CT92">
        <v>5</v>
      </c>
      <c r="CZ92" t="s">
        <v>379</v>
      </c>
    </row>
    <row r="93" spans="1:104" x14ac:dyDescent="0.25">
      <c r="A93" t="s">
        <v>485</v>
      </c>
      <c r="B93" t="s">
        <v>3037</v>
      </c>
      <c r="BF93">
        <v>5</v>
      </c>
      <c r="BG93">
        <v>18</v>
      </c>
      <c r="BH93">
        <v>43</v>
      </c>
      <c r="BK93" t="s">
        <v>3038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3039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3040</v>
      </c>
      <c r="BF95">
        <v>13</v>
      </c>
      <c r="BG95">
        <v>18</v>
      </c>
      <c r="BH95">
        <v>66</v>
      </c>
      <c r="BK95" t="s">
        <v>2916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3041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2903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3042</v>
      </c>
      <c r="BF98">
        <v>12</v>
      </c>
      <c r="BG98">
        <v>18</v>
      </c>
      <c r="BH98">
        <v>112</v>
      </c>
      <c r="BK98" t="s">
        <v>2934</v>
      </c>
      <c r="CT98">
        <v>5</v>
      </c>
    </row>
    <row r="99" spans="1:104" x14ac:dyDescent="0.25">
      <c r="A99" t="s">
        <v>252</v>
      </c>
      <c r="B99" t="s">
        <v>3043</v>
      </c>
      <c r="BF99">
        <v>12</v>
      </c>
      <c r="BH99">
        <v>132</v>
      </c>
      <c r="BK99" t="s">
        <v>2918</v>
      </c>
      <c r="CD99" t="s">
        <v>357</v>
      </c>
      <c r="CT99">
        <v>5</v>
      </c>
    </row>
    <row r="100" spans="1:104" x14ac:dyDescent="0.25">
      <c r="A100" t="s">
        <v>511</v>
      </c>
      <c r="B100" t="s">
        <v>3044</v>
      </c>
      <c r="BF100">
        <v>12</v>
      </c>
      <c r="BH100">
        <v>152</v>
      </c>
      <c r="BK100" t="s">
        <v>2923</v>
      </c>
      <c r="CD100" s="1" t="s">
        <v>674</v>
      </c>
      <c r="CG100">
        <v>577</v>
      </c>
      <c r="CH100">
        <v>281</v>
      </c>
      <c r="CI100" t="s">
        <v>3040</v>
      </c>
      <c r="CJ100">
        <v>5</v>
      </c>
      <c r="CT100">
        <v>5</v>
      </c>
      <c r="CU100">
        <v>23</v>
      </c>
      <c r="CV100">
        <v>131</v>
      </c>
      <c r="CY100" t="s">
        <v>3045</v>
      </c>
    </row>
    <row r="101" spans="1:104" x14ac:dyDescent="0.25">
      <c r="A101" t="s">
        <v>513</v>
      </c>
      <c r="B101" t="s">
        <v>3046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2983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2900</v>
      </c>
      <c r="CT102">
        <v>5</v>
      </c>
      <c r="CU102">
        <v>25</v>
      </c>
      <c r="CV102">
        <v>108</v>
      </c>
      <c r="CY102" t="s">
        <v>3032</v>
      </c>
    </row>
    <row r="103" spans="1:104" x14ac:dyDescent="0.25">
      <c r="A103" t="s">
        <v>516</v>
      </c>
      <c r="B103" t="s">
        <v>820</v>
      </c>
      <c r="BF103">
        <v>13</v>
      </c>
      <c r="BG103">
        <v>18</v>
      </c>
      <c r="BH103">
        <v>174</v>
      </c>
      <c r="BK103" t="s">
        <v>3047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2902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3048</v>
      </c>
      <c r="BF104">
        <v>13</v>
      </c>
      <c r="BK104" t="s">
        <v>3049</v>
      </c>
      <c r="BL104" t="b">
        <v>0</v>
      </c>
      <c r="CD104">
        <v>5</v>
      </c>
      <c r="CE104">
        <v>17</v>
      </c>
      <c r="CF104">
        <v>18</v>
      </c>
      <c r="CI104" t="s">
        <v>2907</v>
      </c>
    </row>
    <row r="105" spans="1:104" x14ac:dyDescent="0.25">
      <c r="A105" t="s">
        <v>534</v>
      </c>
      <c r="B105" t="s">
        <v>3050</v>
      </c>
      <c r="BF105">
        <v>13</v>
      </c>
      <c r="BK105" t="s">
        <v>2943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3051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2915</v>
      </c>
      <c r="CT106">
        <v>5</v>
      </c>
      <c r="CZ106" t="s">
        <v>382</v>
      </c>
    </row>
    <row r="107" spans="1:104" x14ac:dyDescent="0.25">
      <c r="A107" t="s">
        <v>538</v>
      </c>
      <c r="B107" t="s">
        <v>2899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3052</v>
      </c>
      <c r="CD108">
        <v>5</v>
      </c>
      <c r="CE108">
        <v>17</v>
      </c>
      <c r="CF108">
        <v>68</v>
      </c>
      <c r="CI108" t="s">
        <v>3053</v>
      </c>
      <c r="CT108">
        <v>5</v>
      </c>
    </row>
    <row r="109" spans="1:104" x14ac:dyDescent="0.25">
      <c r="A109" t="s">
        <v>60</v>
      </c>
      <c r="B109" t="s">
        <v>3054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3055</v>
      </c>
      <c r="CT110">
        <v>5</v>
      </c>
    </row>
    <row r="111" spans="1:104" x14ac:dyDescent="0.25">
      <c r="A111" t="s">
        <v>434</v>
      </c>
      <c r="B111" t="s">
        <v>3056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3057</v>
      </c>
      <c r="CT112">
        <v>5</v>
      </c>
    </row>
    <row r="113" spans="1:104" x14ac:dyDescent="0.25">
      <c r="A113" t="s">
        <v>539</v>
      </c>
      <c r="B113" t="s">
        <v>3058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3059</v>
      </c>
      <c r="CD114">
        <v>13</v>
      </c>
      <c r="CE114">
        <v>17</v>
      </c>
      <c r="CF114">
        <v>143</v>
      </c>
      <c r="CI114" t="s">
        <v>2916</v>
      </c>
      <c r="CJ114" t="b">
        <v>0</v>
      </c>
      <c r="CT114">
        <v>5</v>
      </c>
    </row>
    <row r="115" spans="1:104" x14ac:dyDescent="0.25">
      <c r="A115" t="s">
        <v>543</v>
      </c>
      <c r="B115" t="s">
        <v>2893</v>
      </c>
      <c r="CD115">
        <v>5</v>
      </c>
      <c r="CE115">
        <v>17</v>
      </c>
      <c r="CF115">
        <v>168</v>
      </c>
      <c r="CI115" t="s">
        <v>1019</v>
      </c>
      <c r="CT115">
        <v>5</v>
      </c>
    </row>
    <row r="116" spans="1:104" x14ac:dyDescent="0.25">
      <c r="A116" t="s">
        <v>544</v>
      </c>
      <c r="B116" t="s">
        <v>3060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3061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2903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3062</v>
      </c>
      <c r="CD118">
        <v>111</v>
      </c>
      <c r="CJ118">
        <v>2</v>
      </c>
    </row>
    <row r="119" spans="1:104" x14ac:dyDescent="0.25">
      <c r="A119" t="s">
        <v>562</v>
      </c>
      <c r="B119" t="s">
        <v>3063</v>
      </c>
      <c r="CD119">
        <v>12</v>
      </c>
      <c r="CE119">
        <v>17</v>
      </c>
      <c r="CF119">
        <v>211</v>
      </c>
      <c r="CI119" t="s">
        <v>2934</v>
      </c>
      <c r="CT119" t="s">
        <v>332</v>
      </c>
    </row>
    <row r="120" spans="1:104" x14ac:dyDescent="0.25">
      <c r="A120" t="s">
        <v>366</v>
      </c>
      <c r="B120" t="s">
        <v>3064</v>
      </c>
      <c r="CD120">
        <v>12</v>
      </c>
      <c r="CF120">
        <v>231</v>
      </c>
      <c r="CI120" t="s">
        <v>2918</v>
      </c>
      <c r="CT120">
        <v>5</v>
      </c>
      <c r="CZ120" t="s">
        <v>332</v>
      </c>
    </row>
    <row r="121" spans="1:104" x14ac:dyDescent="0.25">
      <c r="A121" t="s">
        <v>368</v>
      </c>
      <c r="B121" t="s">
        <v>3065</v>
      </c>
      <c r="CD121">
        <v>12</v>
      </c>
      <c r="CF121">
        <v>251</v>
      </c>
      <c r="CI121" t="s">
        <v>2923</v>
      </c>
      <c r="CT121">
        <v>5</v>
      </c>
    </row>
    <row r="122" spans="1:104" x14ac:dyDescent="0.25">
      <c r="A122" t="s">
        <v>370</v>
      </c>
      <c r="B122" t="s">
        <v>3066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3067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3068</v>
      </c>
      <c r="CT125">
        <v>5</v>
      </c>
    </row>
    <row r="126" spans="1:104" x14ac:dyDescent="0.25">
      <c r="A126" t="s">
        <v>590</v>
      </c>
      <c r="B126" t="s">
        <v>3069</v>
      </c>
      <c r="CT126">
        <v>5</v>
      </c>
    </row>
    <row r="127" spans="1:104" x14ac:dyDescent="0.25">
      <c r="A127" t="s">
        <v>592</v>
      </c>
      <c r="B127" t="s">
        <v>3070</v>
      </c>
      <c r="CT127">
        <v>5</v>
      </c>
    </row>
    <row r="128" spans="1:104" x14ac:dyDescent="0.25">
      <c r="A128" t="s">
        <v>594</v>
      </c>
      <c r="B128" t="s">
        <v>3071</v>
      </c>
      <c r="CT128">
        <v>5</v>
      </c>
    </row>
    <row r="129" spans="1:104" x14ac:dyDescent="0.25">
      <c r="A129" t="s">
        <v>596</v>
      </c>
      <c r="B129" t="s">
        <v>3072</v>
      </c>
      <c r="CT129">
        <v>5</v>
      </c>
    </row>
    <row r="130" spans="1:104" x14ac:dyDescent="0.25">
      <c r="A130" t="s">
        <v>277</v>
      </c>
      <c r="B130" t="s">
        <v>3073</v>
      </c>
      <c r="CT130">
        <v>5</v>
      </c>
      <c r="CU130">
        <v>23</v>
      </c>
      <c r="CV130">
        <v>107</v>
      </c>
      <c r="CY130" t="s">
        <v>2951</v>
      </c>
    </row>
    <row r="131" spans="1:104" x14ac:dyDescent="0.25">
      <c r="A131" t="s">
        <v>279</v>
      </c>
      <c r="B131" t="s">
        <v>3074</v>
      </c>
      <c r="CT131">
        <v>10</v>
      </c>
      <c r="CU131">
        <v>21</v>
      </c>
      <c r="CV131">
        <v>123</v>
      </c>
      <c r="CW131">
        <v>339</v>
      </c>
      <c r="CZ131" t="s">
        <v>316</v>
      </c>
    </row>
    <row r="132" spans="1:104" x14ac:dyDescent="0.25">
      <c r="A132" t="s">
        <v>281</v>
      </c>
      <c r="B132" t="s">
        <v>3075</v>
      </c>
    </row>
    <row r="133" spans="1:104" x14ac:dyDescent="0.25">
      <c r="A133" t="s">
        <v>283</v>
      </c>
      <c r="B133" t="s">
        <v>3076</v>
      </c>
    </row>
    <row r="134" spans="1:104" x14ac:dyDescent="0.25">
      <c r="A134" t="s">
        <v>285</v>
      </c>
      <c r="B134" t="s">
        <v>3077</v>
      </c>
      <c r="CT134" t="s">
        <v>287</v>
      </c>
    </row>
    <row r="135" spans="1:104" x14ac:dyDescent="0.25">
      <c r="A135" t="s">
        <v>288</v>
      </c>
      <c r="B135" t="s">
        <v>3078</v>
      </c>
      <c r="CT135" t="s">
        <v>507</v>
      </c>
    </row>
    <row r="136" spans="1:104" x14ac:dyDescent="0.25">
      <c r="A136" t="s">
        <v>290</v>
      </c>
      <c r="B136" t="s">
        <v>3079</v>
      </c>
      <c r="CT136" t="str">
        <f>mg01s.RandUniform</f>
        <v>Egyenletes</v>
      </c>
      <c r="CU136" t="s">
        <v>551</v>
      </c>
    </row>
    <row r="137" spans="1:104" x14ac:dyDescent="0.25">
      <c r="A137" t="s">
        <v>292</v>
      </c>
      <c r="B137" t="s">
        <v>3080</v>
      </c>
      <c r="CT137" t="str">
        <f>mg01s.RandNormal</f>
        <v>Normális</v>
      </c>
      <c r="CU137" t="s">
        <v>554</v>
      </c>
    </row>
    <row r="138" spans="1:104" x14ac:dyDescent="0.25">
      <c r="A138" t="s">
        <v>609</v>
      </c>
      <c r="B138" t="s">
        <v>3081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3082</v>
      </c>
      <c r="CT139" t="str">
        <f>mg01s.RandBinomial</f>
        <v>Binomiális</v>
      </c>
      <c r="CU139" t="s">
        <v>379</v>
      </c>
    </row>
    <row r="140" spans="1:104" x14ac:dyDescent="0.25">
      <c r="A140" t="s">
        <v>613</v>
      </c>
      <c r="B140" t="s">
        <v>3083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3084</v>
      </c>
      <c r="CT141" t="str">
        <f>mg01s.RandPatterned</f>
        <v>Mintaismétlés</v>
      </c>
      <c r="CU141" t="s">
        <v>599</v>
      </c>
    </row>
    <row r="142" spans="1:104" x14ac:dyDescent="0.25">
      <c r="A142" t="s">
        <v>92</v>
      </c>
      <c r="B142" t="s">
        <v>2898</v>
      </c>
      <c r="CT142" t="str">
        <f>mg01s.RandDiscrete</f>
        <v>Diszkrét</v>
      </c>
      <c r="CU142" t="s">
        <v>332</v>
      </c>
    </row>
    <row r="143" spans="1:104" x14ac:dyDescent="0.25">
      <c r="A143" t="s">
        <v>304</v>
      </c>
      <c r="B143" t="s">
        <v>3085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3086</v>
      </c>
    </row>
    <row r="147" spans="1:2" x14ac:dyDescent="0.25">
      <c r="A147" t="s">
        <v>313</v>
      </c>
      <c r="B147" t="s">
        <v>3087</v>
      </c>
    </row>
    <row r="148" spans="1:2" x14ac:dyDescent="0.25">
      <c r="A148" t="s">
        <v>102</v>
      </c>
      <c r="B148" t="s">
        <v>3088</v>
      </c>
    </row>
    <row r="149" spans="1:2" x14ac:dyDescent="0.25">
      <c r="A149" t="s">
        <v>319</v>
      </c>
      <c r="B149" t="s">
        <v>3089</v>
      </c>
    </row>
    <row r="150" spans="1:2" x14ac:dyDescent="0.25">
      <c r="A150" t="s">
        <v>105</v>
      </c>
      <c r="B150" t="s">
        <v>3090</v>
      </c>
    </row>
    <row r="151" spans="1:2" x14ac:dyDescent="0.25">
      <c r="A151" t="s">
        <v>323</v>
      </c>
      <c r="B151" t="s">
        <v>3091</v>
      </c>
    </row>
    <row r="152" spans="1:2" x14ac:dyDescent="0.25">
      <c r="A152" t="s">
        <v>108</v>
      </c>
      <c r="B152" t="s">
        <v>3092</v>
      </c>
    </row>
    <row r="153" spans="1:2" x14ac:dyDescent="0.25">
      <c r="A153" t="s">
        <v>110</v>
      </c>
      <c r="B153" t="s">
        <v>3093</v>
      </c>
    </row>
    <row r="154" spans="1:2" x14ac:dyDescent="0.25">
      <c r="A154" t="s">
        <v>112</v>
      </c>
      <c r="B154" t="s">
        <v>3094</v>
      </c>
    </row>
    <row r="155" spans="1:2" x14ac:dyDescent="0.25">
      <c r="A155" t="s">
        <v>336</v>
      </c>
      <c r="B155" t="s">
        <v>3095</v>
      </c>
    </row>
    <row r="156" spans="1:2" x14ac:dyDescent="0.25">
      <c r="A156" t="s">
        <v>120</v>
      </c>
      <c r="B156" t="s">
        <v>3096</v>
      </c>
    </row>
    <row r="157" spans="1:2" x14ac:dyDescent="0.25">
      <c r="A157" t="s">
        <v>349</v>
      </c>
      <c r="B157" t="s">
        <v>3097</v>
      </c>
    </row>
    <row r="158" spans="1:2" x14ac:dyDescent="0.25">
      <c r="A158" t="s">
        <v>350</v>
      </c>
      <c r="B158" t="s">
        <v>3098</v>
      </c>
    </row>
    <row r="159" spans="1:2" x14ac:dyDescent="0.25">
      <c r="A159" t="s">
        <v>438</v>
      </c>
      <c r="B159" t="s">
        <v>3099</v>
      </c>
    </row>
    <row r="160" spans="1:2" x14ac:dyDescent="0.25">
      <c r="A160" t="s">
        <v>353</v>
      </c>
      <c r="B160" t="s">
        <v>3100</v>
      </c>
    </row>
    <row r="161" spans="1:2" x14ac:dyDescent="0.25">
      <c r="A161" t="s">
        <v>355</v>
      </c>
      <c r="B161" t="s">
        <v>3101</v>
      </c>
    </row>
    <row r="162" spans="1:2" x14ac:dyDescent="0.25">
      <c r="A162" t="s">
        <v>129</v>
      </c>
      <c r="B162" t="s">
        <v>3102</v>
      </c>
    </row>
    <row r="163" spans="1:2" x14ac:dyDescent="0.25">
      <c r="A163" t="s">
        <v>363</v>
      </c>
      <c r="B163" t="s">
        <v>3103</v>
      </c>
    </row>
    <row r="164" spans="1:2" x14ac:dyDescent="0.25">
      <c r="A164" t="s">
        <v>365</v>
      </c>
      <c r="B164" t="s">
        <v>3104</v>
      </c>
    </row>
    <row r="165" spans="1:2" x14ac:dyDescent="0.25">
      <c r="A165" t="s">
        <v>374</v>
      </c>
      <c r="B165" t="s">
        <v>3105</v>
      </c>
    </row>
    <row r="166" spans="1:2" x14ac:dyDescent="0.25">
      <c r="A166" t="s">
        <v>135</v>
      </c>
      <c r="B166" t="s">
        <v>3106</v>
      </c>
    </row>
    <row r="167" spans="1:2" x14ac:dyDescent="0.25">
      <c r="A167" t="s">
        <v>137</v>
      </c>
      <c r="B167" t="s">
        <v>3107</v>
      </c>
    </row>
    <row r="168" spans="1:2" x14ac:dyDescent="0.25">
      <c r="A168" t="s">
        <v>139</v>
      </c>
      <c r="B168" t="s">
        <v>3108</v>
      </c>
    </row>
    <row r="169" spans="1:2" x14ac:dyDescent="0.25">
      <c r="A169" t="s">
        <v>384</v>
      </c>
      <c r="B169" t="s">
        <v>3109</v>
      </c>
    </row>
    <row r="170" spans="1:2" x14ac:dyDescent="0.25">
      <c r="A170" t="s">
        <v>462</v>
      </c>
      <c r="B170" t="s">
        <v>3110</v>
      </c>
    </row>
    <row r="171" spans="1:2" x14ac:dyDescent="0.25">
      <c r="A171" t="s">
        <v>464</v>
      </c>
      <c r="B171" t="s">
        <v>3111</v>
      </c>
    </row>
    <row r="172" spans="1:2" x14ac:dyDescent="0.25">
      <c r="A172" t="s">
        <v>388</v>
      </c>
      <c r="B172" t="s">
        <v>3112</v>
      </c>
    </row>
    <row r="173" spans="1:2" x14ac:dyDescent="0.25">
      <c r="A173" t="s">
        <v>147</v>
      </c>
      <c r="B173" t="s">
        <v>3113</v>
      </c>
    </row>
    <row r="174" spans="1:2" x14ac:dyDescent="0.25">
      <c r="A174" t="s">
        <v>385</v>
      </c>
      <c r="B174" t="s">
        <v>3114</v>
      </c>
    </row>
    <row r="175" spans="1:2" x14ac:dyDescent="0.25">
      <c r="A175" t="s">
        <v>151</v>
      </c>
      <c r="B175" t="s">
        <v>3115</v>
      </c>
    </row>
    <row r="176" spans="1:2" x14ac:dyDescent="0.25">
      <c r="A176" t="s">
        <v>406</v>
      </c>
      <c r="B176" t="s">
        <v>3116</v>
      </c>
    </row>
    <row r="177" spans="1:2" x14ac:dyDescent="0.25">
      <c r="A177" t="s">
        <v>408</v>
      </c>
      <c r="B177" t="s">
        <v>3117</v>
      </c>
    </row>
    <row r="178" spans="1:2" x14ac:dyDescent="0.25">
      <c r="A178" t="s">
        <v>503</v>
      </c>
      <c r="B178" t="s">
        <v>3118</v>
      </c>
    </row>
    <row r="179" spans="1:2" x14ac:dyDescent="0.25">
      <c r="A179" t="s">
        <v>410</v>
      </c>
      <c r="B179" t="s">
        <v>3119</v>
      </c>
    </row>
    <row r="180" spans="1:2" x14ac:dyDescent="0.25">
      <c r="A180" t="s">
        <v>412</v>
      </c>
      <c r="B180" t="s">
        <v>3120</v>
      </c>
    </row>
    <row r="181" spans="1:2" x14ac:dyDescent="0.25">
      <c r="A181" t="s">
        <v>161</v>
      </c>
      <c r="B181" t="s">
        <v>3121</v>
      </c>
    </row>
    <row r="182" spans="1:2" x14ac:dyDescent="0.25">
      <c r="A182" t="s">
        <v>415</v>
      </c>
      <c r="B182" t="s">
        <v>3122</v>
      </c>
    </row>
    <row r="183" spans="1:2" x14ac:dyDescent="0.25">
      <c r="A183" t="s">
        <v>173</v>
      </c>
      <c r="B183" t="s">
        <v>3123</v>
      </c>
    </row>
    <row r="184" spans="1:2" x14ac:dyDescent="0.25">
      <c r="A184" t="s">
        <v>167</v>
      </c>
      <c r="B184" t="s">
        <v>3124</v>
      </c>
    </row>
    <row r="185" spans="1:2" x14ac:dyDescent="0.25">
      <c r="A185" t="s">
        <v>169</v>
      </c>
      <c r="B185" t="s">
        <v>3125</v>
      </c>
    </row>
    <row r="186" spans="1:2" x14ac:dyDescent="0.25">
      <c r="A186" t="s">
        <v>444</v>
      </c>
      <c r="B186" t="s">
        <v>3126</v>
      </c>
    </row>
    <row r="187" spans="1:2" x14ac:dyDescent="0.25">
      <c r="A187" t="s">
        <v>18</v>
      </c>
      <c r="B187" t="s">
        <v>3127</v>
      </c>
    </row>
    <row r="188" spans="1:2" x14ac:dyDescent="0.25">
      <c r="A188" t="s">
        <v>175</v>
      </c>
      <c r="B188" t="s">
        <v>3128</v>
      </c>
    </row>
    <row r="189" spans="1:2" x14ac:dyDescent="0.25">
      <c r="A189" t="s">
        <v>181</v>
      </c>
      <c r="B189" t="s">
        <v>3129</v>
      </c>
    </row>
    <row r="190" spans="1:2" x14ac:dyDescent="0.25">
      <c r="A190" t="s">
        <v>64</v>
      </c>
      <c r="B190" t="s">
        <v>3130</v>
      </c>
    </row>
    <row r="191" spans="1:2" x14ac:dyDescent="0.25">
      <c r="A191" t="s">
        <v>185</v>
      </c>
      <c r="B191" t="s">
        <v>3131</v>
      </c>
    </row>
    <row r="192" spans="1:2" x14ac:dyDescent="0.25">
      <c r="A192" t="s">
        <v>192</v>
      </c>
      <c r="B192" t="s">
        <v>3132</v>
      </c>
    </row>
    <row r="193" spans="1:2" x14ac:dyDescent="0.25">
      <c r="A193" t="s">
        <v>67</v>
      </c>
      <c r="B193" t="s">
        <v>3133</v>
      </c>
    </row>
    <row r="194" spans="1:2" x14ac:dyDescent="0.25">
      <c r="A194" t="s">
        <v>197</v>
      </c>
      <c r="B194" t="s">
        <v>3134</v>
      </c>
    </row>
    <row r="195" spans="1:2" x14ac:dyDescent="0.25">
      <c r="A195" t="s">
        <v>199</v>
      </c>
      <c r="B195" t="s">
        <v>3135</v>
      </c>
    </row>
    <row r="196" spans="1:2" x14ac:dyDescent="0.25">
      <c r="A196" t="s">
        <v>44</v>
      </c>
      <c r="B196" t="s">
        <v>3136</v>
      </c>
    </row>
    <row r="197" spans="1:2" x14ac:dyDescent="0.25">
      <c r="A197" t="s">
        <v>46</v>
      </c>
      <c r="B197" t="s">
        <v>3137</v>
      </c>
    </row>
    <row r="198" spans="1:2" x14ac:dyDescent="0.25">
      <c r="A198" t="s">
        <v>212</v>
      </c>
      <c r="B198" t="s">
        <v>3138</v>
      </c>
    </row>
    <row r="199" spans="1:2" x14ac:dyDescent="0.25">
      <c r="A199" t="s">
        <v>215</v>
      </c>
      <c r="B199" t="s">
        <v>3139</v>
      </c>
    </row>
    <row r="200" spans="1:2" x14ac:dyDescent="0.25">
      <c r="A200" t="s">
        <v>77</v>
      </c>
      <c r="B200" t="s">
        <v>3140</v>
      </c>
    </row>
    <row r="201" spans="1:2" x14ac:dyDescent="0.25">
      <c r="A201" t="s">
        <v>223</v>
      </c>
      <c r="B201" t="s">
        <v>3141</v>
      </c>
    </row>
    <row r="202" spans="1:2" x14ac:dyDescent="0.25">
      <c r="A202" t="s">
        <v>1</v>
      </c>
      <c r="B202" t="s">
        <v>3142</v>
      </c>
    </row>
    <row r="203" spans="1:2" x14ac:dyDescent="0.25">
      <c r="A203" t="s">
        <v>225</v>
      </c>
      <c r="B203" t="s">
        <v>3143</v>
      </c>
    </row>
    <row r="204" spans="1:2" x14ac:dyDescent="0.25">
      <c r="A204" t="s">
        <v>4</v>
      </c>
      <c r="B204" t="s">
        <v>3144</v>
      </c>
    </row>
    <row r="205" spans="1:2" x14ac:dyDescent="0.25">
      <c r="A205" t="s">
        <v>233</v>
      </c>
      <c r="B205" t="s">
        <v>3145</v>
      </c>
    </row>
    <row r="206" spans="1:2" x14ac:dyDescent="0.25">
      <c r="A206" t="s">
        <v>6</v>
      </c>
      <c r="B206" t="s">
        <v>3146</v>
      </c>
    </row>
    <row r="207" spans="1:2" x14ac:dyDescent="0.25">
      <c r="A207" t="s">
        <v>241</v>
      </c>
      <c r="B207" t="s">
        <v>3147</v>
      </c>
    </row>
    <row r="208" spans="1:2" x14ac:dyDescent="0.25">
      <c r="A208" t="s">
        <v>11</v>
      </c>
      <c r="B208" t="s">
        <v>3148</v>
      </c>
    </row>
    <row r="209" spans="1:103" x14ac:dyDescent="0.25">
      <c r="A209" t="s">
        <v>13</v>
      </c>
      <c r="B209" t="s">
        <v>3149</v>
      </c>
    </row>
    <row r="210" spans="1:103" x14ac:dyDescent="0.25">
      <c r="A210" t="s">
        <v>254</v>
      </c>
      <c r="B210" t="s">
        <v>3150</v>
      </c>
    </row>
    <row r="211" spans="1:103" x14ac:dyDescent="0.25">
      <c r="A211" t="s">
        <v>256</v>
      </c>
      <c r="B211" t="s">
        <v>3151</v>
      </c>
    </row>
    <row r="212" spans="1:103" x14ac:dyDescent="0.25">
      <c r="A212" t="s">
        <v>258</v>
      </c>
      <c r="B212" t="s">
        <v>3152</v>
      </c>
    </row>
    <row r="213" spans="1:103" x14ac:dyDescent="0.25">
      <c r="A213" t="s">
        <v>533</v>
      </c>
      <c r="B213" t="s">
        <v>3153</v>
      </c>
      <c r="BS213" t="b">
        <v>1</v>
      </c>
    </row>
    <row r="214" spans="1:103" x14ac:dyDescent="0.25">
      <c r="A214" t="s">
        <v>17</v>
      </c>
      <c r="B214" t="s">
        <v>3154</v>
      </c>
    </row>
    <row r="215" spans="1:103" x14ac:dyDescent="0.25">
      <c r="A215" t="s">
        <v>265</v>
      </c>
      <c r="B215" t="s">
        <v>3155</v>
      </c>
    </row>
    <row r="216" spans="1:103" x14ac:dyDescent="0.25">
      <c r="A216" t="s">
        <v>550</v>
      </c>
      <c r="B216" t="s">
        <v>3156</v>
      </c>
    </row>
    <row r="217" spans="1:103" x14ac:dyDescent="0.25">
      <c r="A217" t="s">
        <v>267</v>
      </c>
      <c r="B217" t="s">
        <v>3157</v>
      </c>
    </row>
    <row r="218" spans="1:103" x14ac:dyDescent="0.25">
      <c r="A218" t="s">
        <v>262</v>
      </c>
      <c r="B218" t="s">
        <v>3158</v>
      </c>
    </row>
    <row r="219" spans="1:103" x14ac:dyDescent="0.25">
      <c r="A219" t="s">
        <v>272</v>
      </c>
      <c r="B219" t="s">
        <v>3159</v>
      </c>
    </row>
    <row r="220" spans="1:103" x14ac:dyDescent="0.25">
      <c r="A220" t="s">
        <v>36</v>
      </c>
      <c r="B220" t="s">
        <v>3160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3161</v>
      </c>
      <c r="AE221" t="b">
        <v>1</v>
      </c>
    </row>
    <row r="222" spans="1:103" x14ac:dyDescent="0.25">
      <c r="A222" t="s">
        <v>269</v>
      </c>
      <c r="B222" t="s">
        <v>3162</v>
      </c>
      <c r="CY222" t="b">
        <v>1</v>
      </c>
    </row>
    <row r="223" spans="1:103" x14ac:dyDescent="0.25">
      <c r="A223" t="s">
        <v>40</v>
      </c>
      <c r="B223" t="s">
        <v>3163</v>
      </c>
    </row>
    <row r="224" spans="1:103" x14ac:dyDescent="0.25">
      <c r="A224" t="s">
        <v>42</v>
      </c>
      <c r="B224" t="s">
        <v>3164</v>
      </c>
      <c r="CI224" t="b">
        <v>1</v>
      </c>
    </row>
    <row r="225" spans="1:2" x14ac:dyDescent="0.25">
      <c r="A225" t="s">
        <v>275</v>
      </c>
      <c r="B225" t="s">
        <v>3165</v>
      </c>
    </row>
    <row r="226" spans="1:2" x14ac:dyDescent="0.25">
      <c r="A226" t="s">
        <v>73</v>
      </c>
      <c r="B226" t="s">
        <v>3166</v>
      </c>
    </row>
    <row r="227" spans="1:2" x14ac:dyDescent="0.25">
      <c r="A227" t="s">
        <v>75</v>
      </c>
      <c r="B227" t="s">
        <v>3167</v>
      </c>
    </row>
    <row r="228" spans="1:2" x14ac:dyDescent="0.25">
      <c r="A228" t="s">
        <v>88</v>
      </c>
      <c r="B228" t="s">
        <v>3168</v>
      </c>
    </row>
    <row r="229" spans="1:2" x14ac:dyDescent="0.25">
      <c r="A229" t="s">
        <v>49</v>
      </c>
      <c r="B229" t="s">
        <v>3169</v>
      </c>
    </row>
    <row r="230" spans="1:2" x14ac:dyDescent="0.25">
      <c r="A230" t="s">
        <v>51</v>
      </c>
      <c r="B230" t="s">
        <v>3170</v>
      </c>
    </row>
    <row r="231" spans="1:2" x14ac:dyDescent="0.25">
      <c r="A231" t="s">
        <v>53</v>
      </c>
      <c r="B231" t="s">
        <v>3171</v>
      </c>
    </row>
    <row r="232" spans="1:2" x14ac:dyDescent="0.25">
      <c r="A232" t="s">
        <v>55</v>
      </c>
      <c r="B232" t="s">
        <v>3172</v>
      </c>
    </row>
    <row r="233" spans="1:2" x14ac:dyDescent="0.25">
      <c r="A233" t="s">
        <v>57</v>
      </c>
      <c r="B233" t="s">
        <v>3173</v>
      </c>
    </row>
    <row r="234" spans="1:2" x14ac:dyDescent="0.25">
      <c r="A234" t="s">
        <v>59</v>
      </c>
      <c r="B234" t="s">
        <v>3174</v>
      </c>
    </row>
    <row r="235" spans="1:2" x14ac:dyDescent="0.25">
      <c r="A235" t="s">
        <v>24</v>
      </c>
      <c r="B235" t="s">
        <v>3175</v>
      </c>
    </row>
    <row r="236" spans="1:2" x14ac:dyDescent="0.25">
      <c r="A236" t="s">
        <v>32</v>
      </c>
      <c r="B236" t="s">
        <v>3176</v>
      </c>
    </row>
    <row r="237" spans="1:2" x14ac:dyDescent="0.25">
      <c r="A237" t="s">
        <v>101</v>
      </c>
      <c r="B237" t="s">
        <v>3177</v>
      </c>
    </row>
    <row r="238" spans="1:2" x14ac:dyDescent="0.25">
      <c r="A238" t="s">
        <v>159</v>
      </c>
      <c r="B238" t="s">
        <v>3178</v>
      </c>
    </row>
    <row r="239" spans="1:2" x14ac:dyDescent="0.25">
      <c r="A239" t="s">
        <v>107</v>
      </c>
      <c r="B239" t="s">
        <v>3179</v>
      </c>
    </row>
    <row r="240" spans="1:2" x14ac:dyDescent="0.25">
      <c r="A240" t="s">
        <v>15</v>
      </c>
      <c r="B240" t="s">
        <v>3180</v>
      </c>
    </row>
    <row r="241" spans="1:2" x14ac:dyDescent="0.25">
      <c r="A241" t="s">
        <v>171</v>
      </c>
      <c r="B241" t="s">
        <v>3181</v>
      </c>
    </row>
    <row r="242" spans="1:2" x14ac:dyDescent="0.25">
      <c r="A242" t="s">
        <v>117</v>
      </c>
      <c r="B242" t="s">
        <v>3182</v>
      </c>
    </row>
    <row r="243" spans="1:2" x14ac:dyDescent="0.25">
      <c r="A243" t="s">
        <v>119</v>
      </c>
      <c r="B243" t="s">
        <v>3183</v>
      </c>
    </row>
    <row r="244" spans="1:2" x14ac:dyDescent="0.25">
      <c r="A244" t="s">
        <v>122</v>
      </c>
      <c r="B244" t="s">
        <v>3184</v>
      </c>
    </row>
    <row r="245" spans="1:2" x14ac:dyDescent="0.25">
      <c r="A245" t="s">
        <v>176</v>
      </c>
      <c r="B245" t="s">
        <v>3185</v>
      </c>
    </row>
    <row r="246" spans="1:2" x14ac:dyDescent="0.25">
      <c r="A246" t="s">
        <v>126</v>
      </c>
      <c r="B246" t="s">
        <v>3186</v>
      </c>
    </row>
    <row r="247" spans="1:2" x14ac:dyDescent="0.25">
      <c r="A247" t="s">
        <v>130</v>
      </c>
      <c r="B247" t="s">
        <v>3187</v>
      </c>
    </row>
    <row r="248" spans="1:2" x14ac:dyDescent="0.25">
      <c r="A248" t="s">
        <v>39</v>
      </c>
      <c r="B248" t="s">
        <v>3188</v>
      </c>
    </row>
    <row r="249" spans="1:2" x14ac:dyDescent="0.25">
      <c r="A249" t="s">
        <v>133</v>
      </c>
      <c r="B249" t="s">
        <v>3189</v>
      </c>
    </row>
    <row r="250" spans="1:2" x14ac:dyDescent="0.25">
      <c r="A250" t="s">
        <v>69</v>
      </c>
      <c r="B250" t="s">
        <v>3190</v>
      </c>
    </row>
    <row r="251" spans="1:2" x14ac:dyDescent="0.25">
      <c r="A251" t="s">
        <v>71</v>
      </c>
      <c r="B251" t="s">
        <v>3191</v>
      </c>
    </row>
    <row r="252" spans="1:2" x14ac:dyDescent="0.25">
      <c r="A252" t="s">
        <v>141</v>
      </c>
      <c r="B252" t="s">
        <v>3192</v>
      </c>
    </row>
    <row r="253" spans="1:2" x14ac:dyDescent="0.25">
      <c r="A253" t="s">
        <v>143</v>
      </c>
      <c r="B253" t="s">
        <v>3193</v>
      </c>
    </row>
    <row r="254" spans="1:2" x14ac:dyDescent="0.25">
      <c r="A254" t="s">
        <v>145</v>
      </c>
      <c r="B254" t="s">
        <v>3194</v>
      </c>
    </row>
    <row r="255" spans="1:2" x14ac:dyDescent="0.25">
      <c r="A255" t="s">
        <v>386</v>
      </c>
      <c r="B255" t="s">
        <v>3195</v>
      </c>
    </row>
    <row r="256" spans="1:2" x14ac:dyDescent="0.25">
      <c r="A256" t="s">
        <v>30</v>
      </c>
      <c r="B256" t="s">
        <v>3196</v>
      </c>
    </row>
    <row r="257" spans="1:2" x14ac:dyDescent="0.25">
      <c r="A257" t="s">
        <v>33</v>
      </c>
      <c r="B257" t="s">
        <v>3197</v>
      </c>
    </row>
    <row r="258" spans="1:2" x14ac:dyDescent="0.25">
      <c r="A258" t="s">
        <v>153</v>
      </c>
      <c r="B258" t="s">
        <v>3198</v>
      </c>
    </row>
    <row r="259" spans="1:2" x14ac:dyDescent="0.25">
      <c r="A259" t="s">
        <v>155</v>
      </c>
      <c r="B259" t="s">
        <v>3199</v>
      </c>
    </row>
    <row r="260" spans="1:2" x14ac:dyDescent="0.25">
      <c r="A260" t="s">
        <v>157</v>
      </c>
      <c r="B260" t="s">
        <v>3200</v>
      </c>
    </row>
    <row r="261" spans="1:2" x14ac:dyDescent="0.25">
      <c r="A261" t="s">
        <v>3</v>
      </c>
      <c r="B261" t="s">
        <v>3201</v>
      </c>
    </row>
    <row r="262" spans="1:2" x14ac:dyDescent="0.25">
      <c r="A262" t="s">
        <v>78</v>
      </c>
      <c r="B262" t="s">
        <v>3202</v>
      </c>
    </row>
    <row r="263" spans="1:2" x14ac:dyDescent="0.25">
      <c r="A263" t="s">
        <v>80</v>
      </c>
      <c r="B263" t="s">
        <v>3203</v>
      </c>
    </row>
    <row r="264" spans="1:2" x14ac:dyDescent="0.25">
      <c r="A264" t="s">
        <v>82</v>
      </c>
      <c r="B264" t="s">
        <v>3204</v>
      </c>
    </row>
    <row r="265" spans="1:2" x14ac:dyDescent="0.25">
      <c r="A265" t="s">
        <v>84</v>
      </c>
      <c r="B265" t="s">
        <v>3205</v>
      </c>
    </row>
    <row r="266" spans="1:2" x14ac:dyDescent="0.25">
      <c r="A266" t="s">
        <v>86</v>
      </c>
      <c r="B266" t="s">
        <v>3206</v>
      </c>
    </row>
    <row r="267" spans="1:2" x14ac:dyDescent="0.25">
      <c r="A267" t="s">
        <v>29</v>
      </c>
      <c r="B267" t="s">
        <v>3207</v>
      </c>
    </row>
    <row r="268" spans="1:2" x14ac:dyDescent="0.25">
      <c r="A268" t="s">
        <v>90</v>
      </c>
      <c r="B268" t="s">
        <v>3208</v>
      </c>
    </row>
    <row r="269" spans="1:2" x14ac:dyDescent="0.25">
      <c r="A269" t="s">
        <v>95</v>
      </c>
      <c r="B269" t="s">
        <v>3209</v>
      </c>
    </row>
    <row r="270" spans="1:2" x14ac:dyDescent="0.25">
      <c r="A270" t="s">
        <v>2</v>
      </c>
      <c r="B270" t="s">
        <v>3210</v>
      </c>
    </row>
    <row r="271" spans="1:2" x14ac:dyDescent="0.25">
      <c r="A271" t="s">
        <v>7</v>
      </c>
      <c r="B271" t="s">
        <v>3211</v>
      </c>
    </row>
    <row r="273" spans="1:2" x14ac:dyDescent="0.25">
      <c r="A273" t="s">
        <v>9</v>
      </c>
      <c r="B273" t="s">
        <v>3212</v>
      </c>
    </row>
    <row r="274" spans="1:2" x14ac:dyDescent="0.25">
      <c r="A274" t="s">
        <v>163</v>
      </c>
      <c r="B274" t="s">
        <v>3213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2950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531</v>
      </c>
      <c r="AD2">
        <v>166</v>
      </c>
      <c r="AE2" t="s">
        <v>3214</v>
      </c>
      <c r="AF2">
        <v>4</v>
      </c>
      <c r="AH2" s="1" t="s">
        <v>656</v>
      </c>
      <c r="AK2">
        <v>515</v>
      </c>
      <c r="AL2">
        <v>223</v>
      </c>
      <c r="AM2" t="s">
        <v>3215</v>
      </c>
      <c r="AN2">
        <v>5</v>
      </c>
      <c r="AP2" s="1" t="s">
        <v>657</v>
      </c>
      <c r="AS2">
        <v>546</v>
      </c>
      <c r="AT2">
        <v>340</v>
      </c>
      <c r="AU2" t="s">
        <v>3216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3217</v>
      </c>
      <c r="BL2">
        <v>5</v>
      </c>
      <c r="BN2" s="1" t="s">
        <v>659</v>
      </c>
      <c r="BQ2">
        <v>523</v>
      </c>
      <c r="BR2">
        <v>293</v>
      </c>
      <c r="BS2" t="s">
        <v>3218</v>
      </c>
      <c r="BT2">
        <v>5</v>
      </c>
      <c r="BV2" s="1" t="s">
        <v>660</v>
      </c>
      <c r="BY2">
        <v>523</v>
      </c>
      <c r="BZ2">
        <v>195</v>
      </c>
      <c r="CA2" t="s">
        <v>3219</v>
      </c>
      <c r="CB2">
        <v>5</v>
      </c>
      <c r="CD2" s="1" t="s">
        <v>661</v>
      </c>
      <c r="CG2">
        <v>523</v>
      </c>
      <c r="CH2">
        <v>203</v>
      </c>
      <c r="CI2" t="s">
        <v>3220</v>
      </c>
      <c r="CJ2">
        <v>5</v>
      </c>
      <c r="CL2" s="1" t="s">
        <v>662</v>
      </c>
      <c r="CO2">
        <v>523</v>
      </c>
      <c r="CP2">
        <v>263</v>
      </c>
      <c r="CQ2" t="s">
        <v>3221</v>
      </c>
      <c r="CR2">
        <v>5</v>
      </c>
      <c r="CT2" s="1" t="s">
        <v>663</v>
      </c>
      <c r="CW2">
        <v>516</v>
      </c>
      <c r="CX2">
        <v>298</v>
      </c>
      <c r="CY2" t="s">
        <v>3222</v>
      </c>
      <c r="CZ2">
        <v>4</v>
      </c>
    </row>
    <row r="3" spans="1:104" x14ac:dyDescent="0.25">
      <c r="W3" t="str">
        <f>dbCorrelationTitle</f>
        <v>Correlazione</v>
      </c>
      <c r="Z3">
        <v>1</v>
      </c>
      <c r="AA3">
        <v>430</v>
      </c>
      <c r="AB3">
        <v>8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430</v>
      </c>
      <c r="AB4">
        <v>33</v>
      </c>
      <c r="AC4">
        <v>88</v>
      </c>
      <c r="AE4" t="s">
        <v>3223</v>
      </c>
      <c r="AH4">
        <v>2</v>
      </c>
      <c r="AI4">
        <v>412</v>
      </c>
      <c r="AJ4">
        <v>30</v>
      </c>
      <c r="AK4">
        <v>90</v>
      </c>
      <c r="AM4" t="s">
        <v>3223</v>
      </c>
      <c r="AP4">
        <v>2</v>
      </c>
      <c r="AQ4">
        <v>443</v>
      </c>
      <c r="AR4">
        <v>31</v>
      </c>
      <c r="AS4">
        <v>90</v>
      </c>
      <c r="AU4" t="s">
        <v>3223</v>
      </c>
      <c r="AX4">
        <v>2</v>
      </c>
      <c r="AY4">
        <v>418</v>
      </c>
      <c r="AZ4">
        <v>33</v>
      </c>
      <c r="BA4">
        <v>104</v>
      </c>
      <c r="BC4" t="s">
        <v>397</v>
      </c>
      <c r="BF4">
        <v>2</v>
      </c>
      <c r="BG4">
        <v>407</v>
      </c>
      <c r="BH4">
        <v>30</v>
      </c>
      <c r="BI4">
        <v>90</v>
      </c>
      <c r="BK4" t="s">
        <v>3223</v>
      </c>
      <c r="BN4">
        <v>2</v>
      </c>
      <c r="BO4">
        <v>407</v>
      </c>
      <c r="BP4">
        <v>30</v>
      </c>
      <c r="BQ4">
        <v>90</v>
      </c>
      <c r="BS4" t="s">
        <v>3223</v>
      </c>
      <c r="BV4">
        <v>2</v>
      </c>
      <c r="BW4">
        <v>407</v>
      </c>
      <c r="BX4">
        <v>30</v>
      </c>
      <c r="BY4">
        <v>90</v>
      </c>
      <c r="CA4" t="s">
        <v>3223</v>
      </c>
      <c r="CD4">
        <v>2</v>
      </c>
      <c r="CE4">
        <v>407</v>
      </c>
      <c r="CF4">
        <v>30</v>
      </c>
      <c r="CG4">
        <v>90</v>
      </c>
      <c r="CI4" t="s">
        <v>3223</v>
      </c>
      <c r="CL4">
        <v>2</v>
      </c>
      <c r="CM4">
        <v>407</v>
      </c>
      <c r="CN4">
        <v>30</v>
      </c>
      <c r="CO4">
        <v>90</v>
      </c>
      <c r="CQ4" t="s">
        <v>3223</v>
      </c>
      <c r="CT4">
        <v>2</v>
      </c>
      <c r="CU4">
        <v>410</v>
      </c>
      <c r="CV4">
        <v>31</v>
      </c>
      <c r="CW4">
        <v>90</v>
      </c>
      <c r="CY4" t="s">
        <v>3223</v>
      </c>
    </row>
    <row r="5" spans="1:104" x14ac:dyDescent="0.25">
      <c r="T5">
        <v>0</v>
      </c>
      <c r="U5" t="str">
        <f>dbAnova1Title</f>
        <v>Analisi varianza: ad un fattore</v>
      </c>
      <c r="V5">
        <v>0</v>
      </c>
      <c r="W5" t="str">
        <f>dbAnova1Title</f>
        <v>Analisi varianza: ad un fattore</v>
      </c>
      <c r="X5" t="s">
        <v>447</v>
      </c>
      <c r="Y5" s="1" t="s">
        <v>656</v>
      </c>
      <c r="Z5">
        <v>5</v>
      </c>
      <c r="AA5">
        <v>16</v>
      </c>
      <c r="AB5">
        <v>9</v>
      </c>
      <c r="AE5" t="s">
        <v>3224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399</v>
      </c>
      <c r="AP5">
        <v>14</v>
      </c>
      <c r="AQ5">
        <v>8</v>
      </c>
      <c r="AR5">
        <v>4</v>
      </c>
      <c r="AS5">
        <v>404</v>
      </c>
      <c r="AT5">
        <v>113</v>
      </c>
      <c r="AU5" t="s">
        <v>399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622</v>
      </c>
      <c r="BF5">
        <v>14</v>
      </c>
      <c r="BG5">
        <v>8</v>
      </c>
      <c r="BH5">
        <v>3</v>
      </c>
      <c r="BI5">
        <v>388</v>
      </c>
      <c r="BJ5">
        <v>94</v>
      </c>
      <c r="BK5" t="s">
        <v>399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399</v>
      </c>
      <c r="BV5">
        <v>14</v>
      </c>
      <c r="BW5">
        <v>8</v>
      </c>
      <c r="BX5">
        <v>2</v>
      </c>
      <c r="BY5">
        <v>388</v>
      </c>
      <c r="BZ5">
        <v>79</v>
      </c>
      <c r="CA5" t="s">
        <v>399</v>
      </c>
      <c r="CD5">
        <v>14</v>
      </c>
      <c r="CE5">
        <v>8</v>
      </c>
      <c r="CF5">
        <v>3</v>
      </c>
      <c r="CG5">
        <v>388</v>
      </c>
      <c r="CH5">
        <v>105</v>
      </c>
      <c r="CI5" t="s">
        <v>399</v>
      </c>
      <c r="CL5">
        <v>14</v>
      </c>
      <c r="CM5">
        <v>8</v>
      </c>
      <c r="CN5">
        <v>3</v>
      </c>
      <c r="CO5">
        <v>388</v>
      </c>
      <c r="CP5">
        <v>58</v>
      </c>
      <c r="CQ5" t="s">
        <v>399</v>
      </c>
      <c r="CT5">
        <v>5</v>
      </c>
      <c r="CU5">
        <v>16</v>
      </c>
      <c r="CV5">
        <v>11</v>
      </c>
      <c r="CY5" t="s">
        <v>3225</v>
      </c>
    </row>
    <row r="6" spans="1:104" x14ac:dyDescent="0.25">
      <c r="T6">
        <v>1</v>
      </c>
      <c r="U6" t="str">
        <f>dbAnova2Title</f>
        <v>Analisi varianza: a due fattori con replica</v>
      </c>
      <c r="V6">
        <v>1</v>
      </c>
      <c r="W6" t="str">
        <f>dbAnova2Title</f>
        <v>Analisi varianza: a due fattori con replica</v>
      </c>
      <c r="X6" t="s">
        <v>614</v>
      </c>
      <c r="Y6" s="1" t="s">
        <v>664</v>
      </c>
      <c r="Z6">
        <v>15</v>
      </c>
      <c r="AA6">
        <v>16</v>
      </c>
      <c r="AB6">
        <v>28</v>
      </c>
      <c r="AC6">
        <v>404</v>
      </c>
      <c r="AD6">
        <v>128</v>
      </c>
      <c r="AE6" t="s">
        <v>394</v>
      </c>
      <c r="AF6">
        <v>12</v>
      </c>
      <c r="AH6">
        <v>5</v>
      </c>
      <c r="AI6">
        <v>20</v>
      </c>
      <c r="AJ6">
        <v>19</v>
      </c>
      <c r="AM6" t="s">
        <v>3226</v>
      </c>
      <c r="AP6">
        <v>5</v>
      </c>
      <c r="AQ6">
        <v>20</v>
      </c>
      <c r="AR6">
        <v>22</v>
      </c>
      <c r="AU6" t="s">
        <v>3227</v>
      </c>
      <c r="AX6">
        <v>111</v>
      </c>
      <c r="BD6">
        <v>1</v>
      </c>
      <c r="BF6">
        <v>5</v>
      </c>
      <c r="BG6">
        <v>20</v>
      </c>
      <c r="BH6">
        <v>19</v>
      </c>
      <c r="BK6" t="s">
        <v>3226</v>
      </c>
      <c r="BN6">
        <v>5</v>
      </c>
      <c r="BO6">
        <v>18</v>
      </c>
      <c r="BP6">
        <v>19</v>
      </c>
      <c r="BS6" t="s">
        <v>3226</v>
      </c>
      <c r="BV6">
        <v>5</v>
      </c>
      <c r="BW6">
        <v>20</v>
      </c>
      <c r="BX6">
        <v>19</v>
      </c>
      <c r="CA6" t="s">
        <v>3226</v>
      </c>
      <c r="CD6">
        <v>5</v>
      </c>
      <c r="CE6">
        <v>20</v>
      </c>
      <c r="CF6">
        <v>19</v>
      </c>
      <c r="CI6" t="s">
        <v>3228</v>
      </c>
      <c r="CL6">
        <v>5</v>
      </c>
      <c r="CM6">
        <v>20</v>
      </c>
      <c r="CN6">
        <v>19</v>
      </c>
      <c r="CQ6" t="s">
        <v>3226</v>
      </c>
      <c r="CT6">
        <v>7</v>
      </c>
      <c r="CU6">
        <v>244</v>
      </c>
      <c r="CV6">
        <v>9</v>
      </c>
      <c r="CW6">
        <v>150</v>
      </c>
    </row>
    <row r="7" spans="1:104" x14ac:dyDescent="0.25">
      <c r="T7">
        <v>2</v>
      </c>
      <c r="U7" t="str">
        <f>dbAnova3Title</f>
        <v>Analisi varianza: a due fattori senza replica</v>
      </c>
      <c r="V7">
        <v>2</v>
      </c>
      <c r="W7" t="str">
        <f>dbAnova3Title</f>
        <v>Analisi varianza: a due fattori senza replica</v>
      </c>
      <c r="X7" t="s">
        <v>315</v>
      </c>
      <c r="Y7" s="1" t="s">
        <v>665</v>
      </c>
      <c r="Z7">
        <v>24</v>
      </c>
      <c r="AA7">
        <v>430</v>
      </c>
      <c r="AB7">
        <v>64</v>
      </c>
      <c r="AC7">
        <v>88</v>
      </c>
      <c r="AH7">
        <v>10</v>
      </c>
      <c r="AI7">
        <v>222</v>
      </c>
      <c r="AJ7">
        <v>17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222</v>
      </c>
      <c r="BH7">
        <v>17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16</v>
      </c>
      <c r="CV7">
        <v>32</v>
      </c>
      <c r="CY7" t="s">
        <v>3229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Correlazione</v>
      </c>
      <c r="V8">
        <v>3</v>
      </c>
      <c r="W8" t="str">
        <f>dbCorrelationTitle</f>
        <v>Correlazione</v>
      </c>
      <c r="X8" t="s">
        <v>450</v>
      </c>
      <c r="Y8" s="1" t="s">
        <v>658</v>
      </c>
      <c r="AH8">
        <v>5</v>
      </c>
      <c r="AI8">
        <v>20</v>
      </c>
      <c r="AJ8">
        <v>44</v>
      </c>
      <c r="AM8" t="s">
        <v>3230</v>
      </c>
      <c r="AP8">
        <v>5</v>
      </c>
      <c r="AQ8">
        <v>20</v>
      </c>
      <c r="AR8">
        <v>48</v>
      </c>
      <c r="AU8" t="s">
        <v>3231</v>
      </c>
      <c r="AX8">
        <v>12</v>
      </c>
      <c r="AZ8">
        <v>90</v>
      </c>
      <c r="BC8" t="s">
        <v>478</v>
      </c>
      <c r="BF8">
        <v>5</v>
      </c>
      <c r="BG8">
        <v>20</v>
      </c>
      <c r="BH8">
        <v>44</v>
      </c>
      <c r="BK8" t="s">
        <v>3230</v>
      </c>
      <c r="BN8">
        <v>5</v>
      </c>
      <c r="BO8">
        <v>18</v>
      </c>
      <c r="BP8">
        <v>44</v>
      </c>
      <c r="BS8" t="s">
        <v>3230</v>
      </c>
      <c r="BV8">
        <v>5</v>
      </c>
      <c r="BW8">
        <v>20</v>
      </c>
      <c r="BX8">
        <v>40</v>
      </c>
      <c r="CA8" t="s">
        <v>3232</v>
      </c>
      <c r="CD8">
        <v>5</v>
      </c>
      <c r="CE8">
        <v>20</v>
      </c>
      <c r="CF8">
        <v>41</v>
      </c>
      <c r="CI8" t="s">
        <v>3233</v>
      </c>
      <c r="CL8">
        <v>13</v>
      </c>
      <c r="CM8">
        <v>20</v>
      </c>
      <c r="CN8">
        <v>39</v>
      </c>
      <c r="CQ8" t="s">
        <v>3234</v>
      </c>
      <c r="CR8" t="b">
        <v>0</v>
      </c>
      <c r="CT8">
        <v>7</v>
      </c>
      <c r="CU8">
        <v>244</v>
      </c>
      <c r="CV8">
        <v>32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Covarianza</v>
      </c>
      <c r="V9">
        <v>4</v>
      </c>
      <c r="W9" t="str">
        <f>dbCovarianceTitle</f>
        <v>Covarianza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624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388</v>
      </c>
      <c r="CP9">
        <v>105</v>
      </c>
      <c r="CQ9" t="s">
        <v>3235</v>
      </c>
      <c r="CT9">
        <v>5</v>
      </c>
      <c r="CU9">
        <v>16</v>
      </c>
      <c r="CV9">
        <v>64</v>
      </c>
      <c r="CY9" t="s">
        <v>3236</v>
      </c>
    </row>
    <row r="10" spans="1:104" x14ac:dyDescent="0.25">
      <c r="A10" t="s">
        <v>505</v>
      </c>
      <c r="B10" t="s">
        <v>3237</v>
      </c>
      <c r="T10">
        <v>5</v>
      </c>
      <c r="U10" t="str">
        <f>dbDescripTitle</f>
        <v>Statistica descrittiva</v>
      </c>
      <c r="V10">
        <v>5</v>
      </c>
      <c r="W10" t="str">
        <f>dbDescripTitle</f>
        <v>Statistica descrittiva</v>
      </c>
      <c r="X10" t="s">
        <v>451</v>
      </c>
      <c r="Y10" s="1" t="s">
        <v>659</v>
      </c>
      <c r="AH10">
        <v>12</v>
      </c>
      <c r="AI10">
        <v>222</v>
      </c>
      <c r="AJ10">
        <v>40</v>
      </c>
      <c r="AM10" t="s">
        <v>3238</v>
      </c>
      <c r="AP10">
        <v>13</v>
      </c>
      <c r="AQ10">
        <v>20</v>
      </c>
      <c r="AR10">
        <v>70</v>
      </c>
      <c r="AU10" t="s">
        <v>3234</v>
      </c>
      <c r="AV10" t="b">
        <v>0</v>
      </c>
      <c r="AX10">
        <v>12</v>
      </c>
      <c r="AZ10">
        <v>130</v>
      </c>
      <c r="BC10" t="s">
        <v>625</v>
      </c>
      <c r="BF10">
        <v>12</v>
      </c>
      <c r="BG10">
        <v>222</v>
      </c>
      <c r="BH10">
        <v>40</v>
      </c>
      <c r="BK10" t="s">
        <v>3238</v>
      </c>
      <c r="BN10">
        <v>12</v>
      </c>
      <c r="BO10">
        <v>220</v>
      </c>
      <c r="BP10">
        <v>40</v>
      </c>
      <c r="BS10" t="s">
        <v>3238</v>
      </c>
      <c r="BV10">
        <v>13</v>
      </c>
      <c r="BW10">
        <v>20</v>
      </c>
      <c r="BX10">
        <v>60</v>
      </c>
      <c r="CA10" t="s">
        <v>3234</v>
      </c>
      <c r="CB10" t="b">
        <v>0</v>
      </c>
      <c r="CD10">
        <v>13</v>
      </c>
      <c r="CE10">
        <v>20</v>
      </c>
      <c r="CF10">
        <v>59</v>
      </c>
      <c r="CI10" t="s">
        <v>3234</v>
      </c>
      <c r="CJ10" t="b">
        <v>0</v>
      </c>
      <c r="CL10">
        <v>111</v>
      </c>
      <c r="CR10">
        <v>2</v>
      </c>
      <c r="CT10">
        <v>121</v>
      </c>
      <c r="CU10">
        <v>142</v>
      </c>
      <c r="CV10">
        <v>62</v>
      </c>
      <c r="CW10">
        <v>252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3239</v>
      </c>
      <c r="T11">
        <v>6</v>
      </c>
      <c r="U11" t="str">
        <f>dbExponentTitle</f>
        <v>Smorzamento esponenziale</v>
      </c>
      <c r="V11">
        <v>6</v>
      </c>
      <c r="W11" t="str">
        <f>dbExponentTitle</f>
        <v>Smorzamento esponenziale</v>
      </c>
      <c r="X11" t="s">
        <v>452</v>
      </c>
      <c r="Y11" s="1" t="s">
        <v>660</v>
      </c>
      <c r="AH11">
        <v>12</v>
      </c>
      <c r="AM11" t="s">
        <v>3240</v>
      </c>
      <c r="AP11">
        <v>13</v>
      </c>
      <c r="AQ11">
        <v>220</v>
      </c>
      <c r="AR11">
        <v>70</v>
      </c>
      <c r="AU11" t="s">
        <v>3241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3240</v>
      </c>
      <c r="BN11">
        <v>12</v>
      </c>
      <c r="BS11" t="s">
        <v>3240</v>
      </c>
      <c r="BV11">
        <v>14</v>
      </c>
      <c r="BW11">
        <v>8</v>
      </c>
      <c r="BX11">
        <v>86</v>
      </c>
      <c r="BY11">
        <v>388</v>
      </c>
      <c r="BZ11">
        <v>100</v>
      </c>
      <c r="CA11" t="s">
        <v>3242</v>
      </c>
      <c r="CD11">
        <v>5</v>
      </c>
      <c r="CE11">
        <v>20</v>
      </c>
      <c r="CF11">
        <v>80</v>
      </c>
      <c r="CI11" t="s">
        <v>1019</v>
      </c>
      <c r="CL11">
        <v>12</v>
      </c>
      <c r="CM11">
        <v>20</v>
      </c>
      <c r="CN11">
        <v>84</v>
      </c>
      <c r="CQ11" t="s">
        <v>3243</v>
      </c>
      <c r="CT11">
        <v>14</v>
      </c>
      <c r="CU11">
        <v>8</v>
      </c>
      <c r="CV11">
        <v>84</v>
      </c>
      <c r="CW11">
        <v>388</v>
      </c>
      <c r="CX11">
        <v>95</v>
      </c>
      <c r="CY11" t="s">
        <v>3244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Test F a due campioni per varianze</v>
      </c>
      <c r="V12">
        <v>7</v>
      </c>
      <c r="W12" t="str">
        <f>dbFTestTitle</f>
        <v>Test F a due campioni per varianze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3239</v>
      </c>
      <c r="AN12" t="b">
        <v>0</v>
      </c>
      <c r="AP12">
        <v>113</v>
      </c>
      <c r="AQ12">
        <v>20</v>
      </c>
      <c r="AR12">
        <v>93</v>
      </c>
      <c r="AU12" t="s">
        <v>3245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3239</v>
      </c>
      <c r="BL12" t="b">
        <v>0</v>
      </c>
      <c r="BN12">
        <v>13</v>
      </c>
      <c r="BO12">
        <v>18</v>
      </c>
      <c r="BP12">
        <v>75</v>
      </c>
      <c r="BS12" t="s">
        <v>3239</v>
      </c>
      <c r="BT12" t="b">
        <v>0</v>
      </c>
      <c r="BV12">
        <v>5</v>
      </c>
      <c r="CB12">
        <v>1</v>
      </c>
      <c r="CD12">
        <v>8</v>
      </c>
      <c r="CE12">
        <v>63</v>
      </c>
      <c r="CF12">
        <v>78</v>
      </c>
      <c r="CG12">
        <v>68</v>
      </c>
      <c r="CJ12">
        <v>0.05</v>
      </c>
      <c r="CL12">
        <v>12</v>
      </c>
      <c r="CN12">
        <v>126</v>
      </c>
      <c r="CQ12" t="s">
        <v>3246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Analisi di Fourier</v>
      </c>
      <c r="V13">
        <v>8</v>
      </c>
      <c r="W13" t="str">
        <f>dbFourierTitle</f>
        <v>Analisi di Fourier</v>
      </c>
      <c r="X13" t="s">
        <v>334</v>
      </c>
      <c r="Y13" s="1" t="s">
        <v>667</v>
      </c>
      <c r="AH13">
        <v>5</v>
      </c>
      <c r="AI13">
        <v>20</v>
      </c>
      <c r="AJ13">
        <v>97</v>
      </c>
      <c r="AM13" t="s">
        <v>1019</v>
      </c>
      <c r="AP13">
        <v>208</v>
      </c>
      <c r="AQ13">
        <v>220</v>
      </c>
      <c r="AR13">
        <v>91</v>
      </c>
      <c r="AS13">
        <v>106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388</v>
      </c>
      <c r="BJ13">
        <v>81</v>
      </c>
      <c r="BK13" t="s">
        <v>3242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3242</v>
      </c>
      <c r="BV13">
        <v>5</v>
      </c>
      <c r="BW13">
        <v>20</v>
      </c>
      <c r="BX13">
        <v>99</v>
      </c>
      <c r="CA13" t="s">
        <v>3247</v>
      </c>
      <c r="CD13">
        <v>14</v>
      </c>
      <c r="CE13">
        <v>8</v>
      </c>
      <c r="CF13">
        <v>113</v>
      </c>
      <c r="CG13">
        <v>388</v>
      </c>
      <c r="CH13">
        <v>81</v>
      </c>
      <c r="CI13" t="s">
        <v>3242</v>
      </c>
      <c r="CL13">
        <v>5</v>
      </c>
      <c r="CM13">
        <v>44</v>
      </c>
      <c r="CN13">
        <v>103</v>
      </c>
      <c r="CQ13" t="s">
        <v>3248</v>
      </c>
      <c r="CT13">
        <v>5</v>
      </c>
    </row>
    <row r="14" spans="1:104" x14ac:dyDescent="0.25">
      <c r="A14" t="s">
        <v>404</v>
      </c>
      <c r="B14" t="s">
        <v>3249</v>
      </c>
      <c r="T14">
        <v>9</v>
      </c>
      <c r="U14" t="str">
        <f>dbHistogramTitle</f>
        <v>Istogramma</v>
      </c>
      <c r="V14">
        <v>9</v>
      </c>
      <c r="W14" t="str">
        <f>dbHistogramTitle</f>
        <v>Istogramma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334</v>
      </c>
      <c r="AR14">
        <v>93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165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101</v>
      </c>
      <c r="CO14">
        <v>128</v>
      </c>
      <c r="CT14">
        <v>5</v>
      </c>
    </row>
    <row r="15" spans="1:104" x14ac:dyDescent="0.25">
      <c r="A15" t="s">
        <v>522</v>
      </c>
      <c r="B15" t="s">
        <v>3251</v>
      </c>
      <c r="T15">
        <v>10</v>
      </c>
      <c r="U15" t="str">
        <f>dbMovingTitle</f>
        <v>Media mobile</v>
      </c>
      <c r="V15">
        <v>10</v>
      </c>
      <c r="W15" t="str">
        <f>dbMovingTitle</f>
        <v>Media mobile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81</v>
      </c>
      <c r="AM15" t="s">
        <v>3242</v>
      </c>
      <c r="AP15">
        <v>14</v>
      </c>
      <c r="AQ15">
        <v>8</v>
      </c>
      <c r="AR15">
        <v>120</v>
      </c>
      <c r="AS15">
        <v>404</v>
      </c>
      <c r="AT15">
        <v>213</v>
      </c>
      <c r="AU15" t="s">
        <v>3242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3247</v>
      </c>
      <c r="BN15">
        <v>12</v>
      </c>
      <c r="BO15">
        <v>18</v>
      </c>
      <c r="BP15">
        <v>127</v>
      </c>
      <c r="BS15" t="s">
        <v>3247</v>
      </c>
      <c r="BV15">
        <v>205</v>
      </c>
      <c r="BW15">
        <v>20</v>
      </c>
      <c r="BX15">
        <v>119</v>
      </c>
      <c r="CA15" t="s">
        <v>3250</v>
      </c>
      <c r="CD15">
        <v>12</v>
      </c>
      <c r="CE15">
        <v>20</v>
      </c>
      <c r="CF15">
        <v>129</v>
      </c>
      <c r="CI15" t="s">
        <v>3247</v>
      </c>
      <c r="CL15">
        <v>5</v>
      </c>
      <c r="CM15">
        <v>44</v>
      </c>
      <c r="CN15">
        <v>146</v>
      </c>
      <c r="CQ15" t="s">
        <v>3253</v>
      </c>
      <c r="CT15">
        <v>5</v>
      </c>
    </row>
    <row r="16" spans="1:104" x14ac:dyDescent="0.25">
      <c r="A16" t="s">
        <v>526</v>
      </c>
      <c r="B16" t="s">
        <v>3254</v>
      </c>
      <c r="T16">
        <v>11</v>
      </c>
      <c r="U16" t="str">
        <f>dbRandomTitle</f>
        <v>Generazione di un numero casuale</v>
      </c>
      <c r="V16">
        <v>11</v>
      </c>
      <c r="W16" t="str">
        <f>dbRandomTitle</f>
        <v>Generazione di un numero casuale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3250</v>
      </c>
      <c r="BN16">
        <v>12</v>
      </c>
      <c r="BP16">
        <v>147</v>
      </c>
      <c r="BS16" t="s">
        <v>3250</v>
      </c>
      <c r="BV16">
        <v>206</v>
      </c>
      <c r="BW16">
        <v>220</v>
      </c>
      <c r="BX16">
        <v>117</v>
      </c>
      <c r="BY16">
        <v>165</v>
      </c>
      <c r="CD16">
        <v>12</v>
      </c>
      <c r="CF16">
        <v>150</v>
      </c>
      <c r="CI16" t="s">
        <v>3250</v>
      </c>
      <c r="CL16">
        <v>7</v>
      </c>
      <c r="CM16">
        <v>220</v>
      </c>
      <c r="CN16">
        <v>144</v>
      </c>
      <c r="CO16">
        <v>128</v>
      </c>
      <c r="CT16">
        <v>5</v>
      </c>
    </row>
    <row r="17" spans="1:104" x14ac:dyDescent="0.25">
      <c r="A17" t="s">
        <v>528</v>
      </c>
      <c r="B17" t="s">
        <v>3255</v>
      </c>
      <c r="T17">
        <v>12</v>
      </c>
      <c r="U17" t="str">
        <f>dbRankPerTitle</f>
        <v>Rango e percentile</v>
      </c>
      <c r="V17">
        <v>12</v>
      </c>
      <c r="W17" t="str">
        <f>dbRankPerTitle</f>
        <v>Rango e percentile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3247</v>
      </c>
      <c r="AP17">
        <v>12</v>
      </c>
      <c r="AQ17">
        <v>20</v>
      </c>
      <c r="AR17">
        <v>139</v>
      </c>
      <c r="AU17" t="s">
        <v>3247</v>
      </c>
      <c r="BF17">
        <v>12</v>
      </c>
      <c r="BH17">
        <v>160</v>
      </c>
      <c r="BK17" t="s">
        <v>3252</v>
      </c>
      <c r="BN17">
        <v>12</v>
      </c>
      <c r="BP17">
        <v>167</v>
      </c>
      <c r="BS17" t="s">
        <v>3252</v>
      </c>
      <c r="BV17">
        <v>205</v>
      </c>
      <c r="BW17">
        <v>20</v>
      </c>
      <c r="BX17">
        <v>139</v>
      </c>
      <c r="CA17" t="s">
        <v>3252</v>
      </c>
      <c r="CD17">
        <v>12</v>
      </c>
      <c r="CF17">
        <v>170</v>
      </c>
      <c r="CI17" t="s">
        <v>3252</v>
      </c>
      <c r="CL17">
        <v>14</v>
      </c>
      <c r="CM17">
        <v>8</v>
      </c>
      <c r="CN17">
        <v>174</v>
      </c>
      <c r="CO17">
        <v>388</v>
      </c>
      <c r="CP17">
        <v>81</v>
      </c>
      <c r="CQ17" t="s">
        <v>3242</v>
      </c>
      <c r="CT17">
        <v>5</v>
      </c>
    </row>
    <row r="18" spans="1:104" x14ac:dyDescent="0.25">
      <c r="A18" t="s">
        <v>531</v>
      </c>
      <c r="B18" t="s">
        <v>3256</v>
      </c>
      <c r="T18">
        <v>13</v>
      </c>
      <c r="U18" t="str">
        <f>dbRegressionTitle</f>
        <v>Regressione</v>
      </c>
      <c r="V18">
        <v>13</v>
      </c>
      <c r="W18" t="str">
        <f>dbRegressionTitle</f>
        <v>Regressione</v>
      </c>
      <c r="X18" t="s">
        <v>448</v>
      </c>
      <c r="Y18" s="1" t="s">
        <v>657</v>
      </c>
      <c r="AH18">
        <v>12</v>
      </c>
      <c r="AJ18">
        <v>169</v>
      </c>
      <c r="AM18" t="s">
        <v>3250</v>
      </c>
      <c r="AP18">
        <v>12</v>
      </c>
      <c r="AR18">
        <v>159</v>
      </c>
      <c r="AU18" t="s">
        <v>3250</v>
      </c>
      <c r="BF18">
        <v>210</v>
      </c>
      <c r="BG18">
        <v>222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20</v>
      </c>
      <c r="BX18">
        <v>162</v>
      </c>
      <c r="CA18" t="s">
        <v>3257</v>
      </c>
      <c r="CB18" t="b">
        <v>0</v>
      </c>
      <c r="CD18">
        <v>210</v>
      </c>
      <c r="CE18">
        <v>220</v>
      </c>
      <c r="CF18">
        <v>127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3258</v>
      </c>
      <c r="T19">
        <v>14</v>
      </c>
      <c r="U19" t="str">
        <f>dbSamplingTitle</f>
        <v>Campionamento</v>
      </c>
      <c r="V19">
        <v>14</v>
      </c>
      <c r="W19" t="str">
        <f>dbSamplingTitle</f>
        <v>Campionamento</v>
      </c>
      <c r="X19" t="s">
        <v>585</v>
      </c>
      <c r="Y19" s="1" t="s">
        <v>662</v>
      </c>
      <c r="AH19">
        <v>12</v>
      </c>
      <c r="AJ19">
        <v>189</v>
      </c>
      <c r="AM19" t="s">
        <v>3252</v>
      </c>
      <c r="AP19">
        <v>12</v>
      </c>
      <c r="AR19">
        <v>180</v>
      </c>
      <c r="AU19" t="s">
        <v>3252</v>
      </c>
      <c r="BF19">
        <v>6</v>
      </c>
      <c r="BG19">
        <v>222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162</v>
      </c>
      <c r="CA19" t="s">
        <v>3259</v>
      </c>
      <c r="CB19" t="b">
        <v>0</v>
      </c>
      <c r="CD19">
        <v>6</v>
      </c>
      <c r="CE19">
        <v>220</v>
      </c>
      <c r="CF19">
        <v>148</v>
      </c>
      <c r="CG19">
        <v>160</v>
      </c>
      <c r="CL19">
        <v>12</v>
      </c>
      <c r="CM19">
        <v>20</v>
      </c>
      <c r="CN19">
        <v>190</v>
      </c>
      <c r="CQ19" t="s">
        <v>3247</v>
      </c>
      <c r="CT19">
        <v>5</v>
      </c>
    </row>
    <row r="20" spans="1:104" x14ac:dyDescent="0.25">
      <c r="A20" t="s">
        <v>343</v>
      </c>
      <c r="B20" t="s">
        <v>3214</v>
      </c>
      <c r="T20">
        <v>15</v>
      </c>
      <c r="U20" t="str">
        <f>dbTTest1Title</f>
        <v>Test t: due campioni accoppiati per medie</v>
      </c>
      <c r="V20">
        <v>15</v>
      </c>
      <c r="W20" t="str">
        <f>dbTTest1Title</f>
        <v>Test t: due campioni accoppiati per medie</v>
      </c>
      <c r="X20" t="s">
        <v>344</v>
      </c>
      <c r="Y20" s="1" t="s">
        <v>671</v>
      </c>
      <c r="AH20">
        <v>210</v>
      </c>
      <c r="AI20">
        <v>222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137</v>
      </c>
      <c r="AS20">
        <v>160</v>
      </c>
      <c r="AV20" t="s">
        <v>316</v>
      </c>
      <c r="BF20">
        <v>24</v>
      </c>
      <c r="BG20">
        <v>408</v>
      </c>
      <c r="BH20">
        <v>59</v>
      </c>
      <c r="BI20">
        <v>90</v>
      </c>
      <c r="BN20">
        <v>13</v>
      </c>
      <c r="BO20">
        <v>18</v>
      </c>
      <c r="BP20">
        <v>189</v>
      </c>
      <c r="BS20" t="s">
        <v>3260</v>
      </c>
      <c r="BT20" t="b">
        <v>0</v>
      </c>
      <c r="BV20">
        <v>24</v>
      </c>
      <c r="BW20">
        <v>407</v>
      </c>
      <c r="BX20">
        <v>56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3250</v>
      </c>
      <c r="CT20">
        <v>5</v>
      </c>
    </row>
    <row r="21" spans="1:104" x14ac:dyDescent="0.25">
      <c r="A21" t="s">
        <v>346</v>
      </c>
      <c r="B21" t="s">
        <v>3261</v>
      </c>
      <c r="T21">
        <v>16</v>
      </c>
      <c r="U21" t="str">
        <f>dbTTest2Title</f>
        <v>Test t: due campioni assumendo uguale varianza</v>
      </c>
      <c r="V21">
        <v>16</v>
      </c>
      <c r="W21" t="str">
        <f>dbTTest2Title</f>
        <v>Test t: due campioni assumendo uguale varianza</v>
      </c>
      <c r="X21" t="s">
        <v>445</v>
      </c>
      <c r="Y21" s="1" t="s">
        <v>672</v>
      </c>
      <c r="AH21">
        <v>6</v>
      </c>
      <c r="AI21">
        <v>222</v>
      </c>
      <c r="AJ21">
        <v>167</v>
      </c>
      <c r="AK21">
        <v>160</v>
      </c>
      <c r="AP21">
        <v>6</v>
      </c>
      <c r="AQ21">
        <v>234</v>
      </c>
      <c r="AR21">
        <v>157</v>
      </c>
      <c r="AS21">
        <v>160</v>
      </c>
      <c r="BN21">
        <v>113</v>
      </c>
      <c r="BO21">
        <v>18</v>
      </c>
      <c r="BP21">
        <v>209</v>
      </c>
      <c r="BS21" t="s">
        <v>3262</v>
      </c>
      <c r="BT21" t="b">
        <v>0</v>
      </c>
      <c r="CL21">
        <v>12</v>
      </c>
      <c r="CN21">
        <v>230</v>
      </c>
      <c r="CQ21" t="s">
        <v>3252</v>
      </c>
      <c r="CT21">
        <v>5</v>
      </c>
    </row>
    <row r="22" spans="1:104" x14ac:dyDescent="0.25">
      <c r="A22" t="s">
        <v>440</v>
      </c>
      <c r="B22" t="s">
        <v>3215</v>
      </c>
      <c r="T22">
        <v>17</v>
      </c>
      <c r="U22" t="str">
        <f>dbTTest3Title</f>
        <v>Test t: due campioni assumendo varianze diverse</v>
      </c>
      <c r="V22">
        <v>17</v>
      </c>
      <c r="W22" t="str">
        <f>dbTTest3Title</f>
        <v>Test t: due campioni assumendo varianze diverse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14</v>
      </c>
      <c r="AR22">
        <v>199</v>
      </c>
      <c r="AS22">
        <v>380</v>
      </c>
      <c r="AT22">
        <v>84</v>
      </c>
      <c r="AU22" t="s">
        <v>3263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20</v>
      </c>
      <c r="CV22">
        <v>99</v>
      </c>
      <c r="CY22" t="s">
        <v>3264</v>
      </c>
    </row>
    <row r="23" spans="1:104" x14ac:dyDescent="0.25">
      <c r="A23" t="s">
        <v>443</v>
      </c>
      <c r="B23" t="s">
        <v>3265</v>
      </c>
      <c r="T23">
        <v>18</v>
      </c>
      <c r="U23" t="str">
        <f>dbZTestTitle</f>
        <v>Test z: due campioni per medie</v>
      </c>
      <c r="V23">
        <v>18</v>
      </c>
      <c r="W23" t="str">
        <f>dbZTestTitle</f>
        <v>Test z: due campioni per medie</v>
      </c>
      <c r="X23" t="s">
        <v>357</v>
      </c>
      <c r="Y23" s="1" t="s">
        <v>674</v>
      </c>
      <c r="AP23">
        <v>13</v>
      </c>
      <c r="AR23">
        <v>213</v>
      </c>
      <c r="AU23" t="s">
        <v>3266</v>
      </c>
      <c r="AV23" t="b">
        <v>0</v>
      </c>
      <c r="BF23" s="1" t="s">
        <v>666</v>
      </c>
      <c r="BI23">
        <v>523</v>
      </c>
      <c r="BJ23">
        <v>191</v>
      </c>
      <c r="BK23" t="s">
        <v>3267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20</v>
      </c>
      <c r="CV23">
        <v>120</v>
      </c>
      <c r="CW23">
        <v>312</v>
      </c>
    </row>
    <row r="24" spans="1:104" x14ac:dyDescent="0.25">
      <c r="A24" t="s">
        <v>360</v>
      </c>
      <c r="B24" t="s">
        <v>3268</v>
      </c>
      <c r="X24" t="s">
        <v>551</v>
      </c>
      <c r="AP24">
        <v>13</v>
      </c>
      <c r="AR24">
        <v>229</v>
      </c>
      <c r="AU24" t="s">
        <v>3269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3270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20</v>
      </c>
      <c r="CV24">
        <v>186</v>
      </c>
      <c r="CY24" t="s">
        <v>3271</v>
      </c>
    </row>
    <row r="25" spans="1:104" x14ac:dyDescent="0.25">
      <c r="A25" t="s">
        <v>552</v>
      </c>
      <c r="B25" t="s">
        <v>3272</v>
      </c>
      <c r="X25" t="s">
        <v>554</v>
      </c>
      <c r="AH25" t="s">
        <v>614</v>
      </c>
      <c r="AP25">
        <v>13</v>
      </c>
      <c r="AQ25">
        <v>20</v>
      </c>
      <c r="AR25">
        <v>246</v>
      </c>
      <c r="AU25" t="s">
        <v>3273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3223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3274</v>
      </c>
      <c r="CJ25">
        <v>5</v>
      </c>
      <c r="CT25">
        <v>7</v>
      </c>
      <c r="CU25">
        <v>222</v>
      </c>
      <c r="CV25">
        <v>184</v>
      </c>
      <c r="CW25">
        <v>160</v>
      </c>
      <c r="CZ25" t="s">
        <v>316</v>
      </c>
    </row>
    <row r="26" spans="1:104" x14ac:dyDescent="0.25">
      <c r="A26" t="s">
        <v>573</v>
      </c>
      <c r="B26" t="s">
        <v>3275</v>
      </c>
      <c r="X26" t="s">
        <v>376</v>
      </c>
      <c r="AH26" s="1" t="s">
        <v>664</v>
      </c>
      <c r="AK26">
        <v>509</v>
      </c>
      <c r="AL26">
        <v>187</v>
      </c>
      <c r="AM26" t="s">
        <v>3265</v>
      </c>
      <c r="AN26">
        <v>5</v>
      </c>
      <c r="AP26">
        <v>13</v>
      </c>
      <c r="AR26">
        <v>261</v>
      </c>
      <c r="AU26" t="s">
        <v>3276</v>
      </c>
      <c r="AV26" t="b">
        <v>0</v>
      </c>
      <c r="BF26">
        <v>14</v>
      </c>
      <c r="BG26">
        <v>8</v>
      </c>
      <c r="BH26">
        <v>3</v>
      </c>
      <c r="BI26">
        <v>388</v>
      </c>
      <c r="BJ26">
        <v>94</v>
      </c>
      <c r="BK26" t="s">
        <v>399</v>
      </c>
      <c r="BN26">
        <v>113</v>
      </c>
      <c r="BO26">
        <v>18</v>
      </c>
      <c r="BP26">
        <v>247</v>
      </c>
      <c r="BS26" t="s">
        <v>3277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8</v>
      </c>
      <c r="CV26">
        <v>209</v>
      </c>
      <c r="CW26">
        <v>388</v>
      </c>
      <c r="CX26">
        <v>81</v>
      </c>
      <c r="CY26" t="s">
        <v>3242</v>
      </c>
    </row>
    <row r="27" spans="1:104" x14ac:dyDescent="0.25">
      <c r="A27" t="s">
        <v>377</v>
      </c>
      <c r="B27" t="s">
        <v>3278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14</v>
      </c>
      <c r="AR27">
        <v>286</v>
      </c>
      <c r="AS27">
        <v>380</v>
      </c>
      <c r="AT27">
        <v>38</v>
      </c>
      <c r="AU27" t="s">
        <v>3279</v>
      </c>
      <c r="BF27">
        <v>5</v>
      </c>
      <c r="BG27">
        <v>20</v>
      </c>
      <c r="BH27">
        <v>19</v>
      </c>
      <c r="BK27" t="s">
        <v>3226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3223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3280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3223</v>
      </c>
      <c r="AP28">
        <v>13</v>
      </c>
      <c r="AR28">
        <v>299</v>
      </c>
      <c r="AU28" t="s">
        <v>3281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399</v>
      </c>
      <c r="CT28">
        <v>12</v>
      </c>
      <c r="CU28">
        <v>17</v>
      </c>
      <c r="CV28">
        <v>225</v>
      </c>
      <c r="CY28" t="s">
        <v>3247</v>
      </c>
    </row>
    <row r="29" spans="1:104" x14ac:dyDescent="0.25">
      <c r="A29" t="s">
        <v>383</v>
      </c>
      <c r="B29" t="s">
        <v>3282</v>
      </c>
      <c r="X29" t="s">
        <v>599</v>
      </c>
      <c r="AH29">
        <v>14</v>
      </c>
      <c r="AI29">
        <v>8</v>
      </c>
      <c r="AJ29">
        <v>3</v>
      </c>
      <c r="AK29">
        <v>388</v>
      </c>
      <c r="AL29">
        <v>89</v>
      </c>
      <c r="AM29" t="s">
        <v>399</v>
      </c>
      <c r="AP29">
        <v>24</v>
      </c>
      <c r="AQ29">
        <v>443</v>
      </c>
      <c r="AR29">
        <v>67</v>
      </c>
      <c r="AS29">
        <v>90</v>
      </c>
      <c r="BF29">
        <v>5</v>
      </c>
      <c r="BG29">
        <v>20</v>
      </c>
      <c r="BH29">
        <v>44</v>
      </c>
      <c r="BK29" t="s">
        <v>3230</v>
      </c>
      <c r="CD29">
        <v>5</v>
      </c>
      <c r="CE29">
        <v>20</v>
      </c>
      <c r="CF29">
        <v>21</v>
      </c>
      <c r="CI29" t="s">
        <v>3228</v>
      </c>
      <c r="CT29">
        <v>12</v>
      </c>
      <c r="CV29">
        <v>245</v>
      </c>
      <c r="CY29" t="s">
        <v>3250</v>
      </c>
    </row>
    <row r="30" spans="1:104" x14ac:dyDescent="0.25">
      <c r="A30" t="s">
        <v>600</v>
      </c>
      <c r="B30" t="s">
        <v>3283</v>
      </c>
      <c r="X30" t="s">
        <v>332</v>
      </c>
      <c r="AH30">
        <v>5</v>
      </c>
      <c r="AI30">
        <v>20</v>
      </c>
      <c r="AJ30">
        <v>19</v>
      </c>
      <c r="AM30" t="s">
        <v>3226</v>
      </c>
      <c r="BF30">
        <v>111</v>
      </c>
      <c r="BL30">
        <v>1</v>
      </c>
      <c r="CD30">
        <v>10</v>
      </c>
      <c r="CE30">
        <v>220</v>
      </c>
      <c r="CF30">
        <v>19</v>
      </c>
      <c r="CG30">
        <v>178</v>
      </c>
      <c r="CJ30" t="s">
        <v>316</v>
      </c>
      <c r="CT30">
        <v>12</v>
      </c>
      <c r="CV30">
        <v>265</v>
      </c>
      <c r="CY30" t="s">
        <v>3252</v>
      </c>
    </row>
    <row r="31" spans="1:104" x14ac:dyDescent="0.25">
      <c r="A31" t="s">
        <v>602</v>
      </c>
      <c r="B31" t="s">
        <v>3284</v>
      </c>
      <c r="X31" t="s">
        <v>263</v>
      </c>
      <c r="AH31">
        <v>10</v>
      </c>
      <c r="AI31">
        <v>222</v>
      </c>
      <c r="AJ31">
        <v>17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3238</v>
      </c>
      <c r="CD31">
        <v>5</v>
      </c>
      <c r="CE31">
        <v>20</v>
      </c>
      <c r="CF31">
        <v>41</v>
      </c>
      <c r="CI31" t="s">
        <v>3233</v>
      </c>
      <c r="CT31">
        <v>210</v>
      </c>
      <c r="CU31">
        <v>222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3285</v>
      </c>
      <c r="AH32">
        <v>5</v>
      </c>
      <c r="AI32">
        <v>20</v>
      </c>
      <c r="AJ32">
        <v>44</v>
      </c>
      <c r="AM32" t="s">
        <v>3286</v>
      </c>
      <c r="BF32">
        <v>12</v>
      </c>
      <c r="BK32" t="s">
        <v>3240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222</v>
      </c>
      <c r="CV32">
        <v>243</v>
      </c>
      <c r="CW32">
        <v>160</v>
      </c>
    </row>
    <row r="33" spans="1:104" x14ac:dyDescent="0.25">
      <c r="A33" t="s">
        <v>307</v>
      </c>
      <c r="B33" t="s">
        <v>2319</v>
      </c>
      <c r="AH33">
        <v>7</v>
      </c>
      <c r="AI33">
        <v>222</v>
      </c>
      <c r="AJ33">
        <v>42</v>
      </c>
      <c r="AK33">
        <v>69</v>
      </c>
      <c r="BF33">
        <v>13</v>
      </c>
      <c r="BG33">
        <v>20</v>
      </c>
      <c r="BH33">
        <v>75</v>
      </c>
      <c r="BK33" t="s">
        <v>3239</v>
      </c>
      <c r="BL33" t="b">
        <v>0</v>
      </c>
      <c r="CD33">
        <v>5</v>
      </c>
      <c r="CE33">
        <v>20</v>
      </c>
      <c r="CF33">
        <v>66</v>
      </c>
      <c r="CI33" t="s">
        <v>3287</v>
      </c>
      <c r="CT33">
        <v>24</v>
      </c>
      <c r="CU33">
        <v>410</v>
      </c>
      <c r="CV33">
        <v>62</v>
      </c>
      <c r="CW33">
        <v>90</v>
      </c>
    </row>
    <row r="34" spans="1:104" x14ac:dyDescent="0.25">
      <c r="A34" t="s">
        <v>309</v>
      </c>
      <c r="B34" t="s">
        <v>3288</v>
      </c>
      <c r="AH34">
        <v>5</v>
      </c>
      <c r="AI34">
        <v>20</v>
      </c>
      <c r="AJ34">
        <v>68</v>
      </c>
      <c r="AM34" t="s">
        <v>1019</v>
      </c>
      <c r="BF34">
        <v>14</v>
      </c>
      <c r="BG34">
        <v>8</v>
      </c>
      <c r="BH34">
        <v>104</v>
      </c>
      <c r="BI34">
        <v>388</v>
      </c>
      <c r="BJ34">
        <v>81</v>
      </c>
      <c r="BK34" t="s">
        <v>3242</v>
      </c>
      <c r="CD34">
        <v>8</v>
      </c>
      <c r="CE34">
        <v>309</v>
      </c>
      <c r="CF34">
        <v>64</v>
      </c>
      <c r="CG34">
        <v>87</v>
      </c>
    </row>
    <row r="35" spans="1:104" x14ac:dyDescent="0.25">
      <c r="A35" t="s">
        <v>469</v>
      </c>
      <c r="B35" t="s">
        <v>2322</v>
      </c>
      <c r="AH35">
        <v>8</v>
      </c>
      <c r="AI35">
        <v>222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20</v>
      </c>
      <c r="CF35">
        <v>85</v>
      </c>
      <c r="CI35" t="s">
        <v>3234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388</v>
      </c>
      <c r="AL36">
        <v>81</v>
      </c>
      <c r="AM36" t="s">
        <v>3242</v>
      </c>
      <c r="BF36">
        <v>12</v>
      </c>
      <c r="BG36">
        <v>20</v>
      </c>
      <c r="BH36">
        <v>120</v>
      </c>
      <c r="BK36" t="s">
        <v>3247</v>
      </c>
      <c r="CD36">
        <v>5</v>
      </c>
      <c r="CE36">
        <v>20</v>
      </c>
      <c r="CF36">
        <v>109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3289</v>
      </c>
      <c r="AH37">
        <v>111</v>
      </c>
      <c r="AN37">
        <v>2</v>
      </c>
      <c r="BF37">
        <v>12</v>
      </c>
      <c r="BH37">
        <v>140</v>
      </c>
      <c r="BK37" t="s">
        <v>3250</v>
      </c>
      <c r="CD37">
        <v>8</v>
      </c>
      <c r="CE37">
        <v>72</v>
      </c>
      <c r="CF37">
        <v>108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487</v>
      </c>
      <c r="AH38">
        <v>12</v>
      </c>
      <c r="AI38">
        <v>20</v>
      </c>
      <c r="AJ38">
        <v>115</v>
      </c>
      <c r="AM38" t="s">
        <v>3247</v>
      </c>
      <c r="BF38">
        <v>12</v>
      </c>
      <c r="BH38">
        <v>160</v>
      </c>
      <c r="BK38" t="s">
        <v>3252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3242</v>
      </c>
      <c r="CT38">
        <v>5</v>
      </c>
    </row>
    <row r="39" spans="1:104" x14ac:dyDescent="0.25">
      <c r="A39" t="s">
        <v>488</v>
      </c>
      <c r="B39" t="s">
        <v>3290</v>
      </c>
      <c r="AH39">
        <v>12</v>
      </c>
      <c r="AJ39">
        <v>135</v>
      </c>
      <c r="AM39" t="s">
        <v>3250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3291</v>
      </c>
      <c r="AH40">
        <v>12</v>
      </c>
      <c r="AJ40">
        <v>155</v>
      </c>
      <c r="AM40" t="s">
        <v>3252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20</v>
      </c>
      <c r="CF40">
        <v>156</v>
      </c>
      <c r="CI40" t="s">
        <v>3247</v>
      </c>
      <c r="CT40">
        <v>5</v>
      </c>
    </row>
    <row r="41" spans="1:104" x14ac:dyDescent="0.25">
      <c r="A41" t="s">
        <v>492</v>
      </c>
      <c r="B41" t="s">
        <v>3292</v>
      </c>
      <c r="AH41">
        <v>210</v>
      </c>
      <c r="AI41">
        <v>222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3250</v>
      </c>
      <c r="CT41">
        <v>5</v>
      </c>
    </row>
    <row r="42" spans="1:104" x14ac:dyDescent="0.25">
      <c r="A42" t="s">
        <v>494</v>
      </c>
      <c r="B42" t="s">
        <v>3293</v>
      </c>
      <c r="AH42">
        <v>6</v>
      </c>
      <c r="AI42">
        <v>222</v>
      </c>
      <c r="AJ42">
        <v>133</v>
      </c>
      <c r="AK42">
        <v>160</v>
      </c>
      <c r="CD42">
        <v>12</v>
      </c>
      <c r="CF42">
        <v>196</v>
      </c>
      <c r="CI42" t="s">
        <v>3252</v>
      </c>
      <c r="CT42">
        <v>5</v>
      </c>
    </row>
    <row r="43" spans="1:104" x14ac:dyDescent="0.25">
      <c r="A43" t="s">
        <v>496</v>
      </c>
      <c r="B43" t="s">
        <v>3294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3295</v>
      </c>
      <c r="BF44" s="1" t="s">
        <v>670</v>
      </c>
      <c r="BI44">
        <v>523</v>
      </c>
      <c r="BJ44">
        <v>191</v>
      </c>
      <c r="BK44" t="s">
        <v>3296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20</v>
      </c>
      <c r="CV44">
        <v>110</v>
      </c>
      <c r="CY44" t="s">
        <v>3297</v>
      </c>
    </row>
    <row r="45" spans="1:104" x14ac:dyDescent="0.25">
      <c r="A45" t="s">
        <v>422</v>
      </c>
      <c r="B45" t="s">
        <v>3298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60</v>
      </c>
      <c r="CV45">
        <v>108</v>
      </c>
      <c r="CW45">
        <v>88</v>
      </c>
      <c r="CZ45">
        <v>0</v>
      </c>
    </row>
    <row r="46" spans="1:104" x14ac:dyDescent="0.25">
      <c r="A46" t="s">
        <v>424</v>
      </c>
      <c r="B46" t="s">
        <v>3299</v>
      </c>
      <c r="BF46">
        <v>2</v>
      </c>
      <c r="BG46">
        <v>407</v>
      </c>
      <c r="BH46">
        <v>30</v>
      </c>
      <c r="BI46">
        <v>90</v>
      </c>
      <c r="BK46" t="s">
        <v>3223</v>
      </c>
      <c r="CT46">
        <v>5</v>
      </c>
      <c r="CU46">
        <v>163</v>
      </c>
      <c r="CV46">
        <v>110</v>
      </c>
      <c r="CY46" t="s">
        <v>2334</v>
      </c>
    </row>
    <row r="47" spans="1:104" x14ac:dyDescent="0.25">
      <c r="A47" t="s">
        <v>427</v>
      </c>
      <c r="B47" t="s">
        <v>759</v>
      </c>
      <c r="AH47" t="s">
        <v>315</v>
      </c>
      <c r="BF47">
        <v>14</v>
      </c>
      <c r="BG47">
        <v>8</v>
      </c>
      <c r="BH47">
        <v>3</v>
      </c>
      <c r="BI47">
        <v>388</v>
      </c>
      <c r="BJ47">
        <v>94</v>
      </c>
      <c r="BK47" t="s">
        <v>399</v>
      </c>
      <c r="CT47">
        <v>8</v>
      </c>
      <c r="CU47">
        <v>188</v>
      </c>
      <c r="CV47">
        <v>108</v>
      </c>
      <c r="CW47">
        <v>88</v>
      </c>
      <c r="CZ47">
        <v>1</v>
      </c>
    </row>
    <row r="48" spans="1:104" x14ac:dyDescent="0.25">
      <c r="A48" t="s">
        <v>429</v>
      </c>
      <c r="B48" t="s">
        <v>3300</v>
      </c>
      <c r="AH48" s="1" t="s">
        <v>665</v>
      </c>
      <c r="AK48">
        <v>523</v>
      </c>
      <c r="AL48">
        <v>185</v>
      </c>
      <c r="AM48" t="s">
        <v>3268</v>
      </c>
      <c r="AN48">
        <v>5</v>
      </c>
      <c r="BF48">
        <v>5</v>
      </c>
      <c r="BG48">
        <v>20</v>
      </c>
      <c r="BH48">
        <v>19</v>
      </c>
      <c r="BK48" t="s">
        <v>3226</v>
      </c>
    </row>
    <row r="49" spans="1:104" x14ac:dyDescent="0.25">
      <c r="A49" t="s">
        <v>431</v>
      </c>
      <c r="B49" t="s">
        <v>3218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3282</v>
      </c>
      <c r="AH50">
        <v>2</v>
      </c>
      <c r="AI50">
        <v>407</v>
      </c>
      <c r="AJ50">
        <v>30</v>
      </c>
      <c r="AK50">
        <v>90</v>
      </c>
      <c r="AM50" t="s">
        <v>3223</v>
      </c>
      <c r="BF50">
        <v>5</v>
      </c>
      <c r="BG50">
        <v>20</v>
      </c>
      <c r="BH50">
        <v>44</v>
      </c>
      <c r="BK50" t="s">
        <v>3230</v>
      </c>
      <c r="CD50" s="1" t="s">
        <v>672</v>
      </c>
      <c r="CG50">
        <v>550</v>
      </c>
      <c r="CH50">
        <v>227</v>
      </c>
      <c r="CI50" t="s">
        <v>3301</v>
      </c>
      <c r="CJ50">
        <v>5</v>
      </c>
      <c r="CT50">
        <v>5</v>
      </c>
      <c r="CU50">
        <v>20</v>
      </c>
      <c r="CV50">
        <v>108</v>
      </c>
      <c r="CY50" t="s">
        <v>3302</v>
      </c>
      <c r="CZ50" t="s">
        <v>599</v>
      </c>
    </row>
    <row r="51" spans="1:104" x14ac:dyDescent="0.25">
      <c r="A51" t="s">
        <v>439</v>
      </c>
      <c r="B51" t="s">
        <v>3303</v>
      </c>
      <c r="AH51">
        <v>14</v>
      </c>
      <c r="AI51">
        <v>8</v>
      </c>
      <c r="AJ51">
        <v>3</v>
      </c>
      <c r="AK51">
        <v>388</v>
      </c>
      <c r="AL51">
        <v>83</v>
      </c>
      <c r="AM51" t="s">
        <v>399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48</v>
      </c>
      <c r="CV51">
        <v>106</v>
      </c>
      <c r="CW51">
        <v>60</v>
      </c>
    </row>
    <row r="52" spans="1:104" x14ac:dyDescent="0.25">
      <c r="A52" t="s">
        <v>419</v>
      </c>
      <c r="B52" t="s">
        <v>2339</v>
      </c>
      <c r="AH52">
        <v>5</v>
      </c>
      <c r="AI52">
        <v>20</v>
      </c>
      <c r="AJ52">
        <v>19</v>
      </c>
      <c r="AM52" t="s">
        <v>3226</v>
      </c>
      <c r="BF52">
        <v>12</v>
      </c>
      <c r="BG52">
        <v>220</v>
      </c>
      <c r="BH52">
        <v>40</v>
      </c>
      <c r="BK52" t="s">
        <v>3238</v>
      </c>
      <c r="CD52">
        <v>2</v>
      </c>
      <c r="CE52">
        <v>440</v>
      </c>
      <c r="CF52">
        <v>30</v>
      </c>
      <c r="CG52">
        <v>90</v>
      </c>
      <c r="CI52" t="s">
        <v>3223</v>
      </c>
      <c r="CT52">
        <v>5</v>
      </c>
      <c r="CU52">
        <v>118</v>
      </c>
      <c r="CV52">
        <v>108</v>
      </c>
      <c r="CY52" t="s">
        <v>3304</v>
      </c>
    </row>
    <row r="53" spans="1:104" x14ac:dyDescent="0.25">
      <c r="A53" t="s">
        <v>338</v>
      </c>
      <c r="B53" t="s">
        <v>2341</v>
      </c>
      <c r="AH53">
        <v>10</v>
      </c>
      <c r="AI53">
        <v>222</v>
      </c>
      <c r="AJ53">
        <v>17</v>
      </c>
      <c r="AK53">
        <v>160</v>
      </c>
      <c r="AN53" t="s">
        <v>316</v>
      </c>
      <c r="BF53">
        <v>12</v>
      </c>
      <c r="BK53" t="s">
        <v>3240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399</v>
      </c>
      <c r="CT53">
        <v>8</v>
      </c>
      <c r="CU53">
        <v>138</v>
      </c>
      <c r="CV53">
        <v>106</v>
      </c>
      <c r="CW53">
        <v>60</v>
      </c>
    </row>
    <row r="54" spans="1:104" x14ac:dyDescent="0.25">
      <c r="A54" t="s">
        <v>340</v>
      </c>
      <c r="B54" t="s">
        <v>3305</v>
      </c>
      <c r="AH54">
        <v>13</v>
      </c>
      <c r="AI54">
        <v>20</v>
      </c>
      <c r="AJ54">
        <v>41</v>
      </c>
      <c r="AM54" t="s">
        <v>3234</v>
      </c>
      <c r="AN54" t="b">
        <v>0</v>
      </c>
      <c r="BF54">
        <v>13</v>
      </c>
      <c r="BG54">
        <v>20</v>
      </c>
      <c r="BH54">
        <v>76</v>
      </c>
      <c r="BK54" t="s">
        <v>3239</v>
      </c>
      <c r="BL54" t="b">
        <v>0</v>
      </c>
      <c r="CD54">
        <v>5</v>
      </c>
      <c r="CE54">
        <v>20</v>
      </c>
      <c r="CF54">
        <v>18</v>
      </c>
      <c r="CI54" t="s">
        <v>3228</v>
      </c>
      <c r="CT54">
        <v>5</v>
      </c>
      <c r="CU54">
        <v>206</v>
      </c>
      <c r="CV54">
        <v>108</v>
      </c>
      <c r="CY54" t="s">
        <v>3306</v>
      </c>
    </row>
    <row r="55" spans="1:104" x14ac:dyDescent="0.25">
      <c r="A55" t="s">
        <v>177</v>
      </c>
      <c r="B55" t="s">
        <v>3307</v>
      </c>
      <c r="AH55">
        <v>5</v>
      </c>
      <c r="AI55">
        <v>20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388</v>
      </c>
      <c r="BJ55">
        <v>80</v>
      </c>
      <c r="BK55" t="s">
        <v>3242</v>
      </c>
      <c r="CD55">
        <v>10</v>
      </c>
      <c r="CE55">
        <v>220</v>
      </c>
      <c r="CF55">
        <v>18</v>
      </c>
      <c r="CG55">
        <v>177</v>
      </c>
      <c r="CJ55" t="s">
        <v>316</v>
      </c>
      <c r="CT55">
        <v>8</v>
      </c>
      <c r="CU55">
        <v>328</v>
      </c>
      <c r="CV55">
        <v>106</v>
      </c>
      <c r="CW55">
        <v>60</v>
      </c>
    </row>
    <row r="56" spans="1:104" x14ac:dyDescent="0.25">
      <c r="A56" t="s">
        <v>179</v>
      </c>
      <c r="B56" t="s">
        <v>3308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20</v>
      </c>
      <c r="CF56">
        <v>41</v>
      </c>
      <c r="CI56" t="s">
        <v>3233</v>
      </c>
      <c r="CT56">
        <v>5</v>
      </c>
      <c r="CU56">
        <v>20</v>
      </c>
      <c r="CV56">
        <v>134</v>
      </c>
      <c r="CY56" t="s">
        <v>3309</v>
      </c>
    </row>
    <row r="57" spans="1:104" x14ac:dyDescent="0.25">
      <c r="A57" t="s">
        <v>557</v>
      </c>
      <c r="B57" t="s">
        <v>3310</v>
      </c>
      <c r="AH57">
        <v>14</v>
      </c>
      <c r="AI57">
        <v>8</v>
      </c>
      <c r="AJ57">
        <v>91</v>
      </c>
      <c r="AK57">
        <v>388</v>
      </c>
      <c r="AL57">
        <v>81</v>
      </c>
      <c r="AM57" t="s">
        <v>3242</v>
      </c>
      <c r="BF57">
        <v>12</v>
      </c>
      <c r="BG57">
        <v>20</v>
      </c>
      <c r="BH57">
        <v>120</v>
      </c>
      <c r="BK57" t="s">
        <v>3247</v>
      </c>
      <c r="CD57">
        <v>10</v>
      </c>
      <c r="CE57">
        <v>220</v>
      </c>
      <c r="CF57">
        <v>39</v>
      </c>
      <c r="CG57">
        <v>177</v>
      </c>
      <c r="CJ57" t="s">
        <v>316</v>
      </c>
      <c r="CT57">
        <v>7</v>
      </c>
      <c r="CU57">
        <v>217</v>
      </c>
      <c r="CV57">
        <v>132</v>
      </c>
      <c r="CW57">
        <v>60</v>
      </c>
    </row>
    <row r="58" spans="1:104" x14ac:dyDescent="0.25">
      <c r="A58" t="s">
        <v>559</v>
      </c>
      <c r="B58" t="s">
        <v>3311</v>
      </c>
      <c r="AH58">
        <v>111</v>
      </c>
      <c r="AN58">
        <v>2</v>
      </c>
      <c r="BF58">
        <v>12</v>
      </c>
      <c r="BH58">
        <v>139</v>
      </c>
      <c r="BK58" t="s">
        <v>3250</v>
      </c>
      <c r="CD58">
        <v>5</v>
      </c>
      <c r="CE58">
        <v>20</v>
      </c>
      <c r="CF58">
        <v>70</v>
      </c>
      <c r="CI58" t="s">
        <v>3287</v>
      </c>
      <c r="CT58">
        <v>5</v>
      </c>
      <c r="CU58">
        <v>289</v>
      </c>
      <c r="CV58">
        <v>134</v>
      </c>
      <c r="CY58" t="s">
        <v>3312</v>
      </c>
    </row>
    <row r="59" spans="1:104" x14ac:dyDescent="0.25">
      <c r="A59" t="s">
        <v>188</v>
      </c>
      <c r="B59" t="s">
        <v>3313</v>
      </c>
      <c r="AH59">
        <v>12</v>
      </c>
      <c r="AI59">
        <v>20</v>
      </c>
      <c r="AJ59">
        <v>107</v>
      </c>
      <c r="AM59" t="s">
        <v>3247</v>
      </c>
      <c r="BF59">
        <v>12</v>
      </c>
      <c r="BH59">
        <v>160</v>
      </c>
      <c r="BK59" t="s">
        <v>3252</v>
      </c>
      <c r="CD59">
        <v>8</v>
      </c>
      <c r="CE59">
        <v>308</v>
      </c>
      <c r="CF59">
        <v>68</v>
      </c>
      <c r="CG59">
        <v>89</v>
      </c>
      <c r="CT59">
        <v>5</v>
      </c>
      <c r="CU59">
        <v>20</v>
      </c>
      <c r="CV59">
        <v>154</v>
      </c>
      <c r="CY59" t="s">
        <v>3314</v>
      </c>
    </row>
    <row r="60" spans="1:104" x14ac:dyDescent="0.25">
      <c r="A60" t="s">
        <v>564</v>
      </c>
      <c r="B60" t="s">
        <v>3315</v>
      </c>
      <c r="AH60">
        <v>12</v>
      </c>
      <c r="AJ60">
        <v>127</v>
      </c>
      <c r="AM60" t="s">
        <v>3250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20</v>
      </c>
      <c r="CF60">
        <v>86</v>
      </c>
      <c r="CI60" t="s">
        <v>3234</v>
      </c>
      <c r="CJ60" t="b">
        <v>0</v>
      </c>
      <c r="CT60">
        <v>7</v>
      </c>
      <c r="CU60">
        <v>217</v>
      </c>
      <c r="CV60">
        <v>152</v>
      </c>
      <c r="CW60">
        <v>60</v>
      </c>
    </row>
    <row r="61" spans="1:104" x14ac:dyDescent="0.25">
      <c r="A61" t="s">
        <v>566</v>
      </c>
      <c r="B61" t="s">
        <v>3316</v>
      </c>
      <c r="AH61">
        <v>12</v>
      </c>
      <c r="AJ61">
        <v>147</v>
      </c>
      <c r="AM61" t="s">
        <v>3252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20</v>
      </c>
      <c r="CF61">
        <v>110</v>
      </c>
      <c r="CI61" t="s">
        <v>1019</v>
      </c>
      <c r="CT61">
        <v>5</v>
      </c>
      <c r="CU61">
        <v>289</v>
      </c>
      <c r="CV61">
        <v>154</v>
      </c>
      <c r="CY61" t="s">
        <v>3312</v>
      </c>
    </row>
    <row r="62" spans="1:104" x14ac:dyDescent="0.25">
      <c r="A62" t="s">
        <v>568</v>
      </c>
      <c r="B62" t="s">
        <v>3317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61</v>
      </c>
      <c r="BI62">
        <v>90</v>
      </c>
      <c r="CD62">
        <v>8</v>
      </c>
      <c r="CE62">
        <v>72</v>
      </c>
      <c r="CF62">
        <v>108</v>
      </c>
      <c r="CG62">
        <v>63</v>
      </c>
      <c r="CJ62">
        <v>0.05</v>
      </c>
    </row>
    <row r="63" spans="1:104" x14ac:dyDescent="0.25">
      <c r="A63" t="s">
        <v>570</v>
      </c>
      <c r="B63" t="s">
        <v>3318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3242</v>
      </c>
      <c r="CT63" t="s">
        <v>554</v>
      </c>
    </row>
    <row r="64" spans="1:104" x14ac:dyDescent="0.25">
      <c r="A64" t="s">
        <v>572</v>
      </c>
      <c r="B64" t="s">
        <v>3217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3267</v>
      </c>
      <c r="CD65">
        <v>12</v>
      </c>
      <c r="CE65">
        <v>20</v>
      </c>
      <c r="CF65">
        <v>156</v>
      </c>
      <c r="CI65" t="s">
        <v>3247</v>
      </c>
      <c r="CT65">
        <v>5</v>
      </c>
    </row>
    <row r="66" spans="1:104" x14ac:dyDescent="0.25">
      <c r="A66" t="s">
        <v>194</v>
      </c>
      <c r="B66" t="s">
        <v>3219</v>
      </c>
      <c r="BF66" t="s">
        <v>334</v>
      </c>
      <c r="CD66">
        <v>12</v>
      </c>
      <c r="CF66">
        <v>176</v>
      </c>
      <c r="CI66" t="s">
        <v>3250</v>
      </c>
      <c r="CT66">
        <v>5</v>
      </c>
    </row>
    <row r="67" spans="1:104" x14ac:dyDescent="0.25">
      <c r="A67" t="s">
        <v>195</v>
      </c>
      <c r="B67" t="s">
        <v>3319</v>
      </c>
      <c r="BF67" s="1" t="s">
        <v>667</v>
      </c>
      <c r="BI67">
        <v>523</v>
      </c>
      <c r="BJ67">
        <v>181</v>
      </c>
      <c r="BK67" t="s">
        <v>3320</v>
      </c>
      <c r="BL67">
        <v>5</v>
      </c>
      <c r="CD67">
        <v>12</v>
      </c>
      <c r="CF67">
        <v>196</v>
      </c>
      <c r="CI67" t="s">
        <v>3252</v>
      </c>
      <c r="CT67">
        <v>5</v>
      </c>
    </row>
    <row r="68" spans="1:104" x14ac:dyDescent="0.25">
      <c r="A68" t="s">
        <v>576</v>
      </c>
      <c r="B68" t="s">
        <v>3321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3322</v>
      </c>
      <c r="AH69" s="1" t="s">
        <v>669</v>
      </c>
      <c r="AK69">
        <v>523</v>
      </c>
      <c r="AL69">
        <v>205</v>
      </c>
      <c r="AM69" t="s">
        <v>3319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3223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3323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388</v>
      </c>
      <c r="BJ70">
        <v>59</v>
      </c>
      <c r="BK70" t="s">
        <v>399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3324</v>
      </c>
      <c r="AH71">
        <v>2</v>
      </c>
      <c r="AI71">
        <v>407</v>
      </c>
      <c r="AJ71">
        <v>30</v>
      </c>
      <c r="AK71">
        <v>90</v>
      </c>
      <c r="AM71" t="s">
        <v>3223</v>
      </c>
      <c r="BF71">
        <v>5</v>
      </c>
      <c r="BG71">
        <v>20</v>
      </c>
      <c r="BH71">
        <v>19</v>
      </c>
      <c r="BK71" t="s">
        <v>3226</v>
      </c>
      <c r="CT71">
        <v>5</v>
      </c>
    </row>
    <row r="72" spans="1:104" x14ac:dyDescent="0.25">
      <c r="A72" t="s">
        <v>200</v>
      </c>
      <c r="B72" t="s">
        <v>3325</v>
      </c>
      <c r="AH72">
        <v>14</v>
      </c>
      <c r="AI72">
        <v>8</v>
      </c>
      <c r="AJ72">
        <v>3</v>
      </c>
      <c r="AK72">
        <v>388</v>
      </c>
      <c r="AL72">
        <v>93</v>
      </c>
      <c r="AM72" t="s">
        <v>399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20</v>
      </c>
      <c r="CV72">
        <v>110</v>
      </c>
      <c r="CY72" t="s">
        <v>3326</v>
      </c>
    </row>
    <row r="73" spans="1:104" x14ac:dyDescent="0.25">
      <c r="A73" t="s">
        <v>203</v>
      </c>
      <c r="B73" t="s">
        <v>3327</v>
      </c>
      <c r="AH73">
        <v>5</v>
      </c>
      <c r="AI73">
        <v>20</v>
      </c>
      <c r="AJ73">
        <v>19</v>
      </c>
      <c r="AM73" t="s">
        <v>3226</v>
      </c>
      <c r="BF73">
        <v>13</v>
      </c>
      <c r="BG73">
        <v>20</v>
      </c>
      <c r="BH73">
        <v>40</v>
      </c>
      <c r="BK73" t="s">
        <v>3239</v>
      </c>
      <c r="BL73" t="b">
        <v>0</v>
      </c>
      <c r="CT73">
        <v>8</v>
      </c>
      <c r="CU73">
        <v>200</v>
      </c>
      <c r="CV73">
        <v>108</v>
      </c>
      <c r="CW73">
        <v>60</v>
      </c>
      <c r="CZ73">
        <v>0</v>
      </c>
    </row>
    <row r="74" spans="1:104" x14ac:dyDescent="0.25">
      <c r="A74" t="s">
        <v>205</v>
      </c>
      <c r="B74" t="s">
        <v>3328</v>
      </c>
      <c r="AH74">
        <v>10</v>
      </c>
      <c r="AI74">
        <v>222</v>
      </c>
      <c r="AJ74">
        <v>17</v>
      </c>
      <c r="AK74">
        <v>161</v>
      </c>
      <c r="AN74" t="s">
        <v>316</v>
      </c>
      <c r="BF74">
        <v>14</v>
      </c>
      <c r="BG74">
        <v>8</v>
      </c>
      <c r="BH74">
        <v>70</v>
      </c>
      <c r="BI74">
        <v>388</v>
      </c>
      <c r="BJ74">
        <v>104</v>
      </c>
      <c r="BK74" t="s">
        <v>3242</v>
      </c>
      <c r="CD74" t="s">
        <v>441</v>
      </c>
      <c r="CT74">
        <v>5</v>
      </c>
      <c r="CU74">
        <v>20</v>
      </c>
      <c r="CV74">
        <v>135</v>
      </c>
      <c r="CY74" t="s">
        <v>3329</v>
      </c>
    </row>
    <row r="75" spans="1:104" x14ac:dyDescent="0.25">
      <c r="A75" t="s">
        <v>207</v>
      </c>
      <c r="B75" t="s">
        <v>3330</v>
      </c>
      <c r="AH75">
        <v>13</v>
      </c>
      <c r="AI75">
        <v>20</v>
      </c>
      <c r="AJ75">
        <v>41</v>
      </c>
      <c r="AM75" t="s">
        <v>3239</v>
      </c>
      <c r="AN75" t="b">
        <v>0</v>
      </c>
      <c r="BF75">
        <v>111</v>
      </c>
      <c r="BL75">
        <v>2</v>
      </c>
      <c r="CD75" s="1" t="s">
        <v>673</v>
      </c>
      <c r="CG75">
        <v>553</v>
      </c>
      <c r="CH75">
        <v>235</v>
      </c>
      <c r="CI75" t="s">
        <v>3331</v>
      </c>
      <c r="CJ75">
        <v>5</v>
      </c>
      <c r="CT75">
        <v>8</v>
      </c>
      <c r="CU75">
        <v>200</v>
      </c>
      <c r="CV75">
        <v>133</v>
      </c>
      <c r="CW75">
        <v>60</v>
      </c>
      <c r="CZ75">
        <v>1</v>
      </c>
    </row>
    <row r="76" spans="1:104" x14ac:dyDescent="0.25">
      <c r="A76" t="s">
        <v>210</v>
      </c>
      <c r="B76" t="s">
        <v>3332</v>
      </c>
      <c r="AH76">
        <v>5</v>
      </c>
      <c r="AI76">
        <v>20</v>
      </c>
      <c r="AJ76">
        <v>69</v>
      </c>
      <c r="AM76" t="s">
        <v>3333</v>
      </c>
      <c r="BF76">
        <v>12</v>
      </c>
      <c r="BG76">
        <v>20</v>
      </c>
      <c r="BH76">
        <v>86</v>
      </c>
      <c r="BK76" t="s">
        <v>3247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3250</v>
      </c>
      <c r="CD77">
        <v>2</v>
      </c>
      <c r="CE77">
        <v>440</v>
      </c>
      <c r="CF77">
        <v>30</v>
      </c>
      <c r="CG77">
        <v>90</v>
      </c>
      <c r="CI77" t="s">
        <v>3223</v>
      </c>
      <c r="CT77" t="s">
        <v>376</v>
      </c>
    </row>
    <row r="78" spans="1:104" x14ac:dyDescent="0.25">
      <c r="A78" t="s">
        <v>219</v>
      </c>
      <c r="B78" t="s">
        <v>3220</v>
      </c>
      <c r="AH78">
        <v>14</v>
      </c>
      <c r="AI78">
        <v>8</v>
      </c>
      <c r="AJ78">
        <v>96</v>
      </c>
      <c r="AK78">
        <v>388</v>
      </c>
      <c r="AL78">
        <v>105</v>
      </c>
      <c r="AM78" t="s">
        <v>3242</v>
      </c>
      <c r="BF78">
        <v>12</v>
      </c>
      <c r="BH78">
        <v>128</v>
      </c>
      <c r="BK78" t="s">
        <v>3252</v>
      </c>
      <c r="CD78">
        <v>14</v>
      </c>
      <c r="CE78">
        <v>8</v>
      </c>
      <c r="CF78">
        <v>2</v>
      </c>
      <c r="CG78">
        <v>405</v>
      </c>
      <c r="CH78">
        <v>132</v>
      </c>
      <c r="CI78" t="s">
        <v>399</v>
      </c>
      <c r="CT78">
        <v>5</v>
      </c>
      <c r="CZ78" t="s">
        <v>376</v>
      </c>
    </row>
    <row r="79" spans="1:104" x14ac:dyDescent="0.25">
      <c r="A79" t="s">
        <v>220</v>
      </c>
      <c r="B79" t="s">
        <v>3301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20</v>
      </c>
      <c r="CF79">
        <v>18</v>
      </c>
      <c r="CI79" t="s">
        <v>3228</v>
      </c>
      <c r="CT79">
        <v>5</v>
      </c>
    </row>
    <row r="80" spans="1:104" x14ac:dyDescent="0.25">
      <c r="A80" t="s">
        <v>221</v>
      </c>
      <c r="B80" t="s">
        <v>3274</v>
      </c>
      <c r="AH80">
        <v>5</v>
      </c>
      <c r="AI80">
        <v>20</v>
      </c>
      <c r="AJ80">
        <v>112</v>
      </c>
      <c r="AM80" t="s">
        <v>3247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177</v>
      </c>
      <c r="CT80">
        <v>5</v>
      </c>
    </row>
    <row r="81" spans="1:104" x14ac:dyDescent="0.25">
      <c r="A81" t="s">
        <v>604</v>
      </c>
      <c r="B81" t="s">
        <v>3331</v>
      </c>
      <c r="AH81">
        <v>10</v>
      </c>
      <c r="AI81">
        <v>222</v>
      </c>
      <c r="AJ81">
        <v>108</v>
      </c>
      <c r="AK81">
        <v>160</v>
      </c>
      <c r="AN81" t="s">
        <v>316</v>
      </c>
      <c r="BF81">
        <v>13</v>
      </c>
      <c r="BG81">
        <v>20</v>
      </c>
      <c r="BH81">
        <v>150</v>
      </c>
      <c r="BK81" t="s">
        <v>3334</v>
      </c>
      <c r="BL81" t="b">
        <v>0</v>
      </c>
      <c r="CD81">
        <v>5</v>
      </c>
      <c r="CE81">
        <v>20</v>
      </c>
      <c r="CF81">
        <v>41</v>
      </c>
      <c r="CI81" t="s">
        <v>3233</v>
      </c>
      <c r="CT81">
        <v>5</v>
      </c>
    </row>
    <row r="82" spans="1:104" x14ac:dyDescent="0.25">
      <c r="A82" t="s">
        <v>606</v>
      </c>
      <c r="B82" t="s">
        <v>3335</v>
      </c>
      <c r="AH82">
        <v>205</v>
      </c>
      <c r="AI82">
        <v>20</v>
      </c>
      <c r="AJ82">
        <v>132</v>
      </c>
      <c r="AM82" t="s">
        <v>3250</v>
      </c>
      <c r="BF82">
        <v>24</v>
      </c>
      <c r="BG82">
        <v>407</v>
      </c>
      <c r="BH82">
        <v>56</v>
      </c>
      <c r="BI82">
        <v>90</v>
      </c>
      <c r="CD82">
        <v>10</v>
      </c>
      <c r="CE82">
        <v>220</v>
      </c>
      <c r="CF82">
        <v>39</v>
      </c>
      <c r="CG82">
        <v>177</v>
      </c>
      <c r="CT82">
        <v>5</v>
      </c>
    </row>
    <row r="83" spans="1:104" x14ac:dyDescent="0.25">
      <c r="A83" t="s">
        <v>608</v>
      </c>
      <c r="B83" t="s">
        <v>3336</v>
      </c>
      <c r="AH83">
        <v>206</v>
      </c>
      <c r="AI83">
        <v>222</v>
      </c>
      <c r="AJ83">
        <v>132</v>
      </c>
      <c r="AK83">
        <v>160</v>
      </c>
      <c r="CD83">
        <v>5</v>
      </c>
      <c r="CE83">
        <v>20</v>
      </c>
      <c r="CF83">
        <v>65</v>
      </c>
      <c r="CI83" t="s">
        <v>3287</v>
      </c>
      <c r="CT83">
        <v>5</v>
      </c>
    </row>
    <row r="84" spans="1:104" x14ac:dyDescent="0.25">
      <c r="A84" t="s">
        <v>303</v>
      </c>
      <c r="B84" t="s">
        <v>3337</v>
      </c>
      <c r="AH84">
        <v>205</v>
      </c>
      <c r="AI84">
        <v>20</v>
      </c>
      <c r="AJ84">
        <v>152</v>
      </c>
      <c r="AM84" t="s">
        <v>3252</v>
      </c>
      <c r="CD84">
        <v>8</v>
      </c>
      <c r="CE84">
        <v>287</v>
      </c>
      <c r="CF84">
        <v>61</v>
      </c>
      <c r="CG84">
        <v>109</v>
      </c>
      <c r="CT84">
        <v>5</v>
      </c>
    </row>
    <row r="85" spans="1:104" x14ac:dyDescent="0.25">
      <c r="A85" t="s">
        <v>467</v>
      </c>
      <c r="B85" t="s">
        <v>3338</v>
      </c>
      <c r="AH85">
        <v>13</v>
      </c>
      <c r="AI85">
        <v>20</v>
      </c>
      <c r="AJ85">
        <v>175</v>
      </c>
      <c r="AM85" t="s">
        <v>3257</v>
      </c>
      <c r="AN85" t="b">
        <v>0</v>
      </c>
      <c r="CD85">
        <v>13</v>
      </c>
      <c r="CE85">
        <v>20</v>
      </c>
      <c r="CF85">
        <v>84</v>
      </c>
      <c r="CI85" t="s">
        <v>3234</v>
      </c>
      <c r="CJ85" t="b">
        <v>0</v>
      </c>
      <c r="CT85">
        <v>5</v>
      </c>
    </row>
    <row r="86" spans="1:104" x14ac:dyDescent="0.25">
      <c r="A86" t="s">
        <v>228</v>
      </c>
      <c r="B86" t="s">
        <v>3339</v>
      </c>
      <c r="AH86">
        <v>13</v>
      </c>
      <c r="AI86">
        <v>222</v>
      </c>
      <c r="AJ86">
        <v>175</v>
      </c>
      <c r="AM86" t="s">
        <v>3259</v>
      </c>
      <c r="AN86" t="b">
        <v>0</v>
      </c>
      <c r="BF86" t="s">
        <v>230</v>
      </c>
      <c r="BL86">
        <v>5</v>
      </c>
      <c r="CD86">
        <v>5</v>
      </c>
      <c r="CE86">
        <v>20</v>
      </c>
      <c r="CF86">
        <v>106</v>
      </c>
      <c r="CI86" t="s">
        <v>1019</v>
      </c>
      <c r="CT86">
        <v>5</v>
      </c>
    </row>
    <row r="87" spans="1:104" x14ac:dyDescent="0.25">
      <c r="A87" t="s">
        <v>231</v>
      </c>
      <c r="B87" t="s">
        <v>3340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3325</v>
      </c>
      <c r="BL87">
        <v>5</v>
      </c>
      <c r="CD87">
        <v>8</v>
      </c>
      <c r="CE87">
        <v>72</v>
      </c>
      <c r="CF87">
        <v>104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3341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140</v>
      </c>
      <c r="CG88">
        <v>405</v>
      </c>
      <c r="CH88">
        <v>81</v>
      </c>
      <c r="CI88" t="s">
        <v>3242</v>
      </c>
      <c r="CT88">
        <v>5</v>
      </c>
      <c r="CU88">
        <v>20</v>
      </c>
      <c r="CV88">
        <v>110</v>
      </c>
      <c r="CY88" t="s">
        <v>3342</v>
      </c>
    </row>
    <row r="89" spans="1:104" x14ac:dyDescent="0.25">
      <c r="A89" t="s">
        <v>299</v>
      </c>
      <c r="B89" t="s">
        <v>3343</v>
      </c>
      <c r="BF89">
        <v>2</v>
      </c>
      <c r="BG89">
        <v>407</v>
      </c>
      <c r="BH89">
        <v>30</v>
      </c>
      <c r="BI89">
        <v>90</v>
      </c>
      <c r="BK89" t="s">
        <v>3223</v>
      </c>
      <c r="CD89">
        <v>111</v>
      </c>
      <c r="CJ89">
        <v>2</v>
      </c>
      <c r="CT89">
        <v>8</v>
      </c>
      <c r="CU89">
        <v>55</v>
      </c>
      <c r="CV89">
        <v>108</v>
      </c>
      <c r="CW89">
        <v>60</v>
      </c>
    </row>
    <row r="90" spans="1:104" x14ac:dyDescent="0.25">
      <c r="A90" t="s">
        <v>235</v>
      </c>
      <c r="B90" t="s">
        <v>2382</v>
      </c>
      <c r="BF90">
        <v>14</v>
      </c>
      <c r="BG90">
        <v>8</v>
      </c>
      <c r="BH90">
        <v>3</v>
      </c>
      <c r="BI90">
        <v>385</v>
      </c>
      <c r="BJ90">
        <v>66</v>
      </c>
      <c r="BK90" t="s">
        <v>399</v>
      </c>
      <c r="CD90">
        <v>12</v>
      </c>
      <c r="CE90">
        <v>20</v>
      </c>
      <c r="CF90">
        <v>156</v>
      </c>
      <c r="CI90" t="s">
        <v>3247</v>
      </c>
    </row>
    <row r="91" spans="1:104" x14ac:dyDescent="0.25">
      <c r="A91" t="s">
        <v>237</v>
      </c>
      <c r="B91" t="s">
        <v>3344</v>
      </c>
      <c r="BF91">
        <v>5</v>
      </c>
      <c r="BG91">
        <v>20</v>
      </c>
      <c r="BH91">
        <v>19</v>
      </c>
      <c r="BK91" t="s">
        <v>3226</v>
      </c>
      <c r="CD91">
        <v>12</v>
      </c>
      <c r="CF91">
        <v>176</v>
      </c>
      <c r="CI91" t="s">
        <v>3250</v>
      </c>
      <c r="CT91" t="s">
        <v>379</v>
      </c>
    </row>
    <row r="92" spans="1:104" x14ac:dyDescent="0.25">
      <c r="A92" t="s">
        <v>239</v>
      </c>
      <c r="B92" t="s">
        <v>3345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196</v>
      </c>
      <c r="CI92" t="s">
        <v>3252</v>
      </c>
      <c r="CT92">
        <v>5</v>
      </c>
      <c r="CZ92" t="s">
        <v>379</v>
      </c>
    </row>
    <row r="93" spans="1:104" x14ac:dyDescent="0.25">
      <c r="A93" t="s">
        <v>485</v>
      </c>
      <c r="B93" t="s">
        <v>3346</v>
      </c>
      <c r="BF93">
        <v>5</v>
      </c>
      <c r="BG93">
        <v>20</v>
      </c>
      <c r="BH93">
        <v>43</v>
      </c>
      <c r="BK93" t="s">
        <v>3347</v>
      </c>
      <c r="CD93">
        <v>210</v>
      </c>
      <c r="CE93">
        <v>220</v>
      </c>
      <c r="CF93">
        <v>154</v>
      </c>
      <c r="CG93">
        <v>177</v>
      </c>
      <c r="CT93">
        <v>5</v>
      </c>
    </row>
    <row r="94" spans="1:104" x14ac:dyDescent="0.25">
      <c r="A94" t="s">
        <v>242</v>
      </c>
      <c r="B94" t="s">
        <v>3348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174</v>
      </c>
      <c r="CG94">
        <v>177</v>
      </c>
      <c r="CT94">
        <v>5</v>
      </c>
    </row>
    <row r="95" spans="1:104" x14ac:dyDescent="0.25">
      <c r="A95" t="s">
        <v>244</v>
      </c>
      <c r="B95" t="s">
        <v>3349</v>
      </c>
      <c r="BF95">
        <v>13</v>
      </c>
      <c r="BG95">
        <v>20</v>
      </c>
      <c r="BH95">
        <v>70</v>
      </c>
      <c r="BK95" t="s">
        <v>3234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3350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3242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3351</v>
      </c>
      <c r="BF98">
        <v>12</v>
      </c>
      <c r="BG98">
        <v>20</v>
      </c>
      <c r="BH98">
        <v>112</v>
      </c>
      <c r="BK98" t="s">
        <v>3247</v>
      </c>
      <c r="CT98">
        <v>5</v>
      </c>
    </row>
    <row r="99" spans="1:104" x14ac:dyDescent="0.25">
      <c r="A99" t="s">
        <v>252</v>
      </c>
      <c r="B99" t="s">
        <v>3352</v>
      </c>
      <c r="BF99">
        <v>12</v>
      </c>
      <c r="BH99">
        <v>132</v>
      </c>
      <c r="BK99" t="s">
        <v>3250</v>
      </c>
      <c r="CD99" t="s">
        <v>357</v>
      </c>
      <c r="CT99">
        <v>5</v>
      </c>
    </row>
    <row r="100" spans="1:104" x14ac:dyDescent="0.25">
      <c r="A100" t="s">
        <v>511</v>
      </c>
      <c r="B100" t="s">
        <v>3353</v>
      </c>
      <c r="BF100">
        <v>12</v>
      </c>
      <c r="BH100">
        <v>152</v>
      </c>
      <c r="BK100" t="s">
        <v>3252</v>
      </c>
      <c r="CD100" s="1" t="s">
        <v>674</v>
      </c>
      <c r="CG100">
        <v>560</v>
      </c>
      <c r="CH100">
        <v>281</v>
      </c>
      <c r="CI100" t="s">
        <v>3349</v>
      </c>
      <c r="CJ100">
        <v>5</v>
      </c>
      <c r="CT100">
        <v>5</v>
      </c>
      <c r="CU100">
        <v>20</v>
      </c>
      <c r="CV100">
        <v>131</v>
      </c>
      <c r="CY100" t="s">
        <v>3354</v>
      </c>
    </row>
    <row r="101" spans="1:104" x14ac:dyDescent="0.25">
      <c r="A101" t="s">
        <v>513</v>
      </c>
      <c r="B101" t="s">
        <v>3355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450</v>
      </c>
      <c r="CF101">
        <v>12</v>
      </c>
      <c r="CG101">
        <v>90</v>
      </c>
      <c r="CI101" t="s">
        <v>390</v>
      </c>
      <c r="CT101">
        <v>7</v>
      </c>
      <c r="CU101">
        <v>170</v>
      </c>
      <c r="CV101">
        <v>128</v>
      </c>
      <c r="CW101">
        <v>60</v>
      </c>
    </row>
    <row r="102" spans="1:104" x14ac:dyDescent="0.25">
      <c r="A102" t="s">
        <v>515</v>
      </c>
      <c r="B102" t="s">
        <v>3296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450</v>
      </c>
      <c r="CF102">
        <v>35</v>
      </c>
      <c r="CG102">
        <v>90</v>
      </c>
      <c r="CI102" t="s">
        <v>3223</v>
      </c>
      <c r="CT102">
        <v>5</v>
      </c>
      <c r="CU102">
        <v>20</v>
      </c>
      <c r="CV102">
        <v>108</v>
      </c>
      <c r="CY102" t="s">
        <v>3342</v>
      </c>
    </row>
    <row r="103" spans="1:104" x14ac:dyDescent="0.25">
      <c r="A103" t="s">
        <v>516</v>
      </c>
      <c r="B103" t="s">
        <v>3356</v>
      </c>
      <c r="BF103">
        <v>13</v>
      </c>
      <c r="BG103">
        <v>20</v>
      </c>
      <c r="BH103">
        <v>174</v>
      </c>
      <c r="BK103" t="s">
        <v>3357</v>
      </c>
      <c r="BL103" t="b">
        <v>0</v>
      </c>
      <c r="CD103">
        <v>14</v>
      </c>
      <c r="CE103">
        <v>8</v>
      </c>
      <c r="CF103">
        <v>8</v>
      </c>
      <c r="CG103">
        <v>422</v>
      </c>
      <c r="CH103">
        <v>182</v>
      </c>
      <c r="CI103" t="s">
        <v>399</v>
      </c>
      <c r="CT103">
        <v>8</v>
      </c>
      <c r="CU103">
        <v>170</v>
      </c>
      <c r="CV103">
        <v>105</v>
      </c>
      <c r="CW103">
        <v>60</v>
      </c>
    </row>
    <row r="104" spans="1:104" x14ac:dyDescent="0.25">
      <c r="A104" t="s">
        <v>519</v>
      </c>
      <c r="B104" t="s">
        <v>3358</v>
      </c>
      <c r="BF104">
        <v>13</v>
      </c>
      <c r="BK104" t="s">
        <v>3359</v>
      </c>
      <c r="BL104" t="b">
        <v>0</v>
      </c>
      <c r="CD104">
        <v>5</v>
      </c>
      <c r="CE104">
        <v>20</v>
      </c>
      <c r="CF104">
        <v>27</v>
      </c>
      <c r="CI104" t="s">
        <v>3228</v>
      </c>
    </row>
    <row r="105" spans="1:104" x14ac:dyDescent="0.25">
      <c r="A105" t="s">
        <v>534</v>
      </c>
      <c r="B105" t="s">
        <v>3323</v>
      </c>
      <c r="BF105">
        <v>13</v>
      </c>
      <c r="BK105" t="s">
        <v>3257</v>
      </c>
      <c r="BL105" t="b">
        <v>0</v>
      </c>
      <c r="CD105">
        <v>10</v>
      </c>
      <c r="CE105">
        <v>220</v>
      </c>
      <c r="CF105">
        <v>25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3360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20</v>
      </c>
      <c r="CF106">
        <v>47</v>
      </c>
      <c r="CI106" t="s">
        <v>3233</v>
      </c>
      <c r="CT106">
        <v>5</v>
      </c>
      <c r="CZ106" t="s">
        <v>382</v>
      </c>
    </row>
    <row r="107" spans="1:104" x14ac:dyDescent="0.25">
      <c r="A107" t="s">
        <v>538</v>
      </c>
      <c r="B107" t="s">
        <v>3222</v>
      </c>
      <c r="CD107">
        <v>10</v>
      </c>
      <c r="CE107">
        <v>220</v>
      </c>
      <c r="CF107">
        <v>45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826</v>
      </c>
      <c r="CD108">
        <v>5</v>
      </c>
      <c r="CE108">
        <v>20</v>
      </c>
      <c r="CF108">
        <v>71</v>
      </c>
      <c r="CI108" t="s">
        <v>3287</v>
      </c>
      <c r="CT108">
        <v>5</v>
      </c>
    </row>
    <row r="109" spans="1:104" x14ac:dyDescent="0.25">
      <c r="A109" t="s">
        <v>60</v>
      </c>
      <c r="B109" t="s">
        <v>827</v>
      </c>
      <c r="CD109">
        <v>8</v>
      </c>
      <c r="CE109">
        <v>284</v>
      </c>
      <c r="CF109">
        <v>69</v>
      </c>
      <c r="CG109">
        <v>127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98</v>
      </c>
      <c r="CI110" t="s">
        <v>3361</v>
      </c>
      <c r="CT110">
        <v>5</v>
      </c>
    </row>
    <row r="111" spans="1:104" x14ac:dyDescent="0.25">
      <c r="A111" t="s">
        <v>434</v>
      </c>
      <c r="B111" t="s">
        <v>829</v>
      </c>
      <c r="CD111">
        <v>8</v>
      </c>
      <c r="CE111">
        <v>284</v>
      </c>
      <c r="CF111">
        <v>96</v>
      </c>
      <c r="CG111">
        <v>127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20</v>
      </c>
      <c r="CF112">
        <v>122</v>
      </c>
      <c r="CI112" t="s">
        <v>3362</v>
      </c>
      <c r="CT112">
        <v>5</v>
      </c>
    </row>
    <row r="113" spans="1:104" x14ac:dyDescent="0.25">
      <c r="A113" t="s">
        <v>539</v>
      </c>
      <c r="B113" t="s">
        <v>3363</v>
      </c>
      <c r="CD113">
        <v>8</v>
      </c>
      <c r="CE113">
        <v>284</v>
      </c>
      <c r="CF113">
        <v>120</v>
      </c>
      <c r="CG113">
        <v>127</v>
      </c>
      <c r="CT113">
        <v>5</v>
      </c>
    </row>
    <row r="114" spans="1:104" x14ac:dyDescent="0.25">
      <c r="A114" t="s">
        <v>541</v>
      </c>
      <c r="B114" t="s">
        <v>2406</v>
      </c>
      <c r="CD114">
        <v>13</v>
      </c>
      <c r="CE114">
        <v>20</v>
      </c>
      <c r="CF114">
        <v>141</v>
      </c>
      <c r="CI114" t="s">
        <v>3234</v>
      </c>
      <c r="CJ114" t="b">
        <v>0</v>
      </c>
      <c r="CT114">
        <v>5</v>
      </c>
    </row>
    <row r="115" spans="1:104" x14ac:dyDescent="0.25">
      <c r="A115" t="s">
        <v>543</v>
      </c>
      <c r="B115" t="s">
        <v>3216</v>
      </c>
      <c r="CD115">
        <v>5</v>
      </c>
      <c r="CE115">
        <v>20</v>
      </c>
      <c r="CF115">
        <v>165</v>
      </c>
      <c r="CI115" t="s">
        <v>1019</v>
      </c>
      <c r="CT115">
        <v>5</v>
      </c>
    </row>
    <row r="116" spans="1:104" x14ac:dyDescent="0.25">
      <c r="A116" t="s">
        <v>544</v>
      </c>
      <c r="B116" t="s">
        <v>3364</v>
      </c>
      <c r="CD116">
        <v>8</v>
      </c>
      <c r="CE116">
        <v>72</v>
      </c>
      <c r="CF116">
        <v>163</v>
      </c>
      <c r="CG116">
        <v>63</v>
      </c>
      <c r="CJ116">
        <v>0.05</v>
      </c>
      <c r="CT116">
        <v>5</v>
      </c>
      <c r="CU116">
        <v>20</v>
      </c>
      <c r="CV116">
        <v>110</v>
      </c>
      <c r="CY116" t="s">
        <v>546</v>
      </c>
    </row>
    <row r="117" spans="1:104" x14ac:dyDescent="0.25">
      <c r="A117" t="s">
        <v>547</v>
      </c>
      <c r="B117" t="s">
        <v>3365</v>
      </c>
      <c r="CD117">
        <v>14</v>
      </c>
      <c r="CE117">
        <v>8</v>
      </c>
      <c r="CF117">
        <v>194</v>
      </c>
      <c r="CG117">
        <v>422</v>
      </c>
      <c r="CH117">
        <v>81</v>
      </c>
      <c r="CI117" t="s">
        <v>3242</v>
      </c>
      <c r="CT117">
        <v>8</v>
      </c>
      <c r="CU117">
        <v>110</v>
      </c>
      <c r="CV117">
        <v>108</v>
      </c>
      <c r="CW117">
        <v>60</v>
      </c>
      <c r="CX117">
        <v>18</v>
      </c>
    </row>
    <row r="118" spans="1:104" x14ac:dyDescent="0.25">
      <c r="A118" t="s">
        <v>560</v>
      </c>
      <c r="B118" t="s">
        <v>2410</v>
      </c>
      <c r="CD118">
        <v>111</v>
      </c>
      <c r="CJ118">
        <v>2</v>
      </c>
    </row>
    <row r="119" spans="1:104" x14ac:dyDescent="0.25">
      <c r="A119" t="s">
        <v>562</v>
      </c>
      <c r="B119" t="s">
        <v>3366</v>
      </c>
      <c r="CD119">
        <v>12</v>
      </c>
      <c r="CE119">
        <v>20</v>
      </c>
      <c r="CF119">
        <v>210</v>
      </c>
      <c r="CI119" t="s">
        <v>3247</v>
      </c>
      <c r="CT119" t="s">
        <v>332</v>
      </c>
    </row>
    <row r="120" spans="1:104" x14ac:dyDescent="0.25">
      <c r="A120" t="s">
        <v>366</v>
      </c>
      <c r="B120" t="s">
        <v>3367</v>
      </c>
      <c r="CD120">
        <v>12</v>
      </c>
      <c r="CF120">
        <v>230</v>
      </c>
      <c r="CI120" t="s">
        <v>3250</v>
      </c>
      <c r="CT120">
        <v>5</v>
      </c>
      <c r="CZ120" t="s">
        <v>332</v>
      </c>
    </row>
    <row r="121" spans="1:104" x14ac:dyDescent="0.25">
      <c r="A121" t="s">
        <v>368</v>
      </c>
      <c r="B121" t="s">
        <v>3368</v>
      </c>
      <c r="CD121">
        <v>12</v>
      </c>
      <c r="CF121">
        <v>250</v>
      </c>
      <c r="CI121" t="s">
        <v>3252</v>
      </c>
      <c r="CT121">
        <v>5</v>
      </c>
    </row>
    <row r="122" spans="1:104" x14ac:dyDescent="0.25">
      <c r="A122" t="s">
        <v>370</v>
      </c>
      <c r="B122" t="s">
        <v>453</v>
      </c>
      <c r="CD122">
        <v>210</v>
      </c>
      <c r="CE122">
        <v>220</v>
      </c>
      <c r="CF122">
        <v>208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220</v>
      </c>
      <c r="CF123">
        <v>228</v>
      </c>
      <c r="CG123">
        <v>192</v>
      </c>
      <c r="CT123">
        <v>5</v>
      </c>
    </row>
    <row r="124" spans="1:104" x14ac:dyDescent="0.25">
      <c r="A124" t="s">
        <v>294</v>
      </c>
      <c r="B124" t="s">
        <v>3369</v>
      </c>
      <c r="CD124">
        <v>24</v>
      </c>
      <c r="CE124">
        <v>450</v>
      </c>
      <c r="CF124">
        <v>62</v>
      </c>
      <c r="CG124">
        <v>90</v>
      </c>
      <c r="CT124">
        <v>5</v>
      </c>
    </row>
    <row r="125" spans="1:104" x14ac:dyDescent="0.25">
      <c r="A125" t="s">
        <v>296</v>
      </c>
      <c r="B125" t="s">
        <v>3370</v>
      </c>
      <c r="CT125">
        <v>5</v>
      </c>
    </row>
    <row r="126" spans="1:104" x14ac:dyDescent="0.25">
      <c r="A126" t="s">
        <v>590</v>
      </c>
      <c r="B126" t="s">
        <v>3371</v>
      </c>
      <c r="CT126">
        <v>5</v>
      </c>
    </row>
    <row r="127" spans="1:104" x14ac:dyDescent="0.25">
      <c r="A127" t="s">
        <v>592</v>
      </c>
      <c r="B127" t="s">
        <v>3372</v>
      </c>
      <c r="CT127">
        <v>5</v>
      </c>
    </row>
    <row r="128" spans="1:104" x14ac:dyDescent="0.25">
      <c r="A128" t="s">
        <v>594</v>
      </c>
      <c r="B128" t="s">
        <v>3373</v>
      </c>
      <c r="CT128">
        <v>5</v>
      </c>
    </row>
    <row r="129" spans="1:104" x14ac:dyDescent="0.25">
      <c r="A129" t="s">
        <v>596</v>
      </c>
      <c r="B129" t="s">
        <v>3374</v>
      </c>
      <c r="CT129">
        <v>5</v>
      </c>
    </row>
    <row r="130" spans="1:104" x14ac:dyDescent="0.25">
      <c r="A130" t="s">
        <v>277</v>
      </c>
      <c r="B130" t="s">
        <v>3375</v>
      </c>
      <c r="CT130">
        <v>5</v>
      </c>
      <c r="CU130">
        <v>20</v>
      </c>
      <c r="CV130">
        <v>104</v>
      </c>
      <c r="CY130" t="s">
        <v>3264</v>
      </c>
    </row>
    <row r="131" spans="1:104" x14ac:dyDescent="0.25">
      <c r="A131" t="s">
        <v>279</v>
      </c>
      <c r="B131" t="s">
        <v>3376</v>
      </c>
      <c r="CT131">
        <v>10</v>
      </c>
      <c r="CU131">
        <v>20</v>
      </c>
      <c r="CV131">
        <v>120</v>
      </c>
      <c r="CW131">
        <v>312</v>
      </c>
      <c r="CZ131" t="s">
        <v>316</v>
      </c>
    </row>
    <row r="132" spans="1:104" x14ac:dyDescent="0.25">
      <c r="A132" t="s">
        <v>281</v>
      </c>
      <c r="B132" t="s">
        <v>3377</v>
      </c>
    </row>
    <row r="133" spans="1:104" x14ac:dyDescent="0.25">
      <c r="A133" t="s">
        <v>283</v>
      </c>
      <c r="B133" t="s">
        <v>3378</v>
      </c>
    </row>
    <row r="134" spans="1:104" x14ac:dyDescent="0.25">
      <c r="A134" t="s">
        <v>285</v>
      </c>
      <c r="B134" t="s">
        <v>3379</v>
      </c>
      <c r="CT134" t="s">
        <v>287</v>
      </c>
    </row>
    <row r="135" spans="1:104" x14ac:dyDescent="0.25">
      <c r="A135" t="s">
        <v>288</v>
      </c>
      <c r="B135" t="s">
        <v>3380</v>
      </c>
      <c r="CT135" t="s">
        <v>507</v>
      </c>
    </row>
    <row r="136" spans="1:104" x14ac:dyDescent="0.25">
      <c r="A136" t="s">
        <v>290</v>
      </c>
      <c r="B136" t="s">
        <v>3381</v>
      </c>
      <c r="CT136" t="str">
        <f>mg01s.RandUniform</f>
        <v>Uniforme</v>
      </c>
      <c r="CU136" t="s">
        <v>551</v>
      </c>
    </row>
    <row r="137" spans="1:104" x14ac:dyDescent="0.25">
      <c r="A137" t="s">
        <v>292</v>
      </c>
      <c r="B137" t="s">
        <v>3382</v>
      </c>
      <c r="CT137" t="str">
        <f>mg01s.RandNormal</f>
        <v>Normale</v>
      </c>
      <c r="CU137" t="s">
        <v>554</v>
      </c>
    </row>
    <row r="138" spans="1:104" x14ac:dyDescent="0.25">
      <c r="A138" t="s">
        <v>609</v>
      </c>
      <c r="B138" t="s">
        <v>3383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3384</v>
      </c>
      <c r="CT139" t="str">
        <f>mg01s.RandBinomial</f>
        <v>Binomiale</v>
      </c>
      <c r="CU139" t="s">
        <v>379</v>
      </c>
    </row>
    <row r="140" spans="1:104" x14ac:dyDescent="0.25">
      <c r="A140" t="s">
        <v>613</v>
      </c>
      <c r="B140" t="s">
        <v>3385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3386</v>
      </c>
      <c r="CT141" t="str">
        <f>mg01s.RandPatterned</f>
        <v>A schema</v>
      </c>
      <c r="CU141" t="s">
        <v>599</v>
      </c>
    </row>
    <row r="142" spans="1:104" x14ac:dyDescent="0.25">
      <c r="A142" t="s">
        <v>92</v>
      </c>
      <c r="B142" t="s">
        <v>3221</v>
      </c>
      <c r="CT142" t="str">
        <f>mg01s.RandDiscrete</f>
        <v>Discreta</v>
      </c>
      <c r="CU142" t="s">
        <v>332</v>
      </c>
    </row>
    <row r="143" spans="1:104" x14ac:dyDescent="0.25">
      <c r="A143" t="s">
        <v>304</v>
      </c>
      <c r="B143" t="s">
        <v>3387</v>
      </c>
    </row>
    <row r="144" spans="1:104" x14ac:dyDescent="0.25">
      <c r="A144" t="s">
        <v>306</v>
      </c>
      <c r="B144" t="s">
        <v>2432</v>
      </c>
    </row>
    <row r="145" spans="1:2" x14ac:dyDescent="0.25">
      <c r="A145" t="s">
        <v>98</v>
      </c>
      <c r="B145" t="s">
        <v>3388</v>
      </c>
    </row>
    <row r="146" spans="1:2" x14ac:dyDescent="0.25">
      <c r="A146" t="s">
        <v>311</v>
      </c>
      <c r="B146" t="s">
        <v>3389</v>
      </c>
    </row>
    <row r="147" spans="1:2" x14ac:dyDescent="0.25">
      <c r="A147" t="s">
        <v>313</v>
      </c>
      <c r="B147" t="s">
        <v>3390</v>
      </c>
    </row>
    <row r="148" spans="1:2" x14ac:dyDescent="0.25">
      <c r="A148" t="s">
        <v>102</v>
      </c>
      <c r="B148" t="s">
        <v>3391</v>
      </c>
    </row>
    <row r="149" spans="1:2" x14ac:dyDescent="0.25">
      <c r="A149" t="s">
        <v>319</v>
      </c>
      <c r="B149" t="s">
        <v>3392</v>
      </c>
    </row>
    <row r="150" spans="1:2" x14ac:dyDescent="0.25">
      <c r="A150" t="s">
        <v>105</v>
      </c>
      <c r="B150" t="s">
        <v>3393</v>
      </c>
    </row>
    <row r="151" spans="1:2" x14ac:dyDescent="0.25">
      <c r="A151" t="s">
        <v>323</v>
      </c>
      <c r="B151" t="s">
        <v>3394</v>
      </c>
    </row>
    <row r="152" spans="1:2" x14ac:dyDescent="0.25">
      <c r="A152" t="s">
        <v>108</v>
      </c>
      <c r="B152" t="s">
        <v>3395</v>
      </c>
    </row>
    <row r="153" spans="1:2" x14ac:dyDescent="0.25">
      <c r="A153" t="s">
        <v>110</v>
      </c>
      <c r="B153" t="s">
        <v>3396</v>
      </c>
    </row>
    <row r="154" spans="1:2" x14ac:dyDescent="0.25">
      <c r="A154" t="s">
        <v>112</v>
      </c>
      <c r="B154" t="s">
        <v>3397</v>
      </c>
    </row>
    <row r="155" spans="1:2" x14ac:dyDescent="0.25">
      <c r="A155" t="s">
        <v>336</v>
      </c>
      <c r="B155" t="s">
        <v>3398</v>
      </c>
    </row>
    <row r="156" spans="1:2" x14ac:dyDescent="0.25">
      <c r="A156" t="s">
        <v>120</v>
      </c>
      <c r="B156" t="s">
        <v>3399</v>
      </c>
    </row>
    <row r="157" spans="1:2" x14ac:dyDescent="0.25">
      <c r="A157" t="s">
        <v>349</v>
      </c>
      <c r="B157" t="s">
        <v>3400</v>
      </c>
    </row>
    <row r="158" spans="1:2" x14ac:dyDescent="0.25">
      <c r="A158" t="s">
        <v>350</v>
      </c>
      <c r="B158" t="s">
        <v>3401</v>
      </c>
    </row>
    <row r="159" spans="1:2" x14ac:dyDescent="0.25">
      <c r="A159" t="s">
        <v>438</v>
      </c>
      <c r="B159" t="s">
        <v>3402</v>
      </c>
    </row>
    <row r="160" spans="1:2" x14ac:dyDescent="0.25">
      <c r="A160" t="s">
        <v>353</v>
      </c>
      <c r="B160" t="s">
        <v>3403</v>
      </c>
    </row>
    <row r="161" spans="1:2" x14ac:dyDescent="0.25">
      <c r="A161" t="s">
        <v>355</v>
      </c>
      <c r="B161" t="s">
        <v>3404</v>
      </c>
    </row>
    <row r="162" spans="1:2" x14ac:dyDescent="0.25">
      <c r="A162" t="s">
        <v>129</v>
      </c>
      <c r="B162" t="s">
        <v>3405</v>
      </c>
    </row>
    <row r="163" spans="1:2" x14ac:dyDescent="0.25">
      <c r="A163" t="s">
        <v>363</v>
      </c>
      <c r="B163" t="s">
        <v>3406</v>
      </c>
    </row>
    <row r="164" spans="1:2" x14ac:dyDescent="0.25">
      <c r="A164" t="s">
        <v>365</v>
      </c>
      <c r="B164" t="s">
        <v>3407</v>
      </c>
    </row>
    <row r="165" spans="1:2" x14ac:dyDescent="0.25">
      <c r="A165" t="s">
        <v>374</v>
      </c>
      <c r="B165" t="s">
        <v>3408</v>
      </c>
    </row>
    <row r="166" spans="1:2" x14ac:dyDescent="0.25">
      <c r="A166" t="s">
        <v>135</v>
      </c>
      <c r="B166" t="s">
        <v>3409</v>
      </c>
    </row>
    <row r="167" spans="1:2" x14ac:dyDescent="0.25">
      <c r="A167" t="s">
        <v>137</v>
      </c>
      <c r="B167" t="s">
        <v>3410</v>
      </c>
    </row>
    <row r="168" spans="1:2" x14ac:dyDescent="0.25">
      <c r="A168" t="s">
        <v>139</v>
      </c>
      <c r="B168" t="s">
        <v>3411</v>
      </c>
    </row>
    <row r="169" spans="1:2" x14ac:dyDescent="0.25">
      <c r="A169" t="s">
        <v>384</v>
      </c>
      <c r="B169" t="s">
        <v>3412</v>
      </c>
    </row>
    <row r="170" spans="1:2" x14ac:dyDescent="0.25">
      <c r="A170" t="s">
        <v>462</v>
      </c>
      <c r="B170" t="s">
        <v>3413</v>
      </c>
    </row>
    <row r="171" spans="1:2" x14ac:dyDescent="0.25">
      <c r="A171" t="s">
        <v>464</v>
      </c>
      <c r="B171" t="s">
        <v>3414</v>
      </c>
    </row>
    <row r="172" spans="1:2" x14ac:dyDescent="0.25">
      <c r="A172" t="s">
        <v>388</v>
      </c>
      <c r="B172" t="s">
        <v>3415</v>
      </c>
    </row>
    <row r="173" spans="1:2" x14ac:dyDescent="0.25">
      <c r="A173" t="s">
        <v>147</v>
      </c>
      <c r="B173" t="s">
        <v>3416</v>
      </c>
    </row>
    <row r="174" spans="1:2" x14ac:dyDescent="0.25">
      <c r="A174" t="s">
        <v>385</v>
      </c>
      <c r="B174" t="s">
        <v>3417</v>
      </c>
    </row>
    <row r="175" spans="1:2" x14ac:dyDescent="0.25">
      <c r="A175" t="s">
        <v>151</v>
      </c>
      <c r="B175" t="s">
        <v>3418</v>
      </c>
    </row>
    <row r="176" spans="1:2" x14ac:dyDescent="0.25">
      <c r="A176" t="s">
        <v>406</v>
      </c>
      <c r="B176" t="s">
        <v>3419</v>
      </c>
    </row>
    <row r="177" spans="1:2" x14ac:dyDescent="0.25">
      <c r="A177" t="s">
        <v>408</v>
      </c>
      <c r="B177" t="s">
        <v>3420</v>
      </c>
    </row>
    <row r="178" spans="1:2" x14ac:dyDescent="0.25">
      <c r="A178" t="s">
        <v>503</v>
      </c>
      <c r="B178" t="s">
        <v>3421</v>
      </c>
    </row>
    <row r="179" spans="1:2" x14ac:dyDescent="0.25">
      <c r="A179" t="s">
        <v>410</v>
      </c>
      <c r="B179" t="s">
        <v>3422</v>
      </c>
    </row>
    <row r="180" spans="1:2" x14ac:dyDescent="0.25">
      <c r="A180" t="s">
        <v>412</v>
      </c>
      <c r="B180" t="s">
        <v>3423</v>
      </c>
    </row>
    <row r="181" spans="1:2" x14ac:dyDescent="0.25">
      <c r="A181" t="s">
        <v>161</v>
      </c>
      <c r="B181" t="s">
        <v>3424</v>
      </c>
    </row>
    <row r="182" spans="1:2" x14ac:dyDescent="0.25">
      <c r="A182" t="s">
        <v>415</v>
      </c>
      <c r="B182" t="s">
        <v>3425</v>
      </c>
    </row>
    <row r="183" spans="1:2" x14ac:dyDescent="0.25">
      <c r="A183" t="s">
        <v>173</v>
      </c>
      <c r="B183" t="s">
        <v>3426</v>
      </c>
    </row>
    <row r="184" spans="1:2" x14ac:dyDescent="0.25">
      <c r="A184" t="s">
        <v>167</v>
      </c>
      <c r="B184" t="s">
        <v>3427</v>
      </c>
    </row>
    <row r="185" spans="1:2" x14ac:dyDescent="0.25">
      <c r="A185" t="s">
        <v>169</v>
      </c>
      <c r="B185" t="s">
        <v>3428</v>
      </c>
    </row>
    <row r="186" spans="1:2" x14ac:dyDescent="0.25">
      <c r="A186" t="s">
        <v>444</v>
      </c>
      <c r="B186" t="s">
        <v>3429</v>
      </c>
    </row>
    <row r="187" spans="1:2" x14ac:dyDescent="0.25">
      <c r="A187" t="s">
        <v>18</v>
      </c>
      <c r="B187" t="s">
        <v>3430</v>
      </c>
    </row>
    <row r="188" spans="1:2" x14ac:dyDescent="0.25">
      <c r="A188" t="s">
        <v>175</v>
      </c>
      <c r="B188" t="s">
        <v>3431</v>
      </c>
    </row>
    <row r="189" spans="1:2" x14ac:dyDescent="0.25">
      <c r="A189" t="s">
        <v>181</v>
      </c>
      <c r="B189" t="s">
        <v>3432</v>
      </c>
    </row>
    <row r="190" spans="1:2" x14ac:dyDescent="0.25">
      <c r="A190" t="s">
        <v>64</v>
      </c>
      <c r="B190" t="s">
        <v>3433</v>
      </c>
    </row>
    <row r="191" spans="1:2" x14ac:dyDescent="0.25">
      <c r="A191" t="s">
        <v>185</v>
      </c>
      <c r="B191" t="s">
        <v>3434</v>
      </c>
    </row>
    <row r="192" spans="1:2" x14ac:dyDescent="0.25">
      <c r="A192" t="s">
        <v>192</v>
      </c>
      <c r="B192" t="s">
        <v>3435</v>
      </c>
    </row>
    <row r="193" spans="1:2" x14ac:dyDescent="0.25">
      <c r="A193" t="s">
        <v>67</v>
      </c>
      <c r="B193" t="s">
        <v>3436</v>
      </c>
    </row>
    <row r="194" spans="1:2" x14ac:dyDescent="0.25">
      <c r="A194" t="s">
        <v>197</v>
      </c>
      <c r="B194" t="s">
        <v>3437</v>
      </c>
    </row>
    <row r="195" spans="1:2" x14ac:dyDescent="0.25">
      <c r="A195" t="s">
        <v>199</v>
      </c>
      <c r="B195" t="s">
        <v>3438</v>
      </c>
    </row>
    <row r="196" spans="1:2" x14ac:dyDescent="0.25">
      <c r="A196" t="s">
        <v>44</v>
      </c>
      <c r="B196" t="s">
        <v>3439</v>
      </c>
    </row>
    <row r="197" spans="1:2" x14ac:dyDescent="0.25">
      <c r="A197" t="s">
        <v>46</v>
      </c>
      <c r="B197" t="s">
        <v>3440</v>
      </c>
    </row>
    <row r="198" spans="1:2" x14ac:dyDescent="0.25">
      <c r="A198" t="s">
        <v>212</v>
      </c>
      <c r="B198" t="s">
        <v>3441</v>
      </c>
    </row>
    <row r="199" spans="1:2" x14ac:dyDescent="0.25">
      <c r="A199" t="s">
        <v>215</v>
      </c>
      <c r="B199" t="s">
        <v>3442</v>
      </c>
    </row>
    <row r="200" spans="1:2" x14ac:dyDescent="0.25">
      <c r="A200" t="s">
        <v>77</v>
      </c>
      <c r="B200" t="s">
        <v>3443</v>
      </c>
    </row>
    <row r="201" spans="1:2" x14ac:dyDescent="0.25">
      <c r="A201" t="s">
        <v>223</v>
      </c>
      <c r="B201" t="s">
        <v>3444</v>
      </c>
    </row>
    <row r="202" spans="1:2" x14ac:dyDescent="0.25">
      <c r="A202" t="s">
        <v>1</v>
      </c>
      <c r="B202" t="s">
        <v>3445</v>
      </c>
    </row>
    <row r="203" spans="1:2" x14ac:dyDescent="0.25">
      <c r="A203" t="s">
        <v>225</v>
      </c>
      <c r="B203" t="s">
        <v>3446</v>
      </c>
    </row>
    <row r="204" spans="1:2" x14ac:dyDescent="0.25">
      <c r="A204" t="s">
        <v>4</v>
      </c>
      <c r="B204" t="s">
        <v>3447</v>
      </c>
    </row>
    <row r="205" spans="1:2" x14ac:dyDescent="0.25">
      <c r="A205" t="s">
        <v>233</v>
      </c>
      <c r="B205" t="s">
        <v>3448</v>
      </c>
    </row>
    <row r="206" spans="1:2" x14ac:dyDescent="0.25">
      <c r="A206" t="s">
        <v>6</v>
      </c>
      <c r="B206" t="s">
        <v>3449</v>
      </c>
    </row>
    <row r="207" spans="1:2" x14ac:dyDescent="0.25">
      <c r="A207" t="s">
        <v>241</v>
      </c>
      <c r="B207" t="s">
        <v>3450</v>
      </c>
    </row>
    <row r="208" spans="1:2" x14ac:dyDescent="0.25">
      <c r="A208" t="s">
        <v>11</v>
      </c>
      <c r="B208" t="s">
        <v>3451</v>
      </c>
    </row>
    <row r="209" spans="1:103" x14ac:dyDescent="0.25">
      <c r="A209" t="s">
        <v>13</v>
      </c>
      <c r="B209" t="s">
        <v>3452</v>
      </c>
    </row>
    <row r="210" spans="1:103" x14ac:dyDescent="0.25">
      <c r="A210" t="s">
        <v>254</v>
      </c>
      <c r="B210" t="s">
        <v>2498</v>
      </c>
    </row>
    <row r="211" spans="1:103" x14ac:dyDescent="0.25">
      <c r="A211" t="s">
        <v>256</v>
      </c>
      <c r="B211" t="s">
        <v>3453</v>
      </c>
    </row>
    <row r="212" spans="1:103" x14ac:dyDescent="0.25">
      <c r="A212" t="s">
        <v>258</v>
      </c>
      <c r="B212" t="s">
        <v>3454</v>
      </c>
    </row>
    <row r="213" spans="1:103" x14ac:dyDescent="0.25">
      <c r="A213" t="s">
        <v>533</v>
      </c>
      <c r="B213" t="s">
        <v>3455</v>
      </c>
      <c r="BS213" t="b">
        <v>1</v>
      </c>
    </row>
    <row r="214" spans="1:103" x14ac:dyDescent="0.25">
      <c r="A214" t="s">
        <v>17</v>
      </c>
      <c r="B214" t="s">
        <v>3456</v>
      </c>
    </row>
    <row r="215" spans="1:103" x14ac:dyDescent="0.25">
      <c r="A215" t="s">
        <v>265</v>
      </c>
      <c r="B215" t="s">
        <v>3457</v>
      </c>
    </row>
    <row r="216" spans="1:103" x14ac:dyDescent="0.25">
      <c r="A216" t="s">
        <v>550</v>
      </c>
      <c r="B216" t="s">
        <v>3458</v>
      </c>
    </row>
    <row r="217" spans="1:103" x14ac:dyDescent="0.25">
      <c r="A217" t="s">
        <v>267</v>
      </c>
      <c r="B217" t="s">
        <v>3459</v>
      </c>
    </row>
    <row r="218" spans="1:103" x14ac:dyDescent="0.25">
      <c r="A218" t="s">
        <v>262</v>
      </c>
      <c r="B218" t="s">
        <v>3460</v>
      </c>
    </row>
    <row r="219" spans="1:103" x14ac:dyDescent="0.25">
      <c r="A219" t="s">
        <v>272</v>
      </c>
      <c r="B219" t="s">
        <v>3461</v>
      </c>
    </row>
    <row r="220" spans="1:103" x14ac:dyDescent="0.25">
      <c r="A220" t="s">
        <v>36</v>
      </c>
      <c r="B220" t="s">
        <v>3462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3463</v>
      </c>
      <c r="AE221" t="b">
        <v>1</v>
      </c>
    </row>
    <row r="222" spans="1:103" x14ac:dyDescent="0.25">
      <c r="A222" t="s">
        <v>269</v>
      </c>
      <c r="B222" t="s">
        <v>3464</v>
      </c>
      <c r="CY222" t="b">
        <v>1</v>
      </c>
    </row>
    <row r="223" spans="1:103" x14ac:dyDescent="0.25">
      <c r="A223" t="s">
        <v>40</v>
      </c>
      <c r="B223" t="s">
        <v>3465</v>
      </c>
    </row>
    <row r="224" spans="1:103" x14ac:dyDescent="0.25">
      <c r="A224" t="s">
        <v>42</v>
      </c>
      <c r="B224" t="s">
        <v>3466</v>
      </c>
      <c r="CI224" t="b">
        <v>1</v>
      </c>
    </row>
    <row r="225" spans="1:2" x14ac:dyDescent="0.25">
      <c r="A225" t="s">
        <v>275</v>
      </c>
      <c r="B225" t="s">
        <v>3467</v>
      </c>
    </row>
    <row r="226" spans="1:2" x14ac:dyDescent="0.25">
      <c r="A226" t="s">
        <v>73</v>
      </c>
      <c r="B226" t="s">
        <v>3468</v>
      </c>
    </row>
    <row r="227" spans="1:2" x14ac:dyDescent="0.25">
      <c r="A227" t="s">
        <v>75</v>
      </c>
      <c r="B227" t="s">
        <v>3469</v>
      </c>
    </row>
    <row r="228" spans="1:2" x14ac:dyDescent="0.25">
      <c r="A228" t="s">
        <v>88</v>
      </c>
      <c r="B228" t="s">
        <v>3470</v>
      </c>
    </row>
    <row r="229" spans="1:2" x14ac:dyDescent="0.25">
      <c r="A229" t="s">
        <v>49</v>
      </c>
      <c r="B229" t="s">
        <v>3471</v>
      </c>
    </row>
    <row r="230" spans="1:2" x14ac:dyDescent="0.25">
      <c r="A230" t="s">
        <v>51</v>
      </c>
      <c r="B230" t="s">
        <v>3472</v>
      </c>
    </row>
    <row r="231" spans="1:2" x14ac:dyDescent="0.25">
      <c r="A231" t="s">
        <v>53</v>
      </c>
      <c r="B231" t="s">
        <v>3473</v>
      </c>
    </row>
    <row r="232" spans="1:2" x14ac:dyDescent="0.25">
      <c r="A232" t="s">
        <v>55</v>
      </c>
      <c r="B232" t="s">
        <v>3474</v>
      </c>
    </row>
    <row r="233" spans="1:2" x14ac:dyDescent="0.25">
      <c r="A233" t="s">
        <v>57</v>
      </c>
      <c r="B233" t="s">
        <v>3475</v>
      </c>
    </row>
    <row r="234" spans="1:2" x14ac:dyDescent="0.25">
      <c r="A234" t="s">
        <v>59</v>
      </c>
      <c r="B234" t="s">
        <v>3476</v>
      </c>
    </row>
    <row r="235" spans="1:2" x14ac:dyDescent="0.25">
      <c r="A235" t="s">
        <v>24</v>
      </c>
      <c r="B235" t="s">
        <v>3477</v>
      </c>
    </row>
    <row r="236" spans="1:2" x14ac:dyDescent="0.25">
      <c r="A236" t="s">
        <v>32</v>
      </c>
      <c r="B236" t="s">
        <v>3478</v>
      </c>
    </row>
    <row r="237" spans="1:2" x14ac:dyDescent="0.25">
      <c r="A237" t="s">
        <v>101</v>
      </c>
      <c r="B237" t="s">
        <v>3479</v>
      </c>
    </row>
    <row r="238" spans="1:2" x14ac:dyDescent="0.25">
      <c r="A238" t="s">
        <v>159</v>
      </c>
      <c r="B238" t="s">
        <v>3480</v>
      </c>
    </row>
    <row r="239" spans="1:2" x14ac:dyDescent="0.25">
      <c r="A239" t="s">
        <v>107</v>
      </c>
      <c r="B239" t="s">
        <v>3481</v>
      </c>
    </row>
    <row r="240" spans="1:2" x14ac:dyDescent="0.25">
      <c r="A240" t="s">
        <v>15</v>
      </c>
      <c r="B240" t="s">
        <v>3482</v>
      </c>
    </row>
    <row r="241" spans="1:2" x14ac:dyDescent="0.25">
      <c r="A241" t="s">
        <v>171</v>
      </c>
      <c r="B241" t="s">
        <v>3483</v>
      </c>
    </row>
    <row r="242" spans="1:2" x14ac:dyDescent="0.25">
      <c r="A242" t="s">
        <v>117</v>
      </c>
      <c r="B242" t="s">
        <v>3484</v>
      </c>
    </row>
    <row r="243" spans="1:2" x14ac:dyDescent="0.25">
      <c r="A243" t="s">
        <v>119</v>
      </c>
      <c r="B243" t="s">
        <v>3485</v>
      </c>
    </row>
    <row r="244" spans="1:2" x14ac:dyDescent="0.25">
      <c r="A244" t="s">
        <v>122</v>
      </c>
      <c r="B244" t="s">
        <v>3486</v>
      </c>
    </row>
    <row r="245" spans="1:2" x14ac:dyDescent="0.25">
      <c r="A245" t="s">
        <v>176</v>
      </c>
      <c r="B245" t="s">
        <v>3487</v>
      </c>
    </row>
    <row r="246" spans="1:2" x14ac:dyDescent="0.25">
      <c r="A246" t="s">
        <v>126</v>
      </c>
      <c r="B246" t="s">
        <v>3488</v>
      </c>
    </row>
    <row r="247" spans="1:2" x14ac:dyDescent="0.25">
      <c r="A247" t="s">
        <v>130</v>
      </c>
      <c r="B247" t="s">
        <v>3489</v>
      </c>
    </row>
    <row r="248" spans="1:2" x14ac:dyDescent="0.25">
      <c r="A248" t="s">
        <v>39</v>
      </c>
      <c r="B248" t="s">
        <v>3490</v>
      </c>
    </row>
    <row r="249" spans="1:2" x14ac:dyDescent="0.25">
      <c r="A249" t="s">
        <v>133</v>
      </c>
      <c r="B249" t="s">
        <v>3491</v>
      </c>
    </row>
    <row r="250" spans="1:2" x14ac:dyDescent="0.25">
      <c r="A250" t="s">
        <v>69</v>
      </c>
      <c r="B250" t="s">
        <v>3492</v>
      </c>
    </row>
    <row r="251" spans="1:2" x14ac:dyDescent="0.25">
      <c r="A251" t="s">
        <v>71</v>
      </c>
      <c r="B251" t="s">
        <v>3493</v>
      </c>
    </row>
    <row r="252" spans="1:2" x14ac:dyDescent="0.25">
      <c r="A252" t="s">
        <v>141</v>
      </c>
      <c r="B252" t="s">
        <v>3494</v>
      </c>
    </row>
    <row r="253" spans="1:2" x14ac:dyDescent="0.25">
      <c r="A253" t="s">
        <v>143</v>
      </c>
      <c r="B253" t="s">
        <v>3495</v>
      </c>
    </row>
    <row r="254" spans="1:2" x14ac:dyDescent="0.25">
      <c r="A254" t="s">
        <v>145</v>
      </c>
      <c r="B254" t="s">
        <v>3496</v>
      </c>
    </row>
    <row r="255" spans="1:2" x14ac:dyDescent="0.25">
      <c r="A255" t="s">
        <v>386</v>
      </c>
      <c r="B255" t="s">
        <v>3497</v>
      </c>
    </row>
    <row r="256" spans="1:2" x14ac:dyDescent="0.25">
      <c r="A256" t="s">
        <v>30</v>
      </c>
      <c r="B256" t="s">
        <v>3498</v>
      </c>
    </row>
    <row r="257" spans="1:2" x14ac:dyDescent="0.25">
      <c r="A257" t="s">
        <v>33</v>
      </c>
      <c r="B257" t="s">
        <v>3499</v>
      </c>
    </row>
    <row r="258" spans="1:2" x14ac:dyDescent="0.25">
      <c r="A258" t="s">
        <v>153</v>
      </c>
      <c r="B258" t="s">
        <v>3500</v>
      </c>
    </row>
    <row r="259" spans="1:2" x14ac:dyDescent="0.25">
      <c r="A259" t="s">
        <v>155</v>
      </c>
      <c r="B259" t="s">
        <v>3501</v>
      </c>
    </row>
    <row r="260" spans="1:2" x14ac:dyDescent="0.25">
      <c r="A260" t="s">
        <v>157</v>
      </c>
      <c r="B260" t="s">
        <v>3502</v>
      </c>
    </row>
    <row r="261" spans="1:2" x14ac:dyDescent="0.25">
      <c r="A261" t="s">
        <v>3</v>
      </c>
      <c r="B261" t="s">
        <v>3503</v>
      </c>
    </row>
    <row r="262" spans="1:2" x14ac:dyDescent="0.25">
      <c r="A262" t="s">
        <v>78</v>
      </c>
      <c r="B262" t="s">
        <v>3504</v>
      </c>
    </row>
    <row r="263" spans="1:2" x14ac:dyDescent="0.25">
      <c r="A263" t="s">
        <v>80</v>
      </c>
      <c r="B263" t="s">
        <v>3505</v>
      </c>
    </row>
    <row r="264" spans="1:2" x14ac:dyDescent="0.25">
      <c r="A264" t="s">
        <v>82</v>
      </c>
      <c r="B264" t="s">
        <v>3506</v>
      </c>
    </row>
    <row r="265" spans="1:2" x14ac:dyDescent="0.25">
      <c r="A265" t="s">
        <v>84</v>
      </c>
      <c r="B265" t="s">
        <v>3507</v>
      </c>
    </row>
    <row r="266" spans="1:2" x14ac:dyDescent="0.25">
      <c r="A266" t="s">
        <v>86</v>
      </c>
      <c r="B266" t="s">
        <v>3508</v>
      </c>
    </row>
    <row r="267" spans="1:2" x14ac:dyDescent="0.25">
      <c r="A267" t="s">
        <v>29</v>
      </c>
      <c r="B267" t="s">
        <v>3509</v>
      </c>
    </row>
    <row r="268" spans="1:2" x14ac:dyDescent="0.25">
      <c r="A268" t="s">
        <v>90</v>
      </c>
      <c r="B268" t="s">
        <v>3510</v>
      </c>
    </row>
    <row r="269" spans="1:2" x14ac:dyDescent="0.25">
      <c r="A269" t="s">
        <v>95</v>
      </c>
      <c r="B269" t="s">
        <v>3511</v>
      </c>
    </row>
    <row r="270" spans="1:2" x14ac:dyDescent="0.25">
      <c r="A270" t="s">
        <v>2</v>
      </c>
      <c r="B270" t="s">
        <v>3512</v>
      </c>
    </row>
    <row r="271" spans="1:2" x14ac:dyDescent="0.25">
      <c r="A271" t="s">
        <v>7</v>
      </c>
      <c r="B271" t="s">
        <v>3513</v>
      </c>
    </row>
    <row r="273" spans="1:2" x14ac:dyDescent="0.25">
      <c r="A273" t="s">
        <v>9</v>
      </c>
      <c r="B273" t="s">
        <v>3514</v>
      </c>
    </row>
    <row r="274" spans="1:2" x14ac:dyDescent="0.25">
      <c r="A274" t="s">
        <v>163</v>
      </c>
      <c r="B274" t="s">
        <v>3515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3263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612</v>
      </c>
      <c r="AD2">
        <v>152</v>
      </c>
      <c r="AE2" t="s">
        <v>3516</v>
      </c>
      <c r="AF2">
        <v>4</v>
      </c>
      <c r="AH2" s="1" t="s">
        <v>656</v>
      </c>
      <c r="AK2">
        <v>515</v>
      </c>
      <c r="AL2">
        <v>223</v>
      </c>
      <c r="AM2" t="s">
        <v>3517</v>
      </c>
      <c r="AN2">
        <v>5</v>
      </c>
      <c r="AP2" s="1" t="s">
        <v>657</v>
      </c>
      <c r="AS2">
        <v>664</v>
      </c>
      <c r="AT2">
        <v>312</v>
      </c>
      <c r="AU2" t="s">
        <v>3518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3519</v>
      </c>
      <c r="BL2">
        <v>5</v>
      </c>
      <c r="BN2" s="1" t="s">
        <v>659</v>
      </c>
      <c r="BQ2">
        <v>523</v>
      </c>
      <c r="BR2">
        <v>293</v>
      </c>
      <c r="BS2" t="s">
        <v>3520</v>
      </c>
      <c r="BT2">
        <v>5</v>
      </c>
      <c r="BV2" s="1" t="s">
        <v>660</v>
      </c>
      <c r="BY2">
        <v>593</v>
      </c>
      <c r="BZ2">
        <v>195</v>
      </c>
      <c r="CA2" t="s">
        <v>3521</v>
      </c>
      <c r="CB2">
        <v>5</v>
      </c>
      <c r="CD2" s="1" t="s">
        <v>661</v>
      </c>
      <c r="CG2">
        <v>523</v>
      </c>
      <c r="CH2">
        <v>203</v>
      </c>
      <c r="CI2" t="s">
        <v>3522</v>
      </c>
      <c r="CJ2">
        <v>5</v>
      </c>
      <c r="CL2" s="1" t="s">
        <v>662</v>
      </c>
      <c r="CO2">
        <v>523</v>
      </c>
      <c r="CP2">
        <v>263</v>
      </c>
      <c r="CQ2" t="s">
        <v>3523</v>
      </c>
      <c r="CR2">
        <v>5</v>
      </c>
      <c r="CT2" s="1" t="s">
        <v>663</v>
      </c>
      <c r="CW2">
        <v>516</v>
      </c>
      <c r="CX2">
        <v>298</v>
      </c>
      <c r="CY2" t="s">
        <v>3524</v>
      </c>
      <c r="CZ2">
        <v>4</v>
      </c>
    </row>
    <row r="3" spans="1:104" x14ac:dyDescent="0.25">
      <c r="W3" t="str">
        <f>dbCorrelationTitle</f>
        <v>相関</v>
      </c>
      <c r="Z3">
        <v>1</v>
      </c>
      <c r="AA3">
        <v>497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543</v>
      </c>
      <c r="AR3">
        <v>8</v>
      </c>
      <c r="AS3">
        <v>88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476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497</v>
      </c>
      <c r="AB4">
        <v>31</v>
      </c>
      <c r="AC4">
        <v>88</v>
      </c>
      <c r="AE4" t="s">
        <v>3525</v>
      </c>
      <c r="AH4">
        <v>2</v>
      </c>
      <c r="AI4">
        <v>412</v>
      </c>
      <c r="AJ4">
        <v>30</v>
      </c>
      <c r="AK4">
        <v>90</v>
      </c>
      <c r="AM4" t="s">
        <v>3525</v>
      </c>
      <c r="AP4">
        <v>2</v>
      </c>
      <c r="AQ4">
        <v>543</v>
      </c>
      <c r="AR4">
        <v>32</v>
      </c>
      <c r="AS4">
        <v>88</v>
      </c>
      <c r="AU4" t="s">
        <v>3525</v>
      </c>
      <c r="AX4">
        <v>2</v>
      </c>
      <c r="AY4">
        <v>418</v>
      </c>
      <c r="AZ4">
        <v>33</v>
      </c>
      <c r="BA4">
        <v>104</v>
      </c>
      <c r="BC4" t="s">
        <v>3525</v>
      </c>
      <c r="BF4">
        <v>2</v>
      </c>
      <c r="BG4">
        <v>407</v>
      </c>
      <c r="BH4">
        <v>30</v>
      </c>
      <c r="BI4">
        <v>90</v>
      </c>
      <c r="BK4" t="s">
        <v>3525</v>
      </c>
      <c r="BN4">
        <v>2</v>
      </c>
      <c r="BO4">
        <v>407</v>
      </c>
      <c r="BP4">
        <v>30</v>
      </c>
      <c r="BQ4">
        <v>90</v>
      </c>
      <c r="BS4" t="s">
        <v>3525</v>
      </c>
      <c r="BV4">
        <v>2</v>
      </c>
      <c r="BW4">
        <v>476</v>
      </c>
      <c r="BX4">
        <v>30</v>
      </c>
      <c r="BY4">
        <v>90</v>
      </c>
      <c r="CA4" t="s">
        <v>3525</v>
      </c>
      <c r="CD4">
        <v>2</v>
      </c>
      <c r="CE4">
        <v>407</v>
      </c>
      <c r="CF4">
        <v>30</v>
      </c>
      <c r="CG4">
        <v>90</v>
      </c>
      <c r="CI4" t="s">
        <v>3525</v>
      </c>
      <c r="CL4">
        <v>2</v>
      </c>
      <c r="CM4">
        <v>407</v>
      </c>
      <c r="CN4">
        <v>30</v>
      </c>
      <c r="CO4">
        <v>90</v>
      </c>
      <c r="CQ4" t="s">
        <v>3525</v>
      </c>
      <c r="CT4">
        <v>2</v>
      </c>
      <c r="CU4">
        <v>410</v>
      </c>
      <c r="CV4">
        <v>31</v>
      </c>
      <c r="CW4">
        <v>90</v>
      </c>
      <c r="CY4" t="s">
        <v>3525</v>
      </c>
    </row>
    <row r="5" spans="1:104" x14ac:dyDescent="0.25">
      <c r="T5">
        <v>0</v>
      </c>
      <c r="U5" t="str">
        <f>dbAnova1Title</f>
        <v>分散分析: 一元配置</v>
      </c>
      <c r="V5">
        <v>0</v>
      </c>
      <c r="W5" t="str">
        <f>dbAnova1Title</f>
        <v>分散分析: 一元配置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3526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3527</v>
      </c>
      <c r="AP5">
        <v>14</v>
      </c>
      <c r="AQ5">
        <v>5</v>
      </c>
      <c r="AR5">
        <v>4</v>
      </c>
      <c r="AS5">
        <v>500</v>
      </c>
      <c r="AT5">
        <v>113</v>
      </c>
      <c r="AU5" t="s">
        <v>3527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3528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3527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3527</v>
      </c>
      <c r="BV5">
        <v>14</v>
      </c>
      <c r="BW5">
        <v>8</v>
      </c>
      <c r="BX5">
        <v>2</v>
      </c>
      <c r="BY5">
        <v>429</v>
      </c>
      <c r="BZ5">
        <v>79</v>
      </c>
      <c r="CA5" t="s">
        <v>3527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3527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3527</v>
      </c>
      <c r="CT5">
        <v>5</v>
      </c>
      <c r="CU5">
        <v>17</v>
      </c>
      <c r="CV5">
        <v>12</v>
      </c>
      <c r="CY5" t="s">
        <v>3529</v>
      </c>
    </row>
    <row r="6" spans="1:104" x14ac:dyDescent="0.25">
      <c r="T6">
        <v>1</v>
      </c>
      <c r="U6" t="str">
        <f>dbAnova2Title</f>
        <v>分散分析: 繰り返しのある二元配置</v>
      </c>
      <c r="V6">
        <v>1</v>
      </c>
      <c r="W6" t="str">
        <f>dbAnova2Title</f>
        <v>分散分析: 繰り返しのある二元配置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470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3530</v>
      </c>
      <c r="AP6">
        <v>5</v>
      </c>
      <c r="AQ6">
        <v>24</v>
      </c>
      <c r="AR6">
        <v>22</v>
      </c>
      <c r="AU6" t="s">
        <v>3531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3532</v>
      </c>
      <c r="BN6">
        <v>5</v>
      </c>
      <c r="BO6">
        <v>18</v>
      </c>
      <c r="BP6">
        <v>19</v>
      </c>
      <c r="BS6" t="s">
        <v>3533</v>
      </c>
      <c r="BV6">
        <v>5</v>
      </c>
      <c r="BW6">
        <v>18</v>
      </c>
      <c r="BX6">
        <v>19</v>
      </c>
      <c r="CA6" t="s">
        <v>3533</v>
      </c>
      <c r="CD6">
        <v>5</v>
      </c>
      <c r="CE6">
        <v>18</v>
      </c>
      <c r="CF6">
        <v>19</v>
      </c>
      <c r="CI6" t="s">
        <v>3534</v>
      </c>
      <c r="CL6">
        <v>5</v>
      </c>
      <c r="CM6">
        <v>18</v>
      </c>
      <c r="CN6">
        <v>19</v>
      </c>
      <c r="CQ6" t="s">
        <v>3532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分散分析: 繰り返しのない二元配置</v>
      </c>
      <c r="V7">
        <v>2</v>
      </c>
      <c r="W7" t="str">
        <f>dbAnova3Title</f>
        <v>分散分析: 繰り返しのない二元配置</v>
      </c>
      <c r="X7" t="s">
        <v>315</v>
      </c>
      <c r="Y7" s="1" t="s">
        <v>665</v>
      </c>
      <c r="Z7">
        <v>24</v>
      </c>
      <c r="AA7">
        <v>497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3535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相関</v>
      </c>
      <c r="V8">
        <v>3</v>
      </c>
      <c r="W8" t="str">
        <f>dbCorrelationTitle</f>
        <v>相関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3536</v>
      </c>
      <c r="AP8">
        <v>5</v>
      </c>
      <c r="AQ8">
        <v>24</v>
      </c>
      <c r="AR8">
        <v>48</v>
      </c>
      <c r="AU8" t="s">
        <v>3537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3536</v>
      </c>
      <c r="BN8">
        <v>5</v>
      </c>
      <c r="BO8">
        <v>18</v>
      </c>
      <c r="BP8">
        <v>44</v>
      </c>
      <c r="BS8" t="s">
        <v>3536</v>
      </c>
      <c r="BV8">
        <v>5</v>
      </c>
      <c r="BW8">
        <v>17</v>
      </c>
      <c r="BX8">
        <v>40</v>
      </c>
      <c r="CA8" t="s">
        <v>3538</v>
      </c>
      <c r="CD8">
        <v>5</v>
      </c>
      <c r="CE8">
        <v>18</v>
      </c>
      <c r="CF8">
        <v>41</v>
      </c>
      <c r="CI8" t="s">
        <v>3539</v>
      </c>
      <c r="CL8">
        <v>13</v>
      </c>
      <c r="CM8">
        <v>18</v>
      </c>
      <c r="CN8">
        <v>39</v>
      </c>
      <c r="CQ8" t="s">
        <v>3540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共分散</v>
      </c>
      <c r="V9">
        <v>4</v>
      </c>
      <c r="W9" t="str">
        <f>dbCovarianceTitle</f>
        <v>共分散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3541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80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3542</v>
      </c>
      <c r="CT9">
        <v>5</v>
      </c>
      <c r="CU9">
        <v>17</v>
      </c>
      <c r="CV9">
        <v>63</v>
      </c>
      <c r="CY9" t="s">
        <v>3543</v>
      </c>
    </row>
    <row r="10" spans="1:104" x14ac:dyDescent="0.25">
      <c r="A10" t="s">
        <v>505</v>
      </c>
      <c r="B10" t="s">
        <v>3544</v>
      </c>
      <c r="T10">
        <v>5</v>
      </c>
      <c r="U10" t="str">
        <f>dbDescripTitle</f>
        <v>基本統計量</v>
      </c>
      <c r="V10">
        <v>5</v>
      </c>
      <c r="W10" t="str">
        <f>dbDescripTitle</f>
        <v>基本統計量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3545</v>
      </c>
      <c r="AP10">
        <v>13</v>
      </c>
      <c r="AQ10">
        <v>25</v>
      </c>
      <c r="AR10">
        <v>75</v>
      </c>
      <c r="AU10" t="s">
        <v>3540</v>
      </c>
      <c r="AV10" t="b">
        <v>0</v>
      </c>
      <c r="AX10">
        <v>12</v>
      </c>
      <c r="AZ10">
        <v>130</v>
      </c>
      <c r="BC10" t="s">
        <v>3546</v>
      </c>
      <c r="BF10">
        <v>12</v>
      </c>
      <c r="BG10">
        <v>220</v>
      </c>
      <c r="BH10">
        <v>40</v>
      </c>
      <c r="BK10" t="s">
        <v>3545</v>
      </c>
      <c r="BN10">
        <v>12</v>
      </c>
      <c r="BO10">
        <v>220</v>
      </c>
      <c r="BP10">
        <v>40</v>
      </c>
      <c r="BS10" t="s">
        <v>3545</v>
      </c>
      <c r="BV10">
        <v>13</v>
      </c>
      <c r="BW10">
        <v>17</v>
      </c>
      <c r="BX10">
        <v>60</v>
      </c>
      <c r="CA10" t="s">
        <v>3540</v>
      </c>
      <c r="CB10" t="b">
        <v>0</v>
      </c>
      <c r="CD10">
        <v>13</v>
      </c>
      <c r="CE10">
        <v>18</v>
      </c>
      <c r="CF10">
        <v>64</v>
      </c>
      <c r="CI10" t="s">
        <v>3540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3547</v>
      </c>
      <c r="T11">
        <v>6</v>
      </c>
      <c r="U11" t="str">
        <f>dbExponentTitle</f>
        <v>指数平滑</v>
      </c>
      <c r="V11">
        <v>6</v>
      </c>
      <c r="W11" t="str">
        <f>dbExponentTitle</f>
        <v>指数平滑</v>
      </c>
      <c r="X11" t="s">
        <v>452</v>
      </c>
      <c r="Y11" s="1" t="s">
        <v>660</v>
      </c>
      <c r="AH11">
        <v>12</v>
      </c>
      <c r="AM11" t="s">
        <v>3548</v>
      </c>
      <c r="AP11">
        <v>13</v>
      </c>
      <c r="AQ11">
        <v>198</v>
      </c>
      <c r="AR11">
        <v>75</v>
      </c>
      <c r="AU11" t="s">
        <v>3549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3548</v>
      </c>
      <c r="BN11">
        <v>12</v>
      </c>
      <c r="BS11" t="s">
        <v>3548</v>
      </c>
      <c r="BV11">
        <v>14</v>
      </c>
      <c r="BW11">
        <v>8</v>
      </c>
      <c r="BX11">
        <v>83</v>
      </c>
      <c r="BY11">
        <v>429</v>
      </c>
      <c r="BZ11">
        <v>100</v>
      </c>
      <c r="CA11" t="s">
        <v>3528</v>
      </c>
      <c r="CD11">
        <v>5</v>
      </c>
      <c r="CE11">
        <v>18</v>
      </c>
      <c r="CF11">
        <v>85</v>
      </c>
      <c r="CI11" t="s">
        <v>3550</v>
      </c>
      <c r="CL11">
        <v>12</v>
      </c>
      <c r="CM11">
        <v>18</v>
      </c>
      <c r="CN11">
        <v>82</v>
      </c>
      <c r="CQ11" t="s">
        <v>3551</v>
      </c>
      <c r="CT11">
        <v>14</v>
      </c>
      <c r="CU11">
        <v>9</v>
      </c>
      <c r="CV11">
        <v>85</v>
      </c>
      <c r="CW11">
        <v>400</v>
      </c>
      <c r="CX11">
        <v>92</v>
      </c>
      <c r="CY11" t="s">
        <v>3552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 検定:  2 標本を使った分散の検定</v>
      </c>
      <c r="V12">
        <v>7</v>
      </c>
      <c r="W12" t="str">
        <f>dbFTestTitle</f>
        <v>F 検定:  2 標本を使った分散の検定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3547</v>
      </c>
      <c r="AN12" t="b">
        <v>0</v>
      </c>
      <c r="AP12">
        <v>113</v>
      </c>
      <c r="AQ12">
        <v>25</v>
      </c>
      <c r="AR12">
        <v>93</v>
      </c>
      <c r="AU12" t="s">
        <v>3553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3547</v>
      </c>
      <c r="BL12" t="b">
        <v>0</v>
      </c>
      <c r="BN12">
        <v>13</v>
      </c>
      <c r="BO12">
        <v>18</v>
      </c>
      <c r="BP12">
        <v>75</v>
      </c>
      <c r="BS12" t="s">
        <v>3547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3554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フーリエ解析</v>
      </c>
      <c r="V13">
        <v>8</v>
      </c>
      <c r="W13" t="str">
        <f>dbFourierTitle</f>
        <v>フーリエ解析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3550</v>
      </c>
      <c r="AP13">
        <v>208</v>
      </c>
      <c r="AQ13">
        <v>197</v>
      </c>
      <c r="AR13">
        <v>93</v>
      </c>
      <c r="AS13">
        <v>78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3528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3528</v>
      </c>
      <c r="BV13">
        <v>5</v>
      </c>
      <c r="BW13">
        <v>17</v>
      </c>
      <c r="BX13">
        <v>99</v>
      </c>
      <c r="CA13" t="s">
        <v>3555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3528</v>
      </c>
      <c r="CL13">
        <v>5</v>
      </c>
      <c r="CM13">
        <v>42</v>
      </c>
      <c r="CN13">
        <v>103</v>
      </c>
      <c r="CQ13" t="s">
        <v>3556</v>
      </c>
      <c r="CT13">
        <v>5</v>
      </c>
    </row>
    <row r="14" spans="1:104" x14ac:dyDescent="0.25">
      <c r="A14" t="s">
        <v>404</v>
      </c>
      <c r="B14" t="s">
        <v>3557</v>
      </c>
      <c r="T14">
        <v>9</v>
      </c>
      <c r="U14" t="str">
        <f>dbHistogramTitle</f>
        <v>ヒストグラム</v>
      </c>
      <c r="V14">
        <v>9</v>
      </c>
      <c r="W14" t="str">
        <f>dbHistogramTitle</f>
        <v>ヒストグラム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280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3558</v>
      </c>
      <c r="T15">
        <v>10</v>
      </c>
      <c r="U15" t="str">
        <f>dbMovingTitle</f>
        <v>移動平均</v>
      </c>
      <c r="V15">
        <v>10</v>
      </c>
      <c r="W15" t="str">
        <f>dbMovingTitle</f>
        <v>移動平均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3528</v>
      </c>
      <c r="AP15">
        <v>14</v>
      </c>
      <c r="AQ15">
        <v>7</v>
      </c>
      <c r="AR15">
        <v>124</v>
      </c>
      <c r="AS15">
        <v>498</v>
      </c>
      <c r="AT15">
        <v>175</v>
      </c>
      <c r="AU15" t="s">
        <v>3528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3555</v>
      </c>
      <c r="BN15">
        <v>12</v>
      </c>
      <c r="BO15">
        <v>18</v>
      </c>
      <c r="BP15">
        <v>127</v>
      </c>
      <c r="BS15" t="s">
        <v>3555</v>
      </c>
      <c r="BV15">
        <v>205</v>
      </c>
      <c r="BW15">
        <v>17</v>
      </c>
      <c r="BX15">
        <v>119</v>
      </c>
      <c r="CA15" t="s">
        <v>3541</v>
      </c>
      <c r="CD15">
        <v>12</v>
      </c>
      <c r="CE15">
        <v>18</v>
      </c>
      <c r="CF15">
        <v>132</v>
      </c>
      <c r="CI15" t="s">
        <v>3555</v>
      </c>
      <c r="CL15">
        <v>5</v>
      </c>
      <c r="CM15">
        <v>42</v>
      </c>
      <c r="CN15">
        <v>146</v>
      </c>
      <c r="CQ15" t="s">
        <v>7082</v>
      </c>
      <c r="CT15">
        <v>5</v>
      </c>
    </row>
    <row r="16" spans="1:104" x14ac:dyDescent="0.25">
      <c r="A16" t="s">
        <v>526</v>
      </c>
      <c r="B16" t="s">
        <v>3559</v>
      </c>
      <c r="T16">
        <v>11</v>
      </c>
      <c r="U16" t="str">
        <f>dbRandomTitle</f>
        <v>乱数発生</v>
      </c>
      <c r="V16">
        <v>11</v>
      </c>
      <c r="W16" t="str">
        <f>dbRandomTitle</f>
        <v>乱数発生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3541</v>
      </c>
      <c r="BN16">
        <v>12</v>
      </c>
      <c r="BP16">
        <v>147</v>
      </c>
      <c r="BS16" t="s">
        <v>3541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3541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3560</v>
      </c>
      <c r="T17">
        <v>12</v>
      </c>
      <c r="U17" t="str">
        <f>dbRankPerTitle</f>
        <v>順位と百分位数</v>
      </c>
      <c r="V17">
        <v>12</v>
      </c>
      <c r="W17" t="str">
        <f>dbRankPerTitle</f>
        <v>順位と百分位数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3555</v>
      </c>
      <c r="AP17">
        <v>12</v>
      </c>
      <c r="AQ17">
        <v>24</v>
      </c>
      <c r="AR17">
        <v>142</v>
      </c>
      <c r="AU17" t="s">
        <v>3561</v>
      </c>
      <c r="BF17">
        <v>12</v>
      </c>
      <c r="BH17">
        <v>160</v>
      </c>
      <c r="BK17" t="s">
        <v>3546</v>
      </c>
      <c r="BN17">
        <v>12</v>
      </c>
      <c r="BP17">
        <v>167</v>
      </c>
      <c r="BS17" t="s">
        <v>3546</v>
      </c>
      <c r="BV17">
        <v>205</v>
      </c>
      <c r="BW17">
        <v>17</v>
      </c>
      <c r="BX17">
        <v>139</v>
      </c>
      <c r="CA17" t="s">
        <v>3546</v>
      </c>
      <c r="CD17">
        <v>12</v>
      </c>
      <c r="CF17">
        <v>172</v>
      </c>
      <c r="CI17" t="s">
        <v>3546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3528</v>
      </c>
      <c r="CT17">
        <v>5</v>
      </c>
    </row>
    <row r="18" spans="1:104" x14ac:dyDescent="0.25">
      <c r="A18" t="s">
        <v>531</v>
      </c>
      <c r="B18" t="s">
        <v>3562</v>
      </c>
      <c r="T18">
        <v>13</v>
      </c>
      <c r="U18" t="str">
        <f>dbRegressionTitle</f>
        <v>回帰分析</v>
      </c>
      <c r="V18">
        <v>13</v>
      </c>
      <c r="W18" t="str">
        <f>dbRegressionTitle</f>
        <v>回帰分析</v>
      </c>
      <c r="X18" t="s">
        <v>448</v>
      </c>
      <c r="Y18" s="1" t="s">
        <v>657</v>
      </c>
      <c r="AH18">
        <v>12</v>
      </c>
      <c r="AJ18">
        <v>169</v>
      </c>
      <c r="AM18" t="s">
        <v>3541</v>
      </c>
      <c r="AP18">
        <v>12</v>
      </c>
      <c r="AR18">
        <v>162</v>
      </c>
      <c r="AU18" t="s">
        <v>3541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3563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3564</v>
      </c>
      <c r="T19">
        <v>14</v>
      </c>
      <c r="U19" t="str">
        <f>dbSamplingTitle</f>
        <v>サンプリング</v>
      </c>
      <c r="V19">
        <v>14</v>
      </c>
      <c r="W19" t="str">
        <f>dbSamplingTitle</f>
        <v>サンプリング</v>
      </c>
      <c r="X19" t="s">
        <v>585</v>
      </c>
      <c r="Y19" s="1" t="s">
        <v>662</v>
      </c>
      <c r="AH19">
        <v>12</v>
      </c>
      <c r="AJ19">
        <v>189</v>
      </c>
      <c r="AM19" t="s">
        <v>3546</v>
      </c>
      <c r="AP19">
        <v>12</v>
      </c>
      <c r="AR19">
        <v>182</v>
      </c>
      <c r="AU19" t="s">
        <v>3546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3565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3555</v>
      </c>
      <c r="CT19">
        <v>5</v>
      </c>
    </row>
    <row r="20" spans="1:104" x14ac:dyDescent="0.25">
      <c r="A20" t="s">
        <v>343</v>
      </c>
      <c r="B20" t="s">
        <v>3516</v>
      </c>
      <c r="T20">
        <v>15</v>
      </c>
      <c r="U20" t="str">
        <f>dbTTest1Title</f>
        <v>t 検定:  一対の標本による平均の検定</v>
      </c>
      <c r="V20">
        <v>15</v>
      </c>
      <c r="W20" t="str">
        <f>dbTTest1Title</f>
        <v>t 検定:  一対の標本による平均の検定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3566</v>
      </c>
      <c r="BT20" t="b">
        <v>0</v>
      </c>
      <c r="BV20">
        <v>24</v>
      </c>
      <c r="BW20">
        <v>476</v>
      </c>
      <c r="BX20">
        <v>56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3541</v>
      </c>
      <c r="CT20">
        <v>5</v>
      </c>
    </row>
    <row r="21" spans="1:104" x14ac:dyDescent="0.25">
      <c r="A21" t="s">
        <v>346</v>
      </c>
      <c r="B21" t="s">
        <v>3567</v>
      </c>
      <c r="T21">
        <v>16</v>
      </c>
      <c r="U21" t="str">
        <f>dbTTest2Title</f>
        <v>t 検定:  等分散を仮定した 2 標本による検定</v>
      </c>
      <c r="V21">
        <v>16</v>
      </c>
      <c r="W21" t="str">
        <f>dbTTest2Title</f>
        <v>t 検定:  等分散を仮定した 2 標本による検定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7083</v>
      </c>
      <c r="BT21" t="b">
        <v>0</v>
      </c>
      <c r="CL21">
        <v>12</v>
      </c>
      <c r="CN21">
        <v>230</v>
      </c>
      <c r="CQ21" t="s">
        <v>3546</v>
      </c>
      <c r="CT21">
        <v>5</v>
      </c>
    </row>
    <row r="22" spans="1:104" x14ac:dyDescent="0.25">
      <c r="A22" t="s">
        <v>440</v>
      </c>
      <c r="B22" t="s">
        <v>3517</v>
      </c>
      <c r="T22">
        <v>17</v>
      </c>
      <c r="U22" t="str">
        <f>dbTTest3Title</f>
        <v>t 検定:  分散が等しくないと仮定した 2 標本による検定</v>
      </c>
      <c r="V22">
        <v>17</v>
      </c>
      <c r="W22" t="str">
        <f>dbTTest3Title</f>
        <v>t 検定:  分散が等しくないと仮定した 2 標本による検定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440</v>
      </c>
      <c r="AT22">
        <v>51</v>
      </c>
      <c r="AU22" t="s">
        <v>3568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3569</v>
      </c>
    </row>
    <row r="23" spans="1:104" x14ac:dyDescent="0.25">
      <c r="A23" t="s">
        <v>443</v>
      </c>
      <c r="B23" t="s">
        <v>3570</v>
      </c>
      <c r="T23">
        <v>18</v>
      </c>
      <c r="U23" t="str">
        <f>dbZTestTitle</f>
        <v>z 検定:  2標本による平均の検定</v>
      </c>
      <c r="V23">
        <v>18</v>
      </c>
      <c r="W23" t="str">
        <f>dbZTestTitle</f>
        <v>z 検定:  2標本による平均の検定</v>
      </c>
      <c r="X23" t="s">
        <v>357</v>
      </c>
      <c r="Y23" s="1" t="s">
        <v>674</v>
      </c>
      <c r="AP23">
        <v>13</v>
      </c>
      <c r="AR23">
        <v>216</v>
      </c>
      <c r="AU23" t="s">
        <v>3571</v>
      </c>
      <c r="AV23" t="b">
        <v>0</v>
      </c>
      <c r="BF23" s="1" t="s">
        <v>666</v>
      </c>
      <c r="BI23">
        <v>523</v>
      </c>
      <c r="BJ23">
        <v>191</v>
      </c>
      <c r="BK23" t="s">
        <v>3572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3573</v>
      </c>
      <c r="X24" t="s">
        <v>551</v>
      </c>
      <c r="AP24">
        <v>13</v>
      </c>
      <c r="AR24">
        <v>231</v>
      </c>
      <c r="AU24" t="s">
        <v>3574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3575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3576</v>
      </c>
    </row>
    <row r="25" spans="1:104" x14ac:dyDescent="0.25">
      <c r="A25" t="s">
        <v>552</v>
      </c>
      <c r="B25" t="s">
        <v>3577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3578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3525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570</v>
      </c>
      <c r="CH25">
        <v>227</v>
      </c>
      <c r="CI25" t="s">
        <v>3579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3580</v>
      </c>
      <c r="X26" t="s">
        <v>376</v>
      </c>
      <c r="AH26" s="1" t="s">
        <v>664</v>
      </c>
      <c r="AK26">
        <v>509</v>
      </c>
      <c r="AL26">
        <v>187</v>
      </c>
      <c r="AM26" t="s">
        <v>3570</v>
      </c>
      <c r="AN26">
        <v>5</v>
      </c>
      <c r="AP26">
        <v>13</v>
      </c>
      <c r="AR26">
        <v>231</v>
      </c>
      <c r="AU26" t="s">
        <v>3581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3527</v>
      </c>
      <c r="BN26">
        <v>113</v>
      </c>
      <c r="BO26">
        <v>18</v>
      </c>
      <c r="BP26">
        <v>247</v>
      </c>
      <c r="BS26" t="s">
        <v>3582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400</v>
      </c>
      <c r="CX26">
        <v>81</v>
      </c>
      <c r="CY26" t="s">
        <v>3528</v>
      </c>
    </row>
    <row r="27" spans="1:104" x14ac:dyDescent="0.25">
      <c r="A27" t="s">
        <v>377</v>
      </c>
      <c r="B27" t="s">
        <v>7080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266</v>
      </c>
      <c r="AT27">
        <v>34</v>
      </c>
      <c r="AU27" t="s">
        <v>3583</v>
      </c>
      <c r="BF27">
        <v>5</v>
      </c>
      <c r="BG27">
        <v>18</v>
      </c>
      <c r="BH27">
        <v>19</v>
      </c>
      <c r="BK27" t="s">
        <v>3532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3525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3584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3525</v>
      </c>
      <c r="AP28">
        <v>13</v>
      </c>
      <c r="AR28">
        <v>270</v>
      </c>
      <c r="AU28" t="s">
        <v>3585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3527</v>
      </c>
      <c r="CT28">
        <v>12</v>
      </c>
      <c r="CU28">
        <v>17</v>
      </c>
      <c r="CV28">
        <v>225</v>
      </c>
      <c r="CY28" t="s">
        <v>3555</v>
      </c>
    </row>
    <row r="29" spans="1:104" x14ac:dyDescent="0.25">
      <c r="A29" t="s">
        <v>383</v>
      </c>
      <c r="B29" t="s">
        <v>3586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3527</v>
      </c>
      <c r="AP29">
        <v>24</v>
      </c>
      <c r="AQ29">
        <v>544</v>
      </c>
      <c r="AR29">
        <v>61</v>
      </c>
      <c r="AS29">
        <v>88</v>
      </c>
      <c r="BF29">
        <v>5</v>
      </c>
      <c r="BG29">
        <v>18</v>
      </c>
      <c r="BH29">
        <v>44</v>
      </c>
      <c r="BK29" t="s">
        <v>3536</v>
      </c>
      <c r="CD29">
        <v>5</v>
      </c>
      <c r="CE29">
        <v>17</v>
      </c>
      <c r="CF29">
        <v>18</v>
      </c>
      <c r="CI29" t="s">
        <v>3534</v>
      </c>
      <c r="CT29">
        <v>12</v>
      </c>
      <c r="CV29">
        <v>245</v>
      </c>
      <c r="CY29" t="s">
        <v>3541</v>
      </c>
    </row>
    <row r="30" spans="1:104" x14ac:dyDescent="0.25">
      <c r="A30" t="s">
        <v>600</v>
      </c>
      <c r="B30" t="s">
        <v>3587</v>
      </c>
      <c r="X30" t="s">
        <v>332</v>
      </c>
      <c r="AH30">
        <v>5</v>
      </c>
      <c r="AI30">
        <v>20</v>
      </c>
      <c r="AJ30">
        <v>19</v>
      </c>
      <c r="AM30" t="s">
        <v>3532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3546</v>
      </c>
    </row>
    <row r="31" spans="1:104" x14ac:dyDescent="0.25">
      <c r="A31" t="s">
        <v>602</v>
      </c>
      <c r="B31" t="s">
        <v>3588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3545</v>
      </c>
      <c r="CD31">
        <v>5</v>
      </c>
      <c r="CE31">
        <v>17</v>
      </c>
      <c r="CF31">
        <v>41</v>
      </c>
      <c r="CI31" t="s">
        <v>3539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3589</v>
      </c>
      <c r="AH32">
        <v>5</v>
      </c>
      <c r="AI32">
        <v>20</v>
      </c>
      <c r="AJ32">
        <v>45</v>
      </c>
      <c r="AM32" t="s">
        <v>3590</v>
      </c>
      <c r="BF32">
        <v>12</v>
      </c>
      <c r="BK32" t="s">
        <v>3548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3591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3547</v>
      </c>
      <c r="BL33" t="b">
        <v>0</v>
      </c>
      <c r="CD33">
        <v>5</v>
      </c>
      <c r="CE33">
        <v>17</v>
      </c>
      <c r="CF33">
        <v>70</v>
      </c>
      <c r="CI33" t="s">
        <v>3592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3593</v>
      </c>
      <c r="AH34">
        <v>5</v>
      </c>
      <c r="AI34">
        <v>20</v>
      </c>
      <c r="AJ34">
        <v>68</v>
      </c>
      <c r="AM34" t="s">
        <v>3550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3528</v>
      </c>
      <c r="CD34">
        <v>8</v>
      </c>
      <c r="CE34">
        <v>220</v>
      </c>
      <c r="CF34">
        <v>68</v>
      </c>
      <c r="CG34">
        <v>178</v>
      </c>
    </row>
    <row r="35" spans="1:104" x14ac:dyDescent="0.25">
      <c r="A35" t="s">
        <v>469</v>
      </c>
      <c r="B35" t="s">
        <v>3587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3540</v>
      </c>
      <c r="CJ35" t="b">
        <v>0</v>
      </c>
      <c r="CT35" t="s">
        <v>551</v>
      </c>
    </row>
    <row r="36" spans="1:104" x14ac:dyDescent="0.25">
      <c r="A36" t="s">
        <v>471</v>
      </c>
      <c r="B36" t="s">
        <v>3594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3528</v>
      </c>
      <c r="BF36">
        <v>12</v>
      </c>
      <c r="BG36">
        <v>18</v>
      </c>
      <c r="BH36">
        <v>120</v>
      </c>
      <c r="BK36" t="s">
        <v>3555</v>
      </c>
      <c r="CD36">
        <v>5</v>
      </c>
      <c r="CE36">
        <v>17</v>
      </c>
      <c r="CF36">
        <v>114</v>
      </c>
      <c r="CI36" t="s">
        <v>3550</v>
      </c>
      <c r="CT36">
        <v>5</v>
      </c>
      <c r="CZ36" t="s">
        <v>551</v>
      </c>
    </row>
    <row r="37" spans="1:104" x14ac:dyDescent="0.25">
      <c r="A37" t="s">
        <v>473</v>
      </c>
      <c r="B37" t="s">
        <v>3595</v>
      </c>
      <c r="AH37">
        <v>111</v>
      </c>
      <c r="AN37">
        <v>2</v>
      </c>
      <c r="BF37">
        <v>12</v>
      </c>
      <c r="BH37">
        <v>140</v>
      </c>
      <c r="BK37" t="s">
        <v>3541</v>
      </c>
      <c r="CD37">
        <v>8</v>
      </c>
      <c r="CE37">
        <v>72</v>
      </c>
      <c r="CF37">
        <v>112</v>
      </c>
      <c r="CG37">
        <v>81</v>
      </c>
      <c r="CJ37">
        <v>0.05</v>
      </c>
      <c r="CT37">
        <v>5</v>
      </c>
    </row>
    <row r="38" spans="1:104" x14ac:dyDescent="0.25">
      <c r="A38" t="s">
        <v>413</v>
      </c>
      <c r="B38" t="s">
        <v>3596</v>
      </c>
      <c r="AH38">
        <v>12</v>
      </c>
      <c r="AI38">
        <v>20</v>
      </c>
      <c r="AJ38">
        <v>115</v>
      </c>
      <c r="AM38" t="s">
        <v>3555</v>
      </c>
      <c r="BF38">
        <v>12</v>
      </c>
      <c r="BH38">
        <v>160</v>
      </c>
      <c r="BK38" t="s">
        <v>3546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3528</v>
      </c>
      <c r="CT38">
        <v>5</v>
      </c>
    </row>
    <row r="39" spans="1:104" x14ac:dyDescent="0.25">
      <c r="A39" t="s">
        <v>488</v>
      </c>
      <c r="B39" t="s">
        <v>3584</v>
      </c>
      <c r="AH39">
        <v>12</v>
      </c>
      <c r="AJ39">
        <v>135</v>
      </c>
      <c r="AM39" t="s">
        <v>3541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3597</v>
      </c>
      <c r="AH40">
        <v>12</v>
      </c>
      <c r="AJ40">
        <v>155</v>
      </c>
      <c r="AM40" t="s">
        <v>3546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3555</v>
      </c>
      <c r="CT40">
        <v>5</v>
      </c>
    </row>
    <row r="41" spans="1:104" x14ac:dyDescent="0.25">
      <c r="A41" t="s">
        <v>492</v>
      </c>
      <c r="B41" t="s">
        <v>3598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3541</v>
      </c>
      <c r="CT41">
        <v>5</v>
      </c>
    </row>
    <row r="42" spans="1:104" x14ac:dyDescent="0.25">
      <c r="A42" t="s">
        <v>494</v>
      </c>
      <c r="B42" t="s">
        <v>3599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3546</v>
      </c>
      <c r="CT42">
        <v>5</v>
      </c>
    </row>
    <row r="43" spans="1:104" x14ac:dyDescent="0.25">
      <c r="A43" t="s">
        <v>496</v>
      </c>
      <c r="B43" t="s">
        <v>3600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3601</v>
      </c>
      <c r="BF44" s="1" t="s">
        <v>670</v>
      </c>
      <c r="BI44">
        <v>523</v>
      </c>
      <c r="BJ44">
        <v>191</v>
      </c>
      <c r="BK44" t="s">
        <v>3602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78</v>
      </c>
      <c r="CV44">
        <v>105</v>
      </c>
      <c r="CY44" t="s">
        <v>3603</v>
      </c>
    </row>
    <row r="45" spans="1:104" x14ac:dyDescent="0.25">
      <c r="A45" t="s">
        <v>422</v>
      </c>
      <c r="B45" t="s">
        <v>3604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16</v>
      </c>
      <c r="CV45">
        <v>100</v>
      </c>
      <c r="CW45">
        <v>56</v>
      </c>
      <c r="CZ45">
        <v>0</v>
      </c>
    </row>
    <row r="46" spans="1:104" x14ac:dyDescent="0.25">
      <c r="A46" t="s">
        <v>424</v>
      </c>
      <c r="B46" t="s">
        <v>3605</v>
      </c>
      <c r="BF46">
        <v>2</v>
      </c>
      <c r="BG46">
        <v>407</v>
      </c>
      <c r="BH46">
        <v>30</v>
      </c>
      <c r="BI46">
        <v>90</v>
      </c>
      <c r="BK46" t="s">
        <v>3525</v>
      </c>
      <c r="CT46">
        <v>5</v>
      </c>
      <c r="CU46">
        <v>200</v>
      </c>
      <c r="CV46">
        <v>105</v>
      </c>
      <c r="CY46" t="s">
        <v>3606</v>
      </c>
    </row>
    <row r="47" spans="1:104" x14ac:dyDescent="0.25">
      <c r="A47" t="s">
        <v>427</v>
      </c>
      <c r="B47" t="s">
        <v>3600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3527</v>
      </c>
      <c r="CT47">
        <v>8</v>
      </c>
      <c r="CU47">
        <v>140</v>
      </c>
      <c r="CV47">
        <v>100</v>
      </c>
      <c r="CW47">
        <v>56</v>
      </c>
      <c r="CZ47">
        <v>1</v>
      </c>
    </row>
    <row r="48" spans="1:104" x14ac:dyDescent="0.25">
      <c r="A48" t="s">
        <v>429</v>
      </c>
      <c r="B48" t="s">
        <v>3607</v>
      </c>
      <c r="AH48" s="1" t="s">
        <v>665</v>
      </c>
      <c r="AK48">
        <v>523</v>
      </c>
      <c r="AL48">
        <v>185</v>
      </c>
      <c r="AM48" t="s">
        <v>3573</v>
      </c>
      <c r="AN48">
        <v>5</v>
      </c>
      <c r="BF48">
        <v>5</v>
      </c>
      <c r="BG48">
        <v>18</v>
      </c>
      <c r="BH48">
        <v>19</v>
      </c>
      <c r="BK48" t="s">
        <v>3532</v>
      </c>
    </row>
    <row r="49" spans="1:104" x14ac:dyDescent="0.25">
      <c r="A49" t="s">
        <v>431</v>
      </c>
      <c r="B49" t="s">
        <v>3520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3586</v>
      </c>
      <c r="AH50">
        <v>2</v>
      </c>
      <c r="AI50">
        <v>407</v>
      </c>
      <c r="AJ50">
        <v>30</v>
      </c>
      <c r="AK50">
        <v>90</v>
      </c>
      <c r="AM50" t="s">
        <v>3525</v>
      </c>
      <c r="BF50">
        <v>5</v>
      </c>
      <c r="BG50">
        <v>18</v>
      </c>
      <c r="BH50">
        <v>44</v>
      </c>
      <c r="BK50" t="s">
        <v>3536</v>
      </c>
      <c r="CD50" s="1" t="s">
        <v>672</v>
      </c>
      <c r="CG50">
        <v>570</v>
      </c>
      <c r="CH50">
        <v>227</v>
      </c>
      <c r="CI50" t="s">
        <v>3608</v>
      </c>
      <c r="CJ50">
        <v>5</v>
      </c>
      <c r="CT50">
        <v>5</v>
      </c>
      <c r="CU50">
        <v>78</v>
      </c>
      <c r="CV50">
        <v>105</v>
      </c>
      <c r="CY50" t="s">
        <v>3603</v>
      </c>
      <c r="CZ50" t="s">
        <v>599</v>
      </c>
    </row>
    <row r="51" spans="1:104" x14ac:dyDescent="0.25">
      <c r="A51" t="s">
        <v>439</v>
      </c>
      <c r="B51" t="s">
        <v>3609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3527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16</v>
      </c>
      <c r="CV51">
        <v>100</v>
      </c>
      <c r="CW51">
        <v>56</v>
      </c>
    </row>
    <row r="52" spans="1:104" x14ac:dyDescent="0.25">
      <c r="A52" t="s">
        <v>419</v>
      </c>
      <c r="B52" t="s">
        <v>3610</v>
      </c>
      <c r="AH52">
        <v>5</v>
      </c>
      <c r="AI52">
        <v>18</v>
      </c>
      <c r="AJ52">
        <v>19</v>
      </c>
      <c r="AM52" t="s">
        <v>3532</v>
      </c>
      <c r="BF52">
        <v>12</v>
      </c>
      <c r="BG52">
        <v>220</v>
      </c>
      <c r="BH52">
        <v>40</v>
      </c>
      <c r="BK52" t="s">
        <v>3545</v>
      </c>
      <c r="CD52">
        <v>2</v>
      </c>
      <c r="CE52">
        <v>440</v>
      </c>
      <c r="CF52">
        <v>30</v>
      </c>
      <c r="CG52">
        <v>90</v>
      </c>
      <c r="CI52" t="s">
        <v>3525</v>
      </c>
      <c r="CT52">
        <v>5</v>
      </c>
      <c r="CU52">
        <v>200</v>
      </c>
      <c r="CV52">
        <v>105</v>
      </c>
      <c r="CY52" t="s">
        <v>3606</v>
      </c>
    </row>
    <row r="53" spans="1:104" x14ac:dyDescent="0.25">
      <c r="A53" t="s">
        <v>338</v>
      </c>
      <c r="B53" t="s">
        <v>3611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3548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3527</v>
      </c>
      <c r="CT53">
        <v>8</v>
      </c>
      <c r="CU53">
        <v>140</v>
      </c>
      <c r="CV53">
        <v>100</v>
      </c>
      <c r="CW53">
        <v>56</v>
      </c>
    </row>
    <row r="54" spans="1:104" x14ac:dyDescent="0.25">
      <c r="A54" t="s">
        <v>340</v>
      </c>
      <c r="B54" t="s">
        <v>3612</v>
      </c>
      <c r="AH54">
        <v>13</v>
      </c>
      <c r="AI54">
        <v>19</v>
      </c>
      <c r="AJ54">
        <v>41</v>
      </c>
      <c r="AM54" t="s">
        <v>3540</v>
      </c>
      <c r="AN54" t="b">
        <v>0</v>
      </c>
      <c r="BF54">
        <v>13</v>
      </c>
      <c r="BG54">
        <v>18</v>
      </c>
      <c r="BH54">
        <v>75</v>
      </c>
      <c r="BK54" t="s">
        <v>3547</v>
      </c>
      <c r="BL54" t="b">
        <v>0</v>
      </c>
      <c r="CD54">
        <v>5</v>
      </c>
      <c r="CE54">
        <v>17</v>
      </c>
      <c r="CF54">
        <v>18</v>
      </c>
      <c r="CI54" t="s">
        <v>3534</v>
      </c>
      <c r="CT54">
        <v>5</v>
      </c>
      <c r="CU54">
        <v>261</v>
      </c>
      <c r="CV54">
        <v>105</v>
      </c>
      <c r="CY54" t="s">
        <v>3613</v>
      </c>
    </row>
    <row r="55" spans="1:104" x14ac:dyDescent="0.25">
      <c r="A55" t="s">
        <v>177</v>
      </c>
      <c r="B55" t="s">
        <v>3587</v>
      </c>
      <c r="AH55">
        <v>5</v>
      </c>
      <c r="AI55">
        <v>20</v>
      </c>
      <c r="AJ55">
        <v>62</v>
      </c>
      <c r="AM55" t="s">
        <v>3550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3528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330</v>
      </c>
      <c r="CV55">
        <v>100</v>
      </c>
      <c r="CW55">
        <v>56</v>
      </c>
    </row>
    <row r="56" spans="1:104" x14ac:dyDescent="0.25">
      <c r="A56" t="s">
        <v>179</v>
      </c>
      <c r="B56" t="s">
        <v>3614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3539</v>
      </c>
      <c r="CT56">
        <v>5</v>
      </c>
      <c r="CU56">
        <v>16</v>
      </c>
      <c r="CV56">
        <v>130</v>
      </c>
      <c r="CY56" t="s">
        <v>3615</v>
      </c>
    </row>
    <row r="57" spans="1:104" x14ac:dyDescent="0.25">
      <c r="A57" t="s">
        <v>557</v>
      </c>
      <c r="B57" t="s">
        <v>3616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3528</v>
      </c>
      <c r="BF57">
        <v>12</v>
      </c>
      <c r="BG57">
        <v>18</v>
      </c>
      <c r="BH57">
        <v>120</v>
      </c>
      <c r="BK57" t="s">
        <v>3555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203</v>
      </c>
      <c r="CV57">
        <v>128</v>
      </c>
      <c r="CW57">
        <v>56</v>
      </c>
    </row>
    <row r="58" spans="1:104" x14ac:dyDescent="0.25">
      <c r="A58" t="s">
        <v>559</v>
      </c>
      <c r="B58" t="s">
        <v>3617</v>
      </c>
      <c r="AH58">
        <v>111</v>
      </c>
      <c r="AN58">
        <v>2</v>
      </c>
      <c r="BF58">
        <v>12</v>
      </c>
      <c r="BH58">
        <v>140</v>
      </c>
      <c r="BK58" t="s">
        <v>3541</v>
      </c>
      <c r="CD58">
        <v>5</v>
      </c>
      <c r="CE58">
        <v>17</v>
      </c>
      <c r="CF58">
        <v>70</v>
      </c>
      <c r="CI58" t="s">
        <v>3592</v>
      </c>
      <c r="CT58">
        <v>5</v>
      </c>
      <c r="CU58">
        <v>281</v>
      </c>
      <c r="CV58">
        <v>128</v>
      </c>
      <c r="CY58" t="s">
        <v>3618</v>
      </c>
    </row>
    <row r="59" spans="1:104" x14ac:dyDescent="0.25">
      <c r="A59" t="s">
        <v>188</v>
      </c>
      <c r="B59" t="s">
        <v>3619</v>
      </c>
      <c r="AH59">
        <v>12</v>
      </c>
      <c r="AI59">
        <v>20</v>
      </c>
      <c r="AJ59">
        <v>107</v>
      </c>
      <c r="AM59" t="s">
        <v>3555</v>
      </c>
      <c r="BF59">
        <v>12</v>
      </c>
      <c r="BH59">
        <v>160</v>
      </c>
      <c r="BK59" t="s">
        <v>3546</v>
      </c>
      <c r="CD59">
        <v>8</v>
      </c>
      <c r="CE59">
        <v>220</v>
      </c>
      <c r="CF59">
        <v>68</v>
      </c>
      <c r="CG59">
        <v>178</v>
      </c>
      <c r="CT59">
        <v>5</v>
      </c>
      <c r="CU59">
        <v>16</v>
      </c>
      <c r="CV59">
        <v>152</v>
      </c>
      <c r="CY59" t="s">
        <v>3620</v>
      </c>
    </row>
    <row r="60" spans="1:104" x14ac:dyDescent="0.25">
      <c r="A60" t="s">
        <v>564</v>
      </c>
      <c r="B60" t="s">
        <v>3621</v>
      </c>
      <c r="AH60">
        <v>12</v>
      </c>
      <c r="AJ60">
        <v>127</v>
      </c>
      <c r="AM60" t="s">
        <v>3541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3540</v>
      </c>
      <c r="CJ60" t="b">
        <v>0</v>
      </c>
      <c r="CT60">
        <v>7</v>
      </c>
      <c r="CU60">
        <v>203</v>
      </c>
      <c r="CV60">
        <v>152</v>
      </c>
      <c r="CW60">
        <v>56</v>
      </c>
    </row>
    <row r="61" spans="1:104" x14ac:dyDescent="0.25">
      <c r="A61" t="s">
        <v>566</v>
      </c>
      <c r="B61" t="s">
        <v>3622</v>
      </c>
      <c r="AH61">
        <v>12</v>
      </c>
      <c r="AJ61">
        <v>147</v>
      </c>
      <c r="AM61" t="s">
        <v>3546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3550</v>
      </c>
      <c r="CT61">
        <v>5</v>
      </c>
      <c r="CU61">
        <v>281</v>
      </c>
      <c r="CV61">
        <v>152</v>
      </c>
      <c r="CY61" t="s">
        <v>3618</v>
      </c>
    </row>
    <row r="62" spans="1:104" x14ac:dyDescent="0.25">
      <c r="A62" t="s">
        <v>568</v>
      </c>
      <c r="B62" t="s">
        <v>3623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77</v>
      </c>
      <c r="CJ62">
        <v>0.05</v>
      </c>
    </row>
    <row r="63" spans="1:104" x14ac:dyDescent="0.25">
      <c r="A63" t="s">
        <v>570</v>
      </c>
      <c r="B63" t="s">
        <v>7084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3528</v>
      </c>
      <c r="CT63" t="s">
        <v>554</v>
      </c>
    </row>
    <row r="64" spans="1:104" x14ac:dyDescent="0.25">
      <c r="A64" t="s">
        <v>572</v>
      </c>
      <c r="B64" t="s">
        <v>3519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3572</v>
      </c>
      <c r="CD65">
        <v>12</v>
      </c>
      <c r="CE65">
        <v>17</v>
      </c>
      <c r="CF65">
        <v>156</v>
      </c>
      <c r="CI65" t="s">
        <v>3555</v>
      </c>
      <c r="CT65">
        <v>5</v>
      </c>
    </row>
    <row r="66" spans="1:104" x14ac:dyDescent="0.25">
      <c r="A66" t="s">
        <v>194</v>
      </c>
      <c r="B66" t="s">
        <v>3521</v>
      </c>
      <c r="BF66" t="s">
        <v>334</v>
      </c>
      <c r="CD66">
        <v>12</v>
      </c>
      <c r="CF66">
        <v>176</v>
      </c>
      <c r="CI66" t="s">
        <v>3541</v>
      </c>
      <c r="CT66">
        <v>5</v>
      </c>
    </row>
    <row r="67" spans="1:104" x14ac:dyDescent="0.25">
      <c r="A67" t="s">
        <v>195</v>
      </c>
      <c r="B67" t="s">
        <v>3624</v>
      </c>
      <c r="BF67" s="1" t="s">
        <v>667</v>
      </c>
      <c r="BI67">
        <v>523</v>
      </c>
      <c r="BJ67">
        <v>181</v>
      </c>
      <c r="BK67" t="s">
        <v>3625</v>
      </c>
      <c r="BL67">
        <v>5</v>
      </c>
      <c r="CD67">
        <v>12</v>
      </c>
      <c r="CF67">
        <v>196</v>
      </c>
      <c r="CI67" t="s">
        <v>3546</v>
      </c>
      <c r="CT67">
        <v>5</v>
      </c>
    </row>
    <row r="68" spans="1:104" x14ac:dyDescent="0.25">
      <c r="A68" t="s">
        <v>576</v>
      </c>
      <c r="B68" t="s">
        <v>3626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3627</v>
      </c>
      <c r="AH69" s="1" t="s">
        <v>669</v>
      </c>
      <c r="AK69">
        <v>579</v>
      </c>
      <c r="AL69">
        <v>205</v>
      </c>
      <c r="AM69" t="s">
        <v>3624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3525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3628</v>
      </c>
      <c r="AH70">
        <v>1</v>
      </c>
      <c r="AI70">
        <v>465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3527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3629</v>
      </c>
      <c r="AH71">
        <v>2</v>
      </c>
      <c r="AI71">
        <v>465</v>
      </c>
      <c r="AJ71">
        <v>30</v>
      </c>
      <c r="AK71">
        <v>90</v>
      </c>
      <c r="AM71" t="s">
        <v>3525</v>
      </c>
      <c r="BF71">
        <v>5</v>
      </c>
      <c r="BG71">
        <v>18</v>
      </c>
      <c r="BH71">
        <v>19</v>
      </c>
      <c r="BK71" t="s">
        <v>3532</v>
      </c>
      <c r="CT71">
        <v>5</v>
      </c>
    </row>
    <row r="72" spans="1:104" x14ac:dyDescent="0.25">
      <c r="A72" t="s">
        <v>200</v>
      </c>
      <c r="B72" t="s">
        <v>3630</v>
      </c>
      <c r="AH72">
        <v>14</v>
      </c>
      <c r="AI72">
        <v>8</v>
      </c>
      <c r="AJ72">
        <v>3</v>
      </c>
      <c r="AK72">
        <v>424</v>
      </c>
      <c r="AL72">
        <v>93</v>
      </c>
      <c r="AM72" t="s">
        <v>3527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3631</v>
      </c>
    </row>
    <row r="73" spans="1:104" x14ac:dyDescent="0.25">
      <c r="A73" t="s">
        <v>203</v>
      </c>
      <c r="B73" t="s">
        <v>3632</v>
      </c>
      <c r="AH73">
        <v>5</v>
      </c>
      <c r="AI73">
        <v>18</v>
      </c>
      <c r="AJ73">
        <v>19</v>
      </c>
      <c r="AM73" t="s">
        <v>3532</v>
      </c>
      <c r="BF73">
        <v>13</v>
      </c>
      <c r="BG73">
        <v>18</v>
      </c>
      <c r="BH73">
        <v>40</v>
      </c>
      <c r="BK73" t="s">
        <v>3547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3633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3528</v>
      </c>
      <c r="CD74" t="s">
        <v>441</v>
      </c>
      <c r="CT74">
        <v>5</v>
      </c>
      <c r="CU74">
        <v>24</v>
      </c>
      <c r="CV74">
        <v>134</v>
      </c>
      <c r="CY74" t="s">
        <v>3634</v>
      </c>
    </row>
    <row r="75" spans="1:104" x14ac:dyDescent="0.25">
      <c r="A75" t="s">
        <v>207</v>
      </c>
      <c r="B75" t="s">
        <v>3635</v>
      </c>
      <c r="AH75">
        <v>13</v>
      </c>
      <c r="AI75">
        <v>18</v>
      </c>
      <c r="AJ75">
        <v>41</v>
      </c>
      <c r="AM75" t="s">
        <v>3547</v>
      </c>
      <c r="AN75" t="b">
        <v>0</v>
      </c>
      <c r="BF75">
        <v>111</v>
      </c>
      <c r="BL75">
        <v>2</v>
      </c>
      <c r="CD75" s="1" t="s">
        <v>673</v>
      </c>
      <c r="CG75">
        <v>623</v>
      </c>
      <c r="CH75">
        <v>223</v>
      </c>
      <c r="CI75" t="s">
        <v>3636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3637</v>
      </c>
      <c r="AH76">
        <v>5</v>
      </c>
      <c r="AI76">
        <v>18</v>
      </c>
      <c r="AJ76">
        <v>69</v>
      </c>
      <c r="AM76" t="s">
        <v>3638</v>
      </c>
      <c r="BF76">
        <v>12</v>
      </c>
      <c r="BG76">
        <v>18</v>
      </c>
      <c r="BH76">
        <v>86</v>
      </c>
      <c r="BK76" t="s">
        <v>3555</v>
      </c>
      <c r="CD76">
        <v>1</v>
      </c>
      <c r="CE76">
        <v>487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3639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3541</v>
      </c>
      <c r="CD77">
        <v>2</v>
      </c>
      <c r="CE77">
        <v>487</v>
      </c>
      <c r="CF77">
        <v>30</v>
      </c>
      <c r="CG77">
        <v>90</v>
      </c>
      <c r="CI77" t="s">
        <v>3525</v>
      </c>
      <c r="CT77" t="s">
        <v>376</v>
      </c>
    </row>
    <row r="78" spans="1:104" x14ac:dyDescent="0.25">
      <c r="A78" t="s">
        <v>219</v>
      </c>
      <c r="B78" t="s">
        <v>3640</v>
      </c>
      <c r="AH78">
        <v>14</v>
      </c>
      <c r="AI78">
        <v>8</v>
      </c>
      <c r="AJ78">
        <v>96</v>
      </c>
      <c r="AK78">
        <v>424</v>
      </c>
      <c r="AL78">
        <v>105</v>
      </c>
      <c r="AM78" t="s">
        <v>3528</v>
      </c>
      <c r="BF78">
        <v>12</v>
      </c>
      <c r="BH78">
        <v>126</v>
      </c>
      <c r="BK78" t="s">
        <v>3546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3527</v>
      </c>
      <c r="CT78">
        <v>5</v>
      </c>
      <c r="CZ78" t="s">
        <v>376</v>
      </c>
    </row>
    <row r="79" spans="1:104" x14ac:dyDescent="0.25">
      <c r="A79" t="s">
        <v>220</v>
      </c>
      <c r="B79" t="s">
        <v>3641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3534</v>
      </c>
      <c r="CT79">
        <v>5</v>
      </c>
    </row>
    <row r="80" spans="1:104" x14ac:dyDescent="0.25">
      <c r="A80" t="s">
        <v>221</v>
      </c>
      <c r="B80" t="s">
        <v>3642</v>
      </c>
      <c r="AH80">
        <v>5</v>
      </c>
      <c r="AI80">
        <v>18</v>
      </c>
      <c r="AJ80">
        <v>112</v>
      </c>
      <c r="AM80" t="s">
        <v>3555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3643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3644</v>
      </c>
      <c r="BL81" t="b">
        <v>0</v>
      </c>
      <c r="CD81">
        <v>5</v>
      </c>
      <c r="CE81">
        <v>17</v>
      </c>
      <c r="CF81">
        <v>41</v>
      </c>
      <c r="CI81" t="s">
        <v>3539</v>
      </c>
      <c r="CT81">
        <v>5</v>
      </c>
    </row>
    <row r="82" spans="1:104" x14ac:dyDescent="0.25">
      <c r="A82" t="s">
        <v>606</v>
      </c>
      <c r="B82" t="s">
        <v>3645</v>
      </c>
      <c r="AH82">
        <v>205</v>
      </c>
      <c r="AI82">
        <v>18</v>
      </c>
      <c r="AJ82">
        <v>132</v>
      </c>
      <c r="AM82" t="s">
        <v>3541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3646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3647</v>
      </c>
      <c r="CT83">
        <v>5</v>
      </c>
    </row>
    <row r="84" spans="1:104" x14ac:dyDescent="0.25">
      <c r="A84" t="s">
        <v>303</v>
      </c>
      <c r="B84" t="s">
        <v>3648</v>
      </c>
      <c r="AH84">
        <v>205</v>
      </c>
      <c r="AI84">
        <v>18</v>
      </c>
      <c r="AJ84">
        <v>152</v>
      </c>
      <c r="AM84" t="s">
        <v>3546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3649</v>
      </c>
      <c r="AH85">
        <v>13</v>
      </c>
      <c r="AI85">
        <v>19</v>
      </c>
      <c r="AJ85">
        <v>175</v>
      </c>
      <c r="AM85" t="s">
        <v>3563</v>
      </c>
      <c r="AN85" t="b">
        <v>0</v>
      </c>
      <c r="CD85">
        <v>13</v>
      </c>
      <c r="CE85">
        <v>18</v>
      </c>
      <c r="CF85">
        <v>87</v>
      </c>
      <c r="CI85" t="s">
        <v>3540</v>
      </c>
      <c r="CJ85" t="b">
        <v>0</v>
      </c>
      <c r="CT85">
        <v>5</v>
      </c>
    </row>
    <row r="86" spans="1:104" x14ac:dyDescent="0.25">
      <c r="A86" t="s">
        <v>228</v>
      </c>
      <c r="B86" t="s">
        <v>3650</v>
      </c>
      <c r="AH86">
        <v>13</v>
      </c>
      <c r="AI86">
        <v>221</v>
      </c>
      <c r="AJ86">
        <v>175</v>
      </c>
      <c r="AM86" t="s">
        <v>3565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3550</v>
      </c>
      <c r="CT86">
        <v>5</v>
      </c>
    </row>
    <row r="87" spans="1:104" x14ac:dyDescent="0.25">
      <c r="A87" t="s">
        <v>231</v>
      </c>
      <c r="B87" t="s">
        <v>3651</v>
      </c>
      <c r="AH87">
        <v>24</v>
      </c>
      <c r="AI87">
        <v>465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3630</v>
      </c>
      <c r="BL87">
        <v>5</v>
      </c>
      <c r="CD87">
        <v>8</v>
      </c>
      <c r="CE87">
        <v>73</v>
      </c>
      <c r="CF87">
        <v>105</v>
      </c>
      <c r="CG87">
        <v>75</v>
      </c>
      <c r="CJ87">
        <v>0.05</v>
      </c>
      <c r="CT87">
        <v>5</v>
      </c>
    </row>
    <row r="88" spans="1:104" x14ac:dyDescent="0.25">
      <c r="A88" t="s">
        <v>616</v>
      </c>
      <c r="B88" t="s">
        <v>3652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3528</v>
      </c>
      <c r="CT88">
        <v>5</v>
      </c>
      <c r="CU88">
        <v>26</v>
      </c>
      <c r="CV88">
        <v>108</v>
      </c>
      <c r="CY88" t="s">
        <v>3653</v>
      </c>
    </row>
    <row r="89" spans="1:104" x14ac:dyDescent="0.25">
      <c r="A89" t="s">
        <v>299</v>
      </c>
      <c r="B89" t="s">
        <v>3654</v>
      </c>
      <c r="BF89">
        <v>2</v>
      </c>
      <c r="BG89">
        <v>407</v>
      </c>
      <c r="BH89">
        <v>30</v>
      </c>
      <c r="BI89">
        <v>90</v>
      </c>
      <c r="BK89" t="s">
        <v>3525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3655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3527</v>
      </c>
      <c r="CD90">
        <v>12</v>
      </c>
      <c r="CE90">
        <v>17</v>
      </c>
      <c r="CF90">
        <v>152</v>
      </c>
      <c r="CI90" t="s">
        <v>3555</v>
      </c>
    </row>
    <row r="91" spans="1:104" x14ac:dyDescent="0.25">
      <c r="A91" t="s">
        <v>237</v>
      </c>
      <c r="B91" t="s">
        <v>3656</v>
      </c>
      <c r="BF91">
        <v>5</v>
      </c>
      <c r="BG91">
        <v>18</v>
      </c>
      <c r="BH91">
        <v>19</v>
      </c>
      <c r="BK91" t="s">
        <v>3532</v>
      </c>
      <c r="CD91">
        <v>12</v>
      </c>
      <c r="CF91">
        <v>172</v>
      </c>
      <c r="CI91" t="s">
        <v>3541</v>
      </c>
      <c r="CT91" t="s">
        <v>379</v>
      </c>
    </row>
    <row r="92" spans="1:104" x14ac:dyDescent="0.25">
      <c r="A92" t="s">
        <v>239</v>
      </c>
      <c r="B92" t="s">
        <v>3657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3546</v>
      </c>
      <c r="CT92">
        <v>5</v>
      </c>
      <c r="CZ92" t="s">
        <v>379</v>
      </c>
    </row>
    <row r="93" spans="1:104" x14ac:dyDescent="0.25">
      <c r="A93" t="s">
        <v>485</v>
      </c>
      <c r="B93" t="s">
        <v>3658</v>
      </c>
      <c r="BF93">
        <v>5</v>
      </c>
      <c r="BG93">
        <v>18</v>
      </c>
      <c r="BH93">
        <v>43</v>
      </c>
      <c r="BK93" t="s">
        <v>3659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3660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3661</v>
      </c>
      <c r="BF95">
        <v>13</v>
      </c>
      <c r="BG95">
        <v>18</v>
      </c>
      <c r="BH95">
        <v>66</v>
      </c>
      <c r="BK95" t="s">
        <v>3540</v>
      </c>
      <c r="BL95" t="b">
        <v>0</v>
      </c>
      <c r="CD95">
        <v>24</v>
      </c>
      <c r="CE95">
        <v>487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3662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3528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3663</v>
      </c>
      <c r="BF98">
        <v>12</v>
      </c>
      <c r="BG98">
        <v>18</v>
      </c>
      <c r="BH98">
        <v>112</v>
      </c>
      <c r="BK98" t="s">
        <v>3555</v>
      </c>
      <c r="CT98">
        <v>5</v>
      </c>
    </row>
    <row r="99" spans="1:104" x14ac:dyDescent="0.25">
      <c r="A99" t="s">
        <v>252</v>
      </c>
      <c r="B99" t="s">
        <v>3664</v>
      </c>
      <c r="BF99">
        <v>12</v>
      </c>
      <c r="BH99">
        <v>132</v>
      </c>
      <c r="BK99" t="s">
        <v>3541</v>
      </c>
      <c r="CD99" t="s">
        <v>357</v>
      </c>
      <c r="CT99">
        <v>5</v>
      </c>
    </row>
    <row r="100" spans="1:104" x14ac:dyDescent="0.25">
      <c r="A100" t="s">
        <v>511</v>
      </c>
      <c r="B100" t="s">
        <v>3665</v>
      </c>
      <c r="BF100">
        <v>12</v>
      </c>
      <c r="BH100">
        <v>152</v>
      </c>
      <c r="BK100" t="s">
        <v>3546</v>
      </c>
      <c r="CD100" s="1" t="s">
        <v>674</v>
      </c>
      <c r="CG100">
        <v>577</v>
      </c>
      <c r="CH100">
        <v>281</v>
      </c>
      <c r="CI100" t="s">
        <v>3666</v>
      </c>
      <c r="CJ100">
        <v>5</v>
      </c>
      <c r="CT100">
        <v>5</v>
      </c>
      <c r="CU100">
        <v>23</v>
      </c>
      <c r="CV100">
        <v>131</v>
      </c>
      <c r="CY100" t="s">
        <v>3667</v>
      </c>
    </row>
    <row r="101" spans="1:104" x14ac:dyDescent="0.25">
      <c r="A101" t="s">
        <v>513</v>
      </c>
      <c r="B101" t="s">
        <v>3668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3602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3525</v>
      </c>
      <c r="CT102">
        <v>5</v>
      </c>
      <c r="CU102">
        <v>25</v>
      </c>
      <c r="CV102">
        <v>108</v>
      </c>
      <c r="CY102" t="s">
        <v>3653</v>
      </c>
    </row>
    <row r="103" spans="1:104" x14ac:dyDescent="0.25">
      <c r="A103" t="s">
        <v>516</v>
      </c>
      <c r="B103" t="s">
        <v>3669</v>
      </c>
      <c r="BF103">
        <v>13</v>
      </c>
      <c r="BG103">
        <v>18</v>
      </c>
      <c r="BH103">
        <v>174</v>
      </c>
      <c r="BK103" t="s">
        <v>3670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3527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3671</v>
      </c>
      <c r="BF104">
        <v>13</v>
      </c>
      <c r="BK104" t="s">
        <v>3672</v>
      </c>
      <c r="BL104" t="b">
        <v>0</v>
      </c>
      <c r="CD104">
        <v>5</v>
      </c>
      <c r="CE104">
        <v>17</v>
      </c>
      <c r="CF104">
        <v>18</v>
      </c>
      <c r="CI104" t="s">
        <v>3534</v>
      </c>
    </row>
    <row r="105" spans="1:104" x14ac:dyDescent="0.25">
      <c r="A105" t="s">
        <v>534</v>
      </c>
      <c r="B105" t="s">
        <v>3673</v>
      </c>
      <c r="BF105">
        <v>13</v>
      </c>
      <c r="BK105" t="s">
        <v>3563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3605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3539</v>
      </c>
      <c r="CT106">
        <v>5</v>
      </c>
      <c r="CZ106" t="s">
        <v>382</v>
      </c>
    </row>
    <row r="107" spans="1:104" x14ac:dyDescent="0.25">
      <c r="A107" t="s">
        <v>538</v>
      </c>
      <c r="B107" t="s">
        <v>3524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3674</v>
      </c>
      <c r="CD108">
        <v>5</v>
      </c>
      <c r="CE108">
        <v>17</v>
      </c>
      <c r="CF108">
        <v>68</v>
      </c>
      <c r="CI108" t="s">
        <v>3592</v>
      </c>
      <c r="CT108">
        <v>5</v>
      </c>
    </row>
    <row r="109" spans="1:104" x14ac:dyDescent="0.25">
      <c r="A109" t="s">
        <v>60</v>
      </c>
      <c r="B109" t="s">
        <v>3675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3676</v>
      </c>
      <c r="CD110">
        <v>5</v>
      </c>
      <c r="CE110">
        <v>20</v>
      </c>
      <c r="CF110">
        <v>95</v>
      </c>
      <c r="CI110" t="s">
        <v>3677</v>
      </c>
      <c r="CT110">
        <v>5</v>
      </c>
    </row>
    <row r="111" spans="1:104" x14ac:dyDescent="0.25">
      <c r="A111" t="s">
        <v>434</v>
      </c>
      <c r="B111" t="s">
        <v>3678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3679</v>
      </c>
      <c r="CD112">
        <v>5</v>
      </c>
      <c r="CE112">
        <v>17</v>
      </c>
      <c r="CF112">
        <v>119</v>
      </c>
      <c r="CI112" t="s">
        <v>3680</v>
      </c>
      <c r="CT112">
        <v>5</v>
      </c>
    </row>
    <row r="113" spans="1:104" x14ac:dyDescent="0.25">
      <c r="A113" t="s">
        <v>539</v>
      </c>
      <c r="B113" t="s">
        <v>3681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3682</v>
      </c>
      <c r="CD114">
        <v>13</v>
      </c>
      <c r="CE114">
        <v>17</v>
      </c>
      <c r="CF114">
        <v>143</v>
      </c>
      <c r="CI114" t="s">
        <v>3540</v>
      </c>
      <c r="CJ114" t="b">
        <v>0</v>
      </c>
      <c r="CT114">
        <v>5</v>
      </c>
    </row>
    <row r="115" spans="1:104" x14ac:dyDescent="0.25">
      <c r="A115" t="s">
        <v>543</v>
      </c>
      <c r="B115" t="s">
        <v>3683</v>
      </c>
      <c r="CD115">
        <v>5</v>
      </c>
      <c r="CE115">
        <v>17</v>
      </c>
      <c r="CF115">
        <v>168</v>
      </c>
      <c r="CI115" t="s">
        <v>3550</v>
      </c>
      <c r="CT115">
        <v>5</v>
      </c>
    </row>
    <row r="116" spans="1:104" x14ac:dyDescent="0.25">
      <c r="A116" t="s">
        <v>544</v>
      </c>
      <c r="B116" t="s">
        <v>3684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3685</v>
      </c>
    </row>
    <row r="117" spans="1:104" x14ac:dyDescent="0.25">
      <c r="A117" t="s">
        <v>547</v>
      </c>
      <c r="B117" t="s">
        <v>3686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3528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3687</v>
      </c>
      <c r="CD118">
        <v>111</v>
      </c>
      <c r="CJ118">
        <v>2</v>
      </c>
    </row>
    <row r="119" spans="1:104" x14ac:dyDescent="0.25">
      <c r="A119" t="s">
        <v>562</v>
      </c>
      <c r="B119" t="s">
        <v>3688</v>
      </c>
      <c r="CD119">
        <v>12</v>
      </c>
      <c r="CE119">
        <v>17</v>
      </c>
      <c r="CF119">
        <v>211</v>
      </c>
      <c r="CI119" t="s">
        <v>3555</v>
      </c>
      <c r="CT119" t="s">
        <v>332</v>
      </c>
    </row>
    <row r="120" spans="1:104" x14ac:dyDescent="0.25">
      <c r="A120" t="s">
        <v>366</v>
      </c>
      <c r="B120" t="s">
        <v>3689</v>
      </c>
      <c r="CD120">
        <v>12</v>
      </c>
      <c r="CF120">
        <v>231</v>
      </c>
      <c r="CI120" t="s">
        <v>3541</v>
      </c>
      <c r="CT120">
        <v>5</v>
      </c>
      <c r="CZ120" t="s">
        <v>332</v>
      </c>
    </row>
    <row r="121" spans="1:104" x14ac:dyDescent="0.25">
      <c r="A121" t="s">
        <v>368</v>
      </c>
      <c r="B121" t="s">
        <v>3690</v>
      </c>
      <c r="CD121">
        <v>12</v>
      </c>
      <c r="CF121">
        <v>251</v>
      </c>
      <c r="CI121" t="s">
        <v>3546</v>
      </c>
      <c r="CT121">
        <v>5</v>
      </c>
    </row>
    <row r="122" spans="1:104" x14ac:dyDescent="0.25">
      <c r="A122" t="s">
        <v>370</v>
      </c>
      <c r="B122" t="s">
        <v>3691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3577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3692</v>
      </c>
      <c r="CT125">
        <v>5</v>
      </c>
    </row>
    <row r="126" spans="1:104" x14ac:dyDescent="0.25">
      <c r="A126" t="s">
        <v>590</v>
      </c>
      <c r="B126" t="s">
        <v>3693</v>
      </c>
      <c r="CT126">
        <v>5</v>
      </c>
    </row>
    <row r="127" spans="1:104" x14ac:dyDescent="0.25">
      <c r="A127" t="s">
        <v>592</v>
      </c>
      <c r="B127" t="s">
        <v>3694</v>
      </c>
      <c r="CT127">
        <v>5</v>
      </c>
    </row>
    <row r="128" spans="1:104" x14ac:dyDescent="0.25">
      <c r="A128" t="s">
        <v>594</v>
      </c>
      <c r="B128" t="s">
        <v>3695</v>
      </c>
      <c r="CT128">
        <v>5</v>
      </c>
    </row>
    <row r="129" spans="1:104" x14ac:dyDescent="0.25">
      <c r="A129" t="s">
        <v>596</v>
      </c>
      <c r="B129" t="s">
        <v>3568</v>
      </c>
      <c r="CT129">
        <v>5</v>
      </c>
    </row>
    <row r="130" spans="1:104" x14ac:dyDescent="0.25">
      <c r="A130" t="s">
        <v>277</v>
      </c>
      <c r="B130" t="s">
        <v>3696</v>
      </c>
      <c r="CT130">
        <v>5</v>
      </c>
      <c r="CU130">
        <v>23</v>
      </c>
      <c r="CV130">
        <v>107</v>
      </c>
      <c r="CY130" t="s">
        <v>3569</v>
      </c>
    </row>
    <row r="131" spans="1:104" x14ac:dyDescent="0.25">
      <c r="A131" t="s">
        <v>279</v>
      </c>
      <c r="B131" t="s">
        <v>3697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3698</v>
      </c>
    </row>
    <row r="133" spans="1:104" x14ac:dyDescent="0.25">
      <c r="A133" t="s">
        <v>283</v>
      </c>
      <c r="B133" t="s">
        <v>3699</v>
      </c>
    </row>
    <row r="134" spans="1:104" x14ac:dyDescent="0.25">
      <c r="A134" t="s">
        <v>285</v>
      </c>
      <c r="B134" t="s">
        <v>3700</v>
      </c>
      <c r="CT134" t="s">
        <v>287</v>
      </c>
    </row>
    <row r="135" spans="1:104" x14ac:dyDescent="0.25">
      <c r="A135" t="s">
        <v>288</v>
      </c>
      <c r="B135" t="s">
        <v>3701</v>
      </c>
      <c r="CT135" t="s">
        <v>507</v>
      </c>
    </row>
    <row r="136" spans="1:104" x14ac:dyDescent="0.25">
      <c r="A136" t="s">
        <v>290</v>
      </c>
      <c r="B136" t="s">
        <v>3702</v>
      </c>
      <c r="CT136" t="str">
        <f>mg01s.RandUniform</f>
        <v>均一</v>
      </c>
      <c r="CU136" t="s">
        <v>551</v>
      </c>
    </row>
    <row r="137" spans="1:104" x14ac:dyDescent="0.25">
      <c r="A137" t="s">
        <v>292</v>
      </c>
      <c r="B137" t="s">
        <v>3703</v>
      </c>
      <c r="CT137" t="str">
        <f>mg01s.RandNormal</f>
        <v>正規</v>
      </c>
      <c r="CU137" t="s">
        <v>554</v>
      </c>
    </row>
    <row r="138" spans="1:104" x14ac:dyDescent="0.25">
      <c r="A138" t="s">
        <v>609</v>
      </c>
      <c r="B138" t="s">
        <v>3704</v>
      </c>
      <c r="CT138" t="str">
        <f>mg01s.RandBernoulli</f>
        <v>ベルヌーイ</v>
      </c>
      <c r="CU138" t="s">
        <v>376</v>
      </c>
    </row>
    <row r="139" spans="1:104" x14ac:dyDescent="0.25">
      <c r="A139" t="s">
        <v>611</v>
      </c>
      <c r="B139" t="s">
        <v>3705</v>
      </c>
      <c r="CT139" t="str">
        <f>mg01s.RandBinomial</f>
        <v>二項</v>
      </c>
      <c r="CU139" t="s">
        <v>379</v>
      </c>
    </row>
    <row r="140" spans="1:104" x14ac:dyDescent="0.25">
      <c r="A140" t="s">
        <v>613</v>
      </c>
      <c r="B140" t="s">
        <v>3706</v>
      </c>
      <c r="CT140" t="str">
        <f>mg01s.RandPoisson</f>
        <v>ポワソン</v>
      </c>
      <c r="CU140" t="s">
        <v>382</v>
      </c>
    </row>
    <row r="141" spans="1:104" x14ac:dyDescent="0.25">
      <c r="A141" t="s">
        <v>298</v>
      </c>
      <c r="B141" t="s">
        <v>3707</v>
      </c>
      <c r="CT141" t="str">
        <f>mg01s.RandPatterned</f>
        <v>パターン</v>
      </c>
      <c r="CU141" t="s">
        <v>599</v>
      </c>
    </row>
    <row r="142" spans="1:104" x14ac:dyDescent="0.25">
      <c r="A142" t="s">
        <v>92</v>
      </c>
      <c r="B142" t="s">
        <v>3523</v>
      </c>
      <c r="CT142" t="str">
        <f>mg01s.RandDiscrete</f>
        <v>離散</v>
      </c>
      <c r="CU142" t="s">
        <v>332</v>
      </c>
    </row>
    <row r="143" spans="1:104" x14ac:dyDescent="0.25">
      <c r="A143" t="s">
        <v>304</v>
      </c>
      <c r="B143" t="s">
        <v>3708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3709</v>
      </c>
    </row>
    <row r="147" spans="1:2" x14ac:dyDescent="0.25">
      <c r="A147" t="s">
        <v>313</v>
      </c>
      <c r="B147" t="s">
        <v>3710</v>
      </c>
    </row>
    <row r="148" spans="1:2" x14ac:dyDescent="0.25">
      <c r="A148" t="s">
        <v>102</v>
      </c>
      <c r="B148" t="s">
        <v>3711</v>
      </c>
    </row>
    <row r="149" spans="1:2" x14ac:dyDescent="0.25">
      <c r="A149" t="s">
        <v>319</v>
      </c>
      <c r="B149" t="s">
        <v>3712</v>
      </c>
    </row>
    <row r="150" spans="1:2" x14ac:dyDescent="0.25">
      <c r="A150" t="s">
        <v>105</v>
      </c>
      <c r="B150" t="s">
        <v>3713</v>
      </c>
    </row>
    <row r="151" spans="1:2" x14ac:dyDescent="0.25">
      <c r="A151" t="s">
        <v>323</v>
      </c>
      <c r="B151" t="s">
        <v>3714</v>
      </c>
    </row>
    <row r="152" spans="1:2" x14ac:dyDescent="0.25">
      <c r="A152" t="s">
        <v>108</v>
      </c>
      <c r="B152" t="s">
        <v>3714</v>
      </c>
    </row>
    <row r="153" spans="1:2" x14ac:dyDescent="0.25">
      <c r="A153" t="s">
        <v>110</v>
      </c>
      <c r="B153" t="s">
        <v>3715</v>
      </c>
    </row>
    <row r="154" spans="1:2" x14ac:dyDescent="0.25">
      <c r="A154" t="s">
        <v>112</v>
      </c>
      <c r="B154" t="s">
        <v>3716</v>
      </c>
    </row>
    <row r="155" spans="1:2" x14ac:dyDescent="0.25">
      <c r="A155" t="s">
        <v>336</v>
      </c>
      <c r="B155" t="s">
        <v>3717</v>
      </c>
    </row>
    <row r="156" spans="1:2" x14ac:dyDescent="0.25">
      <c r="A156" t="s">
        <v>120</v>
      </c>
      <c r="B156" t="s">
        <v>3718</v>
      </c>
    </row>
    <row r="157" spans="1:2" x14ac:dyDescent="0.25">
      <c r="A157" t="s">
        <v>349</v>
      </c>
      <c r="B157" t="s">
        <v>3719</v>
      </c>
    </row>
    <row r="158" spans="1:2" x14ac:dyDescent="0.25">
      <c r="A158" t="s">
        <v>350</v>
      </c>
      <c r="B158" t="s">
        <v>3720</v>
      </c>
    </row>
    <row r="159" spans="1:2" x14ac:dyDescent="0.25">
      <c r="A159" t="s">
        <v>438</v>
      </c>
      <c r="B159" t="s">
        <v>3721</v>
      </c>
    </row>
    <row r="160" spans="1:2" x14ac:dyDescent="0.25">
      <c r="A160" t="s">
        <v>353</v>
      </c>
      <c r="B160" t="s">
        <v>3722</v>
      </c>
    </row>
    <row r="161" spans="1:2" x14ac:dyDescent="0.25">
      <c r="A161" t="s">
        <v>355</v>
      </c>
      <c r="B161" t="s">
        <v>3723</v>
      </c>
    </row>
    <row r="162" spans="1:2" x14ac:dyDescent="0.25">
      <c r="A162" t="s">
        <v>129</v>
      </c>
      <c r="B162" t="s">
        <v>3724</v>
      </c>
    </row>
    <row r="163" spans="1:2" x14ac:dyDescent="0.25">
      <c r="A163" t="s">
        <v>363</v>
      </c>
      <c r="B163" t="s">
        <v>3725</v>
      </c>
    </row>
    <row r="164" spans="1:2" x14ac:dyDescent="0.25">
      <c r="A164" t="s">
        <v>365</v>
      </c>
      <c r="B164" t="s">
        <v>3726</v>
      </c>
    </row>
    <row r="165" spans="1:2" x14ac:dyDescent="0.25">
      <c r="A165" t="s">
        <v>374</v>
      </c>
      <c r="B165" t="s">
        <v>3727</v>
      </c>
    </row>
    <row r="166" spans="1:2" x14ac:dyDescent="0.25">
      <c r="A166" t="s">
        <v>135</v>
      </c>
      <c r="B166" t="s">
        <v>3728</v>
      </c>
    </row>
    <row r="167" spans="1:2" x14ac:dyDescent="0.25">
      <c r="A167" t="s">
        <v>137</v>
      </c>
      <c r="B167" t="s">
        <v>3729</v>
      </c>
    </row>
    <row r="168" spans="1:2" x14ac:dyDescent="0.25">
      <c r="A168" t="s">
        <v>139</v>
      </c>
      <c r="B168" t="s">
        <v>3730</v>
      </c>
    </row>
    <row r="169" spans="1:2" x14ac:dyDescent="0.25">
      <c r="A169" t="s">
        <v>384</v>
      </c>
      <c r="B169" t="s">
        <v>3731</v>
      </c>
    </row>
    <row r="170" spans="1:2" x14ac:dyDescent="0.25">
      <c r="A170" t="s">
        <v>462</v>
      </c>
      <c r="B170" t="s">
        <v>3732</v>
      </c>
    </row>
    <row r="171" spans="1:2" x14ac:dyDescent="0.25">
      <c r="A171" t="s">
        <v>464</v>
      </c>
      <c r="B171" t="s">
        <v>3733</v>
      </c>
    </row>
    <row r="172" spans="1:2" x14ac:dyDescent="0.25">
      <c r="A172" t="s">
        <v>388</v>
      </c>
      <c r="B172" t="s">
        <v>3734</v>
      </c>
    </row>
    <row r="173" spans="1:2" x14ac:dyDescent="0.25">
      <c r="A173" t="s">
        <v>147</v>
      </c>
      <c r="B173" t="s">
        <v>3735</v>
      </c>
    </row>
    <row r="174" spans="1:2" x14ac:dyDescent="0.25">
      <c r="A174" t="s">
        <v>385</v>
      </c>
      <c r="B174" t="s">
        <v>3736</v>
      </c>
    </row>
    <row r="175" spans="1:2" x14ac:dyDescent="0.25">
      <c r="A175" t="s">
        <v>151</v>
      </c>
      <c r="B175" t="s">
        <v>3737</v>
      </c>
    </row>
    <row r="176" spans="1:2" x14ac:dyDescent="0.25">
      <c r="A176" t="s">
        <v>406</v>
      </c>
      <c r="B176" t="s">
        <v>3738</v>
      </c>
    </row>
    <row r="177" spans="1:2" x14ac:dyDescent="0.25">
      <c r="A177" t="s">
        <v>408</v>
      </c>
      <c r="B177" t="s">
        <v>3739</v>
      </c>
    </row>
    <row r="178" spans="1:2" x14ac:dyDescent="0.25">
      <c r="A178" t="s">
        <v>503</v>
      </c>
      <c r="B178" t="s">
        <v>3740</v>
      </c>
    </row>
    <row r="179" spans="1:2" x14ac:dyDescent="0.25">
      <c r="A179" t="s">
        <v>410</v>
      </c>
      <c r="B179" t="s">
        <v>3741</v>
      </c>
    </row>
    <row r="180" spans="1:2" x14ac:dyDescent="0.25">
      <c r="A180" t="s">
        <v>412</v>
      </c>
      <c r="B180" t="s">
        <v>3742</v>
      </c>
    </row>
    <row r="181" spans="1:2" x14ac:dyDescent="0.25">
      <c r="A181" t="s">
        <v>161</v>
      </c>
      <c r="B181" t="s">
        <v>3743</v>
      </c>
    </row>
    <row r="182" spans="1:2" x14ac:dyDescent="0.25">
      <c r="A182" t="s">
        <v>415</v>
      </c>
      <c r="B182" t="s">
        <v>3744</v>
      </c>
    </row>
    <row r="183" spans="1:2" x14ac:dyDescent="0.25">
      <c r="A183" t="s">
        <v>173</v>
      </c>
      <c r="B183" t="s">
        <v>3745</v>
      </c>
    </row>
    <row r="184" spans="1:2" x14ac:dyDescent="0.25">
      <c r="A184" t="s">
        <v>167</v>
      </c>
      <c r="B184" t="s">
        <v>3746</v>
      </c>
    </row>
    <row r="185" spans="1:2" x14ac:dyDescent="0.25">
      <c r="A185" t="s">
        <v>169</v>
      </c>
      <c r="B185" t="s">
        <v>3747</v>
      </c>
    </row>
    <row r="186" spans="1:2" x14ac:dyDescent="0.25">
      <c r="A186" t="s">
        <v>444</v>
      </c>
      <c r="B186" t="s">
        <v>3748</v>
      </c>
    </row>
    <row r="187" spans="1:2" x14ac:dyDescent="0.25">
      <c r="A187" t="s">
        <v>18</v>
      </c>
      <c r="B187" t="s">
        <v>3749</v>
      </c>
    </row>
    <row r="188" spans="1:2" x14ac:dyDescent="0.25">
      <c r="A188" t="s">
        <v>175</v>
      </c>
      <c r="B188" t="s">
        <v>3750</v>
      </c>
    </row>
    <row r="189" spans="1:2" x14ac:dyDescent="0.25">
      <c r="A189" t="s">
        <v>181</v>
      </c>
      <c r="B189" t="s">
        <v>3751</v>
      </c>
    </row>
    <row r="190" spans="1:2" x14ac:dyDescent="0.25">
      <c r="A190" t="s">
        <v>64</v>
      </c>
      <c r="B190" t="s">
        <v>3752</v>
      </c>
    </row>
    <row r="191" spans="1:2" x14ac:dyDescent="0.25">
      <c r="A191" t="s">
        <v>185</v>
      </c>
      <c r="B191" t="s">
        <v>3753</v>
      </c>
    </row>
    <row r="192" spans="1:2" x14ac:dyDescent="0.25">
      <c r="A192" t="s">
        <v>192</v>
      </c>
      <c r="B192" t="s">
        <v>3754</v>
      </c>
    </row>
    <row r="193" spans="1:2" x14ac:dyDescent="0.25">
      <c r="A193" t="s">
        <v>67</v>
      </c>
      <c r="B193" t="s">
        <v>3755</v>
      </c>
    </row>
    <row r="194" spans="1:2" x14ac:dyDescent="0.25">
      <c r="A194" t="s">
        <v>197</v>
      </c>
      <c r="B194" t="s">
        <v>3756</v>
      </c>
    </row>
    <row r="195" spans="1:2" x14ac:dyDescent="0.25">
      <c r="A195" t="s">
        <v>199</v>
      </c>
      <c r="B195" t="s">
        <v>3757</v>
      </c>
    </row>
    <row r="196" spans="1:2" x14ac:dyDescent="0.25">
      <c r="A196" t="s">
        <v>44</v>
      </c>
      <c r="B196" t="s">
        <v>3758</v>
      </c>
    </row>
    <row r="197" spans="1:2" x14ac:dyDescent="0.25">
      <c r="A197" t="s">
        <v>46</v>
      </c>
      <c r="B197" t="s">
        <v>3759</v>
      </c>
    </row>
    <row r="198" spans="1:2" x14ac:dyDescent="0.25">
      <c r="A198" t="s">
        <v>212</v>
      </c>
      <c r="B198" t="s">
        <v>3760</v>
      </c>
    </row>
    <row r="199" spans="1:2" x14ac:dyDescent="0.25">
      <c r="A199" t="s">
        <v>215</v>
      </c>
      <c r="B199" t="s">
        <v>3761</v>
      </c>
    </row>
    <row r="200" spans="1:2" x14ac:dyDescent="0.25">
      <c r="A200" t="s">
        <v>77</v>
      </c>
      <c r="B200" t="s">
        <v>3762</v>
      </c>
    </row>
    <row r="201" spans="1:2" x14ac:dyDescent="0.25">
      <c r="A201" t="s">
        <v>223</v>
      </c>
      <c r="B201" t="s">
        <v>3763</v>
      </c>
    </row>
    <row r="202" spans="1:2" x14ac:dyDescent="0.25">
      <c r="A202" t="s">
        <v>1</v>
      </c>
      <c r="B202" t="s">
        <v>3764</v>
      </c>
    </row>
    <row r="203" spans="1:2" x14ac:dyDescent="0.25">
      <c r="A203" t="s">
        <v>225</v>
      </c>
      <c r="B203" t="s">
        <v>3765</v>
      </c>
    </row>
    <row r="204" spans="1:2" x14ac:dyDescent="0.25">
      <c r="A204" t="s">
        <v>4</v>
      </c>
      <c r="B204" t="s">
        <v>3766</v>
      </c>
    </row>
    <row r="205" spans="1:2" x14ac:dyDescent="0.25">
      <c r="A205" t="s">
        <v>233</v>
      </c>
      <c r="B205" t="s">
        <v>3767</v>
      </c>
    </row>
    <row r="206" spans="1:2" x14ac:dyDescent="0.25">
      <c r="A206" t="s">
        <v>6</v>
      </c>
      <c r="B206" t="s">
        <v>3768</v>
      </c>
    </row>
    <row r="207" spans="1:2" x14ac:dyDescent="0.25">
      <c r="A207" t="s">
        <v>241</v>
      </c>
      <c r="B207" t="s">
        <v>3769</v>
      </c>
    </row>
    <row r="208" spans="1:2" x14ac:dyDescent="0.25">
      <c r="A208" t="s">
        <v>11</v>
      </c>
      <c r="B208" t="s">
        <v>3770</v>
      </c>
    </row>
    <row r="209" spans="1:103" x14ac:dyDescent="0.25">
      <c r="A209" t="s">
        <v>13</v>
      </c>
      <c r="B209" t="s">
        <v>3771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3772</v>
      </c>
    </row>
    <row r="212" spans="1:103" x14ac:dyDescent="0.25">
      <c r="A212" t="s">
        <v>258</v>
      </c>
      <c r="B212" t="s">
        <v>3773</v>
      </c>
    </row>
    <row r="213" spans="1:103" x14ac:dyDescent="0.25">
      <c r="A213" t="s">
        <v>533</v>
      </c>
      <c r="B213" t="s">
        <v>3774</v>
      </c>
      <c r="BS213" t="b">
        <v>1</v>
      </c>
    </row>
    <row r="214" spans="1:103" x14ac:dyDescent="0.25">
      <c r="A214" t="s">
        <v>17</v>
      </c>
      <c r="B214" t="s">
        <v>3775</v>
      </c>
    </row>
    <row r="215" spans="1:103" x14ac:dyDescent="0.25">
      <c r="A215" t="s">
        <v>265</v>
      </c>
      <c r="B215" t="s">
        <v>3776</v>
      </c>
    </row>
    <row r="216" spans="1:103" x14ac:dyDescent="0.25">
      <c r="A216" t="s">
        <v>550</v>
      </c>
      <c r="B216" t="s">
        <v>3777</v>
      </c>
    </row>
    <row r="217" spans="1:103" x14ac:dyDescent="0.25">
      <c r="A217" t="s">
        <v>267</v>
      </c>
      <c r="B217" t="s">
        <v>3778</v>
      </c>
    </row>
    <row r="218" spans="1:103" x14ac:dyDescent="0.25">
      <c r="A218" t="s">
        <v>262</v>
      </c>
      <c r="B218" t="s">
        <v>3779</v>
      </c>
    </row>
    <row r="219" spans="1:103" x14ac:dyDescent="0.25">
      <c r="A219" t="s">
        <v>272</v>
      </c>
      <c r="B219" t="s">
        <v>7081</v>
      </c>
    </row>
    <row r="220" spans="1:103" x14ac:dyDescent="0.25">
      <c r="A220" t="s">
        <v>36</v>
      </c>
      <c r="B220" t="s">
        <v>3732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3780</v>
      </c>
      <c r="AE221" t="b">
        <v>1</v>
      </c>
    </row>
    <row r="222" spans="1:103" x14ac:dyDescent="0.25">
      <c r="A222" t="s">
        <v>269</v>
      </c>
      <c r="B222" t="s">
        <v>3781</v>
      </c>
      <c r="CY222" t="b">
        <v>1</v>
      </c>
    </row>
    <row r="223" spans="1:103" x14ac:dyDescent="0.25">
      <c r="A223" t="s">
        <v>40</v>
      </c>
      <c r="B223" t="s">
        <v>3782</v>
      </c>
    </row>
    <row r="224" spans="1:103" x14ac:dyDescent="0.25">
      <c r="A224" t="s">
        <v>42</v>
      </c>
      <c r="B224" t="s">
        <v>3783</v>
      </c>
      <c r="CI224" t="b">
        <v>1</v>
      </c>
    </row>
    <row r="225" spans="1:2" x14ac:dyDescent="0.25">
      <c r="A225" t="s">
        <v>275</v>
      </c>
      <c r="B225" t="s">
        <v>3784</v>
      </c>
    </row>
    <row r="226" spans="1:2" x14ac:dyDescent="0.25">
      <c r="A226" t="s">
        <v>73</v>
      </c>
      <c r="B226" t="s">
        <v>3785</v>
      </c>
    </row>
    <row r="227" spans="1:2" x14ac:dyDescent="0.25">
      <c r="A227" t="s">
        <v>75</v>
      </c>
      <c r="B227" t="s">
        <v>3786</v>
      </c>
    </row>
    <row r="228" spans="1:2" x14ac:dyDescent="0.25">
      <c r="A228" t="s">
        <v>88</v>
      </c>
      <c r="B228" t="s">
        <v>3787</v>
      </c>
    </row>
    <row r="229" spans="1:2" x14ac:dyDescent="0.25">
      <c r="A229" t="s">
        <v>49</v>
      </c>
      <c r="B229" t="s">
        <v>3788</v>
      </c>
    </row>
    <row r="230" spans="1:2" x14ac:dyDescent="0.25">
      <c r="A230" t="s">
        <v>51</v>
      </c>
      <c r="B230" t="s">
        <v>3789</v>
      </c>
    </row>
    <row r="231" spans="1:2" x14ac:dyDescent="0.25">
      <c r="A231" t="s">
        <v>53</v>
      </c>
      <c r="B231" t="s">
        <v>3790</v>
      </c>
    </row>
    <row r="232" spans="1:2" x14ac:dyDescent="0.25">
      <c r="A232" t="s">
        <v>55</v>
      </c>
      <c r="B232" t="s">
        <v>3791</v>
      </c>
    </row>
    <row r="233" spans="1:2" x14ac:dyDescent="0.25">
      <c r="A233" t="s">
        <v>57</v>
      </c>
      <c r="B233" t="s">
        <v>3792</v>
      </c>
    </row>
    <row r="234" spans="1:2" x14ac:dyDescent="0.25">
      <c r="A234" t="s">
        <v>59</v>
      </c>
      <c r="B234" t="s">
        <v>3793</v>
      </c>
    </row>
    <row r="235" spans="1:2" x14ac:dyDescent="0.25">
      <c r="A235" t="s">
        <v>24</v>
      </c>
      <c r="B235" t="s">
        <v>3794</v>
      </c>
    </row>
    <row r="236" spans="1:2" x14ac:dyDescent="0.25">
      <c r="A236" t="s">
        <v>32</v>
      </c>
      <c r="B236" t="s">
        <v>3795</v>
      </c>
    </row>
    <row r="237" spans="1:2" x14ac:dyDescent="0.25">
      <c r="A237" t="s">
        <v>101</v>
      </c>
      <c r="B237" t="s">
        <v>3796</v>
      </c>
    </row>
    <row r="238" spans="1:2" x14ac:dyDescent="0.25">
      <c r="A238" t="s">
        <v>159</v>
      </c>
      <c r="B238" t="s">
        <v>3797</v>
      </c>
    </row>
    <row r="239" spans="1:2" x14ac:dyDescent="0.25">
      <c r="A239" t="s">
        <v>107</v>
      </c>
      <c r="B239" t="s">
        <v>3798</v>
      </c>
    </row>
    <row r="240" spans="1:2" x14ac:dyDescent="0.25">
      <c r="A240" t="s">
        <v>15</v>
      </c>
      <c r="B240" t="s">
        <v>3799</v>
      </c>
    </row>
    <row r="241" spans="1:2" x14ac:dyDescent="0.25">
      <c r="A241" t="s">
        <v>171</v>
      </c>
      <c r="B241" t="s">
        <v>3800</v>
      </c>
    </row>
    <row r="242" spans="1:2" x14ac:dyDescent="0.25">
      <c r="A242" t="s">
        <v>117</v>
      </c>
      <c r="B242" t="s">
        <v>3801</v>
      </c>
    </row>
    <row r="243" spans="1:2" x14ac:dyDescent="0.25">
      <c r="A243" t="s">
        <v>119</v>
      </c>
      <c r="B243" t="s">
        <v>3802</v>
      </c>
    </row>
    <row r="244" spans="1:2" x14ac:dyDescent="0.25">
      <c r="A244" t="s">
        <v>122</v>
      </c>
      <c r="B244" t="s">
        <v>3803</v>
      </c>
    </row>
    <row r="245" spans="1:2" x14ac:dyDescent="0.25">
      <c r="A245" t="s">
        <v>176</v>
      </c>
      <c r="B245" t="s">
        <v>3804</v>
      </c>
    </row>
    <row r="246" spans="1:2" x14ac:dyDescent="0.25">
      <c r="A246" t="s">
        <v>126</v>
      </c>
      <c r="B246" t="s">
        <v>3805</v>
      </c>
    </row>
    <row r="247" spans="1:2" x14ac:dyDescent="0.25">
      <c r="A247" t="s">
        <v>130</v>
      </c>
      <c r="B247" t="s">
        <v>3806</v>
      </c>
    </row>
    <row r="248" spans="1:2" x14ac:dyDescent="0.25">
      <c r="A248" t="s">
        <v>39</v>
      </c>
      <c r="B248" t="s">
        <v>3807</v>
      </c>
    </row>
    <row r="249" spans="1:2" x14ac:dyDescent="0.25">
      <c r="A249" t="s">
        <v>133</v>
      </c>
      <c r="B249" t="s">
        <v>3808</v>
      </c>
    </row>
    <row r="250" spans="1:2" x14ac:dyDescent="0.25">
      <c r="A250" t="s">
        <v>69</v>
      </c>
      <c r="B250" t="s">
        <v>3809</v>
      </c>
    </row>
    <row r="251" spans="1:2" x14ac:dyDescent="0.25">
      <c r="A251" t="s">
        <v>71</v>
      </c>
      <c r="B251" t="s">
        <v>3810</v>
      </c>
    </row>
    <row r="252" spans="1:2" x14ac:dyDescent="0.25">
      <c r="A252" t="s">
        <v>141</v>
      </c>
      <c r="B252" t="s">
        <v>3811</v>
      </c>
    </row>
    <row r="253" spans="1:2" x14ac:dyDescent="0.25">
      <c r="A253" t="s">
        <v>143</v>
      </c>
      <c r="B253" t="s">
        <v>3812</v>
      </c>
    </row>
    <row r="254" spans="1:2" x14ac:dyDescent="0.25">
      <c r="A254" t="s">
        <v>145</v>
      </c>
      <c r="B254" t="s">
        <v>3813</v>
      </c>
    </row>
    <row r="255" spans="1:2" x14ac:dyDescent="0.25">
      <c r="A255" t="s">
        <v>386</v>
      </c>
      <c r="B255" t="s">
        <v>3814</v>
      </c>
    </row>
    <row r="256" spans="1:2" x14ac:dyDescent="0.25">
      <c r="A256" t="s">
        <v>30</v>
      </c>
      <c r="B256" t="s">
        <v>3815</v>
      </c>
    </row>
    <row r="257" spans="1:2" x14ac:dyDescent="0.25">
      <c r="A257" t="s">
        <v>33</v>
      </c>
      <c r="B257" t="s">
        <v>3816</v>
      </c>
    </row>
    <row r="258" spans="1:2" x14ac:dyDescent="0.25">
      <c r="A258" t="s">
        <v>153</v>
      </c>
      <c r="B258" t="s">
        <v>3817</v>
      </c>
    </row>
    <row r="259" spans="1:2" x14ac:dyDescent="0.25">
      <c r="A259" t="s">
        <v>155</v>
      </c>
      <c r="B259" t="s">
        <v>3818</v>
      </c>
    </row>
    <row r="260" spans="1:2" x14ac:dyDescent="0.25">
      <c r="A260" t="s">
        <v>157</v>
      </c>
      <c r="B260" t="s">
        <v>3819</v>
      </c>
    </row>
    <row r="261" spans="1:2" x14ac:dyDescent="0.25">
      <c r="A261" t="s">
        <v>3</v>
      </c>
      <c r="B261" t="s">
        <v>3820</v>
      </c>
    </row>
    <row r="262" spans="1:2" x14ac:dyDescent="0.25">
      <c r="A262" t="s">
        <v>78</v>
      </c>
      <c r="B262" t="s">
        <v>3821</v>
      </c>
    </row>
    <row r="263" spans="1:2" x14ac:dyDescent="0.25">
      <c r="A263" t="s">
        <v>80</v>
      </c>
      <c r="B263" t="s">
        <v>3822</v>
      </c>
    </row>
    <row r="264" spans="1:2" x14ac:dyDescent="0.25">
      <c r="A264" t="s">
        <v>82</v>
      </c>
      <c r="B264" t="s">
        <v>3823</v>
      </c>
    </row>
    <row r="265" spans="1:2" x14ac:dyDescent="0.25">
      <c r="A265" t="s">
        <v>84</v>
      </c>
      <c r="B265" t="s">
        <v>3824</v>
      </c>
    </row>
    <row r="266" spans="1:2" x14ac:dyDescent="0.25">
      <c r="A266" t="s">
        <v>86</v>
      </c>
      <c r="B266" t="s">
        <v>3825</v>
      </c>
    </row>
    <row r="267" spans="1:2" x14ac:dyDescent="0.25">
      <c r="A267" t="s">
        <v>29</v>
      </c>
      <c r="B267" t="s">
        <v>3826</v>
      </c>
    </row>
    <row r="268" spans="1:2" x14ac:dyDescent="0.25">
      <c r="A268" t="s">
        <v>90</v>
      </c>
      <c r="B268" t="s">
        <v>3827</v>
      </c>
    </row>
    <row r="269" spans="1:2" x14ac:dyDescent="0.25">
      <c r="A269" t="s">
        <v>95</v>
      </c>
      <c r="B269" t="s">
        <v>3828</v>
      </c>
    </row>
    <row r="270" spans="1:2" x14ac:dyDescent="0.25">
      <c r="A270" t="s">
        <v>2</v>
      </c>
      <c r="B270" t="s">
        <v>3829</v>
      </c>
    </row>
    <row r="271" spans="1:2" x14ac:dyDescent="0.25">
      <c r="A271" t="s">
        <v>7</v>
      </c>
      <c r="B271" t="s">
        <v>3830</v>
      </c>
    </row>
    <row r="273" spans="1:2" x14ac:dyDescent="0.25">
      <c r="A273" t="s">
        <v>9</v>
      </c>
      <c r="B273" t="s">
        <v>3831</v>
      </c>
    </row>
    <row r="274" spans="1:2" x14ac:dyDescent="0.25">
      <c r="A274" t="s">
        <v>163</v>
      </c>
      <c r="B274" t="s">
        <v>3832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3568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3833</v>
      </c>
      <c r="AF2">
        <v>4</v>
      </c>
      <c r="AH2" s="1" t="s">
        <v>656</v>
      </c>
      <c r="AK2">
        <v>515</v>
      </c>
      <c r="AL2">
        <v>223</v>
      </c>
      <c r="AM2" t="s">
        <v>3834</v>
      </c>
      <c r="AN2">
        <v>5</v>
      </c>
      <c r="AP2" s="1" t="s">
        <v>657</v>
      </c>
      <c r="AS2">
        <v>546</v>
      </c>
      <c r="AT2">
        <v>312</v>
      </c>
      <c r="AU2" t="s">
        <v>3835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3836</v>
      </c>
      <c r="BL2">
        <v>5</v>
      </c>
      <c r="BN2" s="1" t="s">
        <v>659</v>
      </c>
      <c r="BQ2">
        <v>523</v>
      </c>
      <c r="BR2">
        <v>293</v>
      </c>
      <c r="BS2" t="s">
        <v>3837</v>
      </c>
      <c r="BT2">
        <v>5</v>
      </c>
      <c r="BV2" s="1" t="s">
        <v>660</v>
      </c>
      <c r="BY2">
        <v>523</v>
      </c>
      <c r="BZ2">
        <v>195</v>
      </c>
      <c r="CA2" t="s">
        <v>3838</v>
      </c>
      <c r="CB2">
        <v>5</v>
      </c>
      <c r="CD2" s="1" t="s">
        <v>661</v>
      </c>
      <c r="CG2">
        <v>523</v>
      </c>
      <c r="CH2">
        <v>203</v>
      </c>
      <c r="CI2" t="s">
        <v>3839</v>
      </c>
      <c r="CJ2">
        <v>5</v>
      </c>
      <c r="CL2" s="1" t="s">
        <v>662</v>
      </c>
      <c r="CO2">
        <v>523</v>
      </c>
      <c r="CP2">
        <v>263</v>
      </c>
      <c r="CQ2" t="s">
        <v>3840</v>
      </c>
      <c r="CR2">
        <v>5</v>
      </c>
      <c r="CT2" s="1" t="s">
        <v>663</v>
      </c>
      <c r="CW2">
        <v>516</v>
      </c>
      <c r="CX2">
        <v>298</v>
      </c>
      <c r="CY2" t="s">
        <v>3841</v>
      </c>
      <c r="CZ2">
        <v>4</v>
      </c>
    </row>
    <row r="3" spans="1:104" x14ac:dyDescent="0.25">
      <c r="W3" t="str">
        <f>dbCorrelationTitle</f>
        <v>상관 분석</v>
      </c>
      <c r="Z3">
        <v>1</v>
      </c>
      <c r="AA3">
        <v>412</v>
      </c>
      <c r="AB3">
        <v>6</v>
      </c>
      <c r="AC3">
        <v>90</v>
      </c>
      <c r="AE3" t="s">
        <v>3842</v>
      </c>
      <c r="AH3">
        <v>1</v>
      </c>
      <c r="AI3">
        <v>412</v>
      </c>
      <c r="AJ3">
        <v>6</v>
      </c>
      <c r="AK3">
        <v>90</v>
      </c>
      <c r="AM3" t="s">
        <v>3842</v>
      </c>
      <c r="AP3">
        <v>1</v>
      </c>
      <c r="AQ3">
        <v>443</v>
      </c>
      <c r="AR3">
        <v>6</v>
      </c>
      <c r="AS3">
        <v>90</v>
      </c>
      <c r="AU3" t="s">
        <v>3842</v>
      </c>
      <c r="AX3">
        <v>1</v>
      </c>
      <c r="AY3">
        <v>418</v>
      </c>
      <c r="AZ3">
        <v>8</v>
      </c>
      <c r="BA3">
        <v>104</v>
      </c>
      <c r="BC3" t="s">
        <v>3842</v>
      </c>
      <c r="BF3">
        <v>1</v>
      </c>
      <c r="BG3">
        <v>407</v>
      </c>
      <c r="BH3">
        <v>6</v>
      </c>
      <c r="BI3">
        <v>90</v>
      </c>
      <c r="BK3" t="s">
        <v>3842</v>
      </c>
      <c r="BN3">
        <v>1</v>
      </c>
      <c r="BO3">
        <v>407</v>
      </c>
      <c r="BP3">
        <v>6</v>
      </c>
      <c r="BQ3">
        <v>90</v>
      </c>
      <c r="BS3" t="s">
        <v>3842</v>
      </c>
      <c r="BV3">
        <v>1</v>
      </c>
      <c r="BW3">
        <v>407</v>
      </c>
      <c r="BX3">
        <v>6</v>
      </c>
      <c r="BY3">
        <v>90</v>
      </c>
      <c r="CA3" t="s">
        <v>3842</v>
      </c>
      <c r="CD3">
        <v>1</v>
      </c>
      <c r="CE3">
        <v>407</v>
      </c>
      <c r="CF3">
        <v>6</v>
      </c>
      <c r="CG3">
        <v>90</v>
      </c>
      <c r="CI3" t="s">
        <v>3842</v>
      </c>
      <c r="CL3">
        <v>1</v>
      </c>
      <c r="CM3">
        <v>407</v>
      </c>
      <c r="CN3">
        <v>6</v>
      </c>
      <c r="CO3">
        <v>90</v>
      </c>
      <c r="CQ3" t="s">
        <v>3842</v>
      </c>
      <c r="CT3">
        <v>1</v>
      </c>
      <c r="CU3">
        <v>410</v>
      </c>
      <c r="CV3">
        <v>6</v>
      </c>
      <c r="CW3">
        <v>90</v>
      </c>
      <c r="CY3" t="s">
        <v>3842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412</v>
      </c>
      <c r="AB4">
        <v>32</v>
      </c>
      <c r="AC4">
        <v>90</v>
      </c>
      <c r="AE4" t="s">
        <v>3843</v>
      </c>
      <c r="AH4">
        <v>2</v>
      </c>
      <c r="AI4">
        <v>412</v>
      </c>
      <c r="AJ4">
        <v>32</v>
      </c>
      <c r="AK4">
        <v>90</v>
      </c>
      <c r="AM4" t="s">
        <v>3843</v>
      </c>
      <c r="AP4">
        <v>2</v>
      </c>
      <c r="AQ4">
        <v>443</v>
      </c>
      <c r="AR4">
        <v>32</v>
      </c>
      <c r="AS4">
        <v>90</v>
      </c>
      <c r="AU4" t="s">
        <v>3843</v>
      </c>
      <c r="AX4">
        <v>2</v>
      </c>
      <c r="AY4">
        <v>418</v>
      </c>
      <c r="AZ4">
        <v>33</v>
      </c>
      <c r="BA4">
        <v>104</v>
      </c>
      <c r="BC4" t="s">
        <v>3843</v>
      </c>
      <c r="BF4">
        <v>2</v>
      </c>
      <c r="BG4">
        <v>407</v>
      </c>
      <c r="BH4">
        <v>32</v>
      </c>
      <c r="BI4">
        <v>90</v>
      </c>
      <c r="BK4" t="s">
        <v>3843</v>
      </c>
      <c r="BN4">
        <v>2</v>
      </c>
      <c r="BO4">
        <v>407</v>
      </c>
      <c r="BP4">
        <v>32</v>
      </c>
      <c r="BQ4">
        <v>90</v>
      </c>
      <c r="BS4" t="s">
        <v>3843</v>
      </c>
      <c r="BV4">
        <v>2</v>
      </c>
      <c r="BW4">
        <v>407</v>
      </c>
      <c r="BX4">
        <v>32</v>
      </c>
      <c r="BY4">
        <v>90</v>
      </c>
      <c r="CA4" t="s">
        <v>3843</v>
      </c>
      <c r="CD4">
        <v>2</v>
      </c>
      <c r="CE4">
        <v>407</v>
      </c>
      <c r="CF4">
        <v>32</v>
      </c>
      <c r="CG4">
        <v>90</v>
      </c>
      <c r="CI4" t="s">
        <v>3843</v>
      </c>
      <c r="CL4">
        <v>2</v>
      </c>
      <c r="CM4">
        <v>407</v>
      </c>
      <c r="CN4">
        <v>32</v>
      </c>
      <c r="CO4">
        <v>90</v>
      </c>
      <c r="CQ4" t="s">
        <v>3843</v>
      </c>
      <c r="CT4">
        <v>2</v>
      </c>
      <c r="CU4">
        <v>410</v>
      </c>
      <c r="CV4">
        <v>32</v>
      </c>
      <c r="CW4">
        <v>90</v>
      </c>
      <c r="CY4" t="s">
        <v>3843</v>
      </c>
    </row>
    <row r="5" spans="1:104" x14ac:dyDescent="0.25">
      <c r="T5">
        <v>0</v>
      </c>
      <c r="U5" t="str">
        <f>dbAnova1Title</f>
        <v>분산 분석: 일원 배치법</v>
      </c>
      <c r="V5">
        <v>0</v>
      </c>
      <c r="W5" t="str">
        <f>dbAnova1Title</f>
        <v>분산 분석: 일원 배치법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3844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3845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3845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3846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3845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3845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3845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3845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3845</v>
      </c>
      <c r="CT5">
        <v>5</v>
      </c>
      <c r="CU5">
        <v>17</v>
      </c>
      <c r="CV5">
        <v>12</v>
      </c>
      <c r="CY5" t="s">
        <v>3847</v>
      </c>
    </row>
    <row r="6" spans="1:104" x14ac:dyDescent="0.25">
      <c r="T6">
        <v>1</v>
      </c>
      <c r="U6" t="str">
        <f>dbAnova2Title</f>
        <v>분산 분석: 반복 있는 이원 배치법</v>
      </c>
      <c r="V6">
        <v>1</v>
      </c>
      <c r="W6" t="str">
        <f>dbAnova2Title</f>
        <v>분산 분석: 반복 있는 이원 배치법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3848</v>
      </c>
      <c r="AP6">
        <v>5</v>
      </c>
      <c r="AQ6">
        <v>24</v>
      </c>
      <c r="AR6">
        <v>22</v>
      </c>
      <c r="AU6" t="s">
        <v>3849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3848</v>
      </c>
      <c r="BN6">
        <v>5</v>
      </c>
      <c r="BO6">
        <v>18</v>
      </c>
      <c r="BP6">
        <v>19</v>
      </c>
      <c r="BS6" t="s">
        <v>3848</v>
      </c>
      <c r="BV6">
        <v>5</v>
      </c>
      <c r="BW6">
        <v>18</v>
      </c>
      <c r="BX6">
        <v>19</v>
      </c>
      <c r="CA6" t="s">
        <v>3848</v>
      </c>
      <c r="CD6">
        <v>5</v>
      </c>
      <c r="CE6">
        <v>18</v>
      </c>
      <c r="CF6">
        <v>19</v>
      </c>
      <c r="CI6" t="s">
        <v>3850</v>
      </c>
      <c r="CL6">
        <v>5</v>
      </c>
      <c r="CM6">
        <v>18</v>
      </c>
      <c r="CN6">
        <v>19</v>
      </c>
      <c r="CQ6" t="s">
        <v>3848</v>
      </c>
      <c r="CT6">
        <v>7</v>
      </c>
      <c r="CU6">
        <v>244</v>
      </c>
      <c r="CV6">
        <v>8</v>
      </c>
      <c r="CW6">
        <v>150</v>
      </c>
    </row>
    <row r="7" spans="1:104" x14ac:dyDescent="0.25">
      <c r="T7">
        <v>2</v>
      </c>
      <c r="U7" t="str">
        <f>dbAnova3Title</f>
        <v>분산 분석: 반복 없는 이원 배치법</v>
      </c>
      <c r="V7">
        <v>2</v>
      </c>
      <c r="W7" t="str">
        <f>dbAnova3Title</f>
        <v>분산 분석: 반복 없는 이원 배치법</v>
      </c>
      <c r="X7" t="s">
        <v>315</v>
      </c>
      <c r="Y7" s="1" t="s">
        <v>665</v>
      </c>
      <c r="Z7">
        <v>24</v>
      </c>
      <c r="AA7">
        <v>412</v>
      </c>
      <c r="AB7">
        <v>58</v>
      </c>
      <c r="AC7">
        <v>90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3851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3852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상관 분석</v>
      </c>
      <c r="V8">
        <v>3</v>
      </c>
      <c r="W8" t="str">
        <f>dbCorrelationTitle</f>
        <v>상관 분석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3853</v>
      </c>
      <c r="AP8">
        <v>5</v>
      </c>
      <c r="AQ8">
        <v>24</v>
      </c>
      <c r="AR8">
        <v>48</v>
      </c>
      <c r="AU8" t="s">
        <v>3854</v>
      </c>
      <c r="AX8">
        <v>12</v>
      </c>
      <c r="AZ8">
        <v>90</v>
      </c>
      <c r="BC8" t="s">
        <v>3855</v>
      </c>
      <c r="BF8">
        <v>5</v>
      </c>
      <c r="BG8">
        <v>18</v>
      </c>
      <c r="BH8">
        <v>44</v>
      </c>
      <c r="BK8" t="s">
        <v>3853</v>
      </c>
      <c r="BN8">
        <v>5</v>
      </c>
      <c r="BO8">
        <v>18</v>
      </c>
      <c r="BP8">
        <v>44</v>
      </c>
      <c r="BS8" t="s">
        <v>3853</v>
      </c>
      <c r="BV8">
        <v>5</v>
      </c>
      <c r="BW8">
        <v>17</v>
      </c>
      <c r="BX8">
        <v>40</v>
      </c>
      <c r="CA8" t="s">
        <v>3856</v>
      </c>
      <c r="CD8">
        <v>5</v>
      </c>
      <c r="CE8">
        <v>18</v>
      </c>
      <c r="CF8">
        <v>41</v>
      </c>
      <c r="CI8" t="s">
        <v>3857</v>
      </c>
      <c r="CL8">
        <v>13</v>
      </c>
      <c r="CM8">
        <v>18</v>
      </c>
      <c r="CN8">
        <v>39</v>
      </c>
      <c r="CQ8" t="s">
        <v>3858</v>
      </c>
      <c r="CR8" t="b">
        <v>0</v>
      </c>
      <c r="CT8">
        <v>7</v>
      </c>
      <c r="CU8">
        <v>244</v>
      </c>
      <c r="CV8">
        <v>32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공분산 분석</v>
      </c>
      <c r="V9">
        <v>4</v>
      </c>
      <c r="W9" t="str">
        <f>dbCovarianceTitle</f>
        <v>공분산 분석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3859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3860</v>
      </c>
      <c r="CT9">
        <v>5</v>
      </c>
      <c r="CU9">
        <v>17</v>
      </c>
      <c r="CV9">
        <v>63</v>
      </c>
      <c r="CY9" t="s">
        <v>3861</v>
      </c>
    </row>
    <row r="10" spans="1:104" x14ac:dyDescent="0.25">
      <c r="A10" t="s">
        <v>505</v>
      </c>
      <c r="B10" t="s">
        <v>3862</v>
      </c>
      <c r="T10">
        <v>5</v>
      </c>
      <c r="U10" t="str">
        <f>dbDescripTitle</f>
        <v>기술 통계법</v>
      </c>
      <c r="V10">
        <v>5</v>
      </c>
      <c r="W10" t="str">
        <f>dbDescripTitle</f>
        <v>기술 통계법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3863</v>
      </c>
      <c r="AP10">
        <v>13</v>
      </c>
      <c r="AQ10">
        <v>25</v>
      </c>
      <c r="AR10">
        <v>75</v>
      </c>
      <c r="AU10" t="s">
        <v>3858</v>
      </c>
      <c r="AV10" t="b">
        <v>0</v>
      </c>
      <c r="AX10">
        <v>12</v>
      </c>
      <c r="AZ10">
        <v>130</v>
      </c>
      <c r="BC10" t="s">
        <v>3864</v>
      </c>
      <c r="BF10">
        <v>12</v>
      </c>
      <c r="BG10">
        <v>220</v>
      </c>
      <c r="BH10">
        <v>40</v>
      </c>
      <c r="BK10" t="s">
        <v>3863</v>
      </c>
      <c r="BN10">
        <v>12</v>
      </c>
      <c r="BO10">
        <v>220</v>
      </c>
      <c r="BP10">
        <v>40</v>
      </c>
      <c r="BS10" t="s">
        <v>3863</v>
      </c>
      <c r="BV10">
        <v>13</v>
      </c>
      <c r="BW10">
        <v>17</v>
      </c>
      <c r="BX10">
        <v>60</v>
      </c>
      <c r="CA10" t="s">
        <v>3858</v>
      </c>
      <c r="CB10" t="b">
        <v>0</v>
      </c>
      <c r="CD10">
        <v>13</v>
      </c>
      <c r="CE10">
        <v>20</v>
      </c>
      <c r="CF10">
        <v>60</v>
      </c>
      <c r="CI10" t="s">
        <v>3858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58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3865</v>
      </c>
      <c r="T11">
        <v>6</v>
      </c>
      <c r="U11" t="str">
        <f>dbExponentTitle</f>
        <v>지수 평활법</v>
      </c>
      <c r="V11">
        <v>6</v>
      </c>
      <c r="W11" t="str">
        <f>dbExponentTitle</f>
        <v>지수 평활법</v>
      </c>
      <c r="X11" t="s">
        <v>452</v>
      </c>
      <c r="Y11" s="1" t="s">
        <v>660</v>
      </c>
      <c r="AH11">
        <v>12</v>
      </c>
      <c r="AM11" t="s">
        <v>3866</v>
      </c>
      <c r="AP11">
        <v>13</v>
      </c>
      <c r="AQ11">
        <v>197</v>
      </c>
      <c r="AR11">
        <v>75</v>
      </c>
      <c r="AU11" t="s">
        <v>3867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3866</v>
      </c>
      <c r="BN11">
        <v>12</v>
      </c>
      <c r="BS11" t="s">
        <v>3866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3846</v>
      </c>
      <c r="CD11">
        <v>5</v>
      </c>
      <c r="CE11">
        <v>18</v>
      </c>
      <c r="CF11">
        <v>85</v>
      </c>
      <c r="CI11" t="s">
        <v>3868</v>
      </c>
      <c r="CL11">
        <v>12</v>
      </c>
      <c r="CM11">
        <v>18</v>
      </c>
      <c r="CN11">
        <v>82</v>
      </c>
      <c r="CQ11" t="s">
        <v>3869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3870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F-검정: 분산에 대한 두 집단</v>
      </c>
      <c r="V12">
        <v>7</v>
      </c>
      <c r="W12" t="str">
        <f>dbFTestTitle</f>
        <v>F-검정: 분산에 대한 두 집단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3865</v>
      </c>
      <c r="AN12" t="b">
        <v>0</v>
      </c>
      <c r="AP12">
        <v>113</v>
      </c>
      <c r="AQ12">
        <v>25</v>
      </c>
      <c r="AR12">
        <v>93</v>
      </c>
      <c r="AU12" t="s">
        <v>3871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3865</v>
      </c>
      <c r="BL12" t="b">
        <v>0</v>
      </c>
      <c r="BN12">
        <v>13</v>
      </c>
      <c r="BO12">
        <v>18</v>
      </c>
      <c r="BP12">
        <v>75</v>
      </c>
      <c r="BS12" t="s">
        <v>3865</v>
      </c>
      <c r="BT12" t="b">
        <v>0</v>
      </c>
      <c r="BV12">
        <v>5</v>
      </c>
      <c r="CB12">
        <v>1</v>
      </c>
      <c r="CD12">
        <v>8</v>
      </c>
      <c r="CE12">
        <v>129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3872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푸리에 분석</v>
      </c>
      <c r="V13">
        <v>8</v>
      </c>
      <c r="W13" t="str">
        <f>dbFourierTitle</f>
        <v>푸리에 분석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3868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3846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3846</v>
      </c>
      <c r="BV13">
        <v>5</v>
      </c>
      <c r="BW13">
        <v>17</v>
      </c>
      <c r="BX13">
        <v>99</v>
      </c>
      <c r="CA13" t="s">
        <v>3873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3846</v>
      </c>
      <c r="CL13">
        <v>5</v>
      </c>
      <c r="CM13">
        <v>42</v>
      </c>
      <c r="CN13">
        <v>103</v>
      </c>
      <c r="CQ13" t="s">
        <v>3874</v>
      </c>
      <c r="CT13">
        <v>5</v>
      </c>
    </row>
    <row r="14" spans="1:104" x14ac:dyDescent="0.25">
      <c r="A14" t="s">
        <v>404</v>
      </c>
      <c r="B14" t="s">
        <v>3875</v>
      </c>
      <c r="T14">
        <v>9</v>
      </c>
      <c r="U14" t="str">
        <f>dbHistogramTitle</f>
        <v>히스토그램</v>
      </c>
      <c r="V14">
        <v>9</v>
      </c>
      <c r="W14" t="str">
        <f>dbHistogramTitle</f>
        <v>히스토그램</v>
      </c>
      <c r="X14" t="s">
        <v>520</v>
      </c>
      <c r="Y14" s="1" t="s">
        <v>668</v>
      </c>
      <c r="AH14">
        <v>8</v>
      </c>
      <c r="AI14">
        <v>132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3876</v>
      </c>
      <c r="T15">
        <v>10</v>
      </c>
      <c r="U15" t="str">
        <f>dbMovingTitle</f>
        <v>이동 평균법</v>
      </c>
      <c r="V15">
        <v>10</v>
      </c>
      <c r="W15" t="str">
        <f>dbMovingTitle</f>
        <v>이동 평균법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3846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3846</v>
      </c>
      <c r="AX15">
        <v>24</v>
      </c>
      <c r="AY15">
        <v>418</v>
      </c>
      <c r="AZ15">
        <v>66</v>
      </c>
      <c r="BA15">
        <v>104</v>
      </c>
      <c r="BC15" t="s">
        <v>3877</v>
      </c>
      <c r="BF15">
        <v>12</v>
      </c>
      <c r="BG15">
        <v>20</v>
      </c>
      <c r="BH15">
        <v>120</v>
      </c>
      <c r="BK15" t="s">
        <v>3873</v>
      </c>
      <c r="BN15">
        <v>12</v>
      </c>
      <c r="BO15">
        <v>18</v>
      </c>
      <c r="BP15">
        <v>127</v>
      </c>
      <c r="BS15" t="s">
        <v>3873</v>
      </c>
      <c r="BV15">
        <v>205</v>
      </c>
      <c r="BW15">
        <v>17</v>
      </c>
      <c r="BX15">
        <v>119</v>
      </c>
      <c r="CA15" t="s">
        <v>3859</v>
      </c>
      <c r="CD15">
        <v>12</v>
      </c>
      <c r="CE15">
        <v>18</v>
      </c>
      <c r="CF15">
        <v>132</v>
      </c>
      <c r="CI15" t="s">
        <v>3873</v>
      </c>
      <c r="CL15">
        <v>5</v>
      </c>
      <c r="CM15">
        <v>42</v>
      </c>
      <c r="CN15">
        <v>146</v>
      </c>
      <c r="CQ15" t="s">
        <v>3878</v>
      </c>
      <c r="CT15">
        <v>5</v>
      </c>
    </row>
    <row r="16" spans="1:104" x14ac:dyDescent="0.25">
      <c r="A16" t="s">
        <v>526</v>
      </c>
      <c r="B16" t="s">
        <v>3879</v>
      </c>
      <c r="T16">
        <v>11</v>
      </c>
      <c r="U16" t="str">
        <f>dbRandomTitle</f>
        <v>난수 생성</v>
      </c>
      <c r="V16">
        <v>11</v>
      </c>
      <c r="W16" t="str">
        <f>dbRandomTitle</f>
        <v>난수 생성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3859</v>
      </c>
      <c r="BN16">
        <v>12</v>
      </c>
      <c r="BP16">
        <v>147</v>
      </c>
      <c r="BS16" t="s">
        <v>3859</v>
      </c>
      <c r="BV16">
        <v>206</v>
      </c>
      <c r="BW16">
        <v>220</v>
      </c>
      <c r="BX16">
        <v>119</v>
      </c>
      <c r="BY16">
        <v>160</v>
      </c>
      <c r="CD16">
        <v>12</v>
      </c>
      <c r="CF16">
        <v>152</v>
      </c>
      <c r="CI16" t="s">
        <v>3859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3880</v>
      </c>
      <c r="T17">
        <v>12</v>
      </c>
      <c r="U17" t="str">
        <f>dbRankPerTitle</f>
        <v>순위와 백분율</v>
      </c>
      <c r="V17">
        <v>12</v>
      </c>
      <c r="W17" t="str">
        <f>dbRankPerTitle</f>
        <v>순위와 백분율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3873</v>
      </c>
      <c r="AP17">
        <v>12</v>
      </c>
      <c r="AQ17">
        <v>24</v>
      </c>
      <c r="AR17">
        <v>142</v>
      </c>
      <c r="AU17" t="s">
        <v>3873</v>
      </c>
      <c r="BF17">
        <v>12</v>
      </c>
      <c r="BH17">
        <v>160</v>
      </c>
      <c r="BK17" t="s">
        <v>3864</v>
      </c>
      <c r="BN17">
        <v>12</v>
      </c>
      <c r="BP17">
        <v>167</v>
      </c>
      <c r="BS17" t="s">
        <v>3864</v>
      </c>
      <c r="BV17">
        <v>205</v>
      </c>
      <c r="BW17">
        <v>17</v>
      </c>
      <c r="BX17">
        <v>139</v>
      </c>
      <c r="CA17" t="s">
        <v>3864</v>
      </c>
      <c r="CD17">
        <v>12</v>
      </c>
      <c r="CF17">
        <v>172</v>
      </c>
      <c r="CI17" t="s">
        <v>3864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3846</v>
      </c>
      <c r="CT17">
        <v>5</v>
      </c>
    </row>
    <row r="18" spans="1:104" x14ac:dyDescent="0.25">
      <c r="A18" t="s">
        <v>531</v>
      </c>
      <c r="B18" t="s">
        <v>3881</v>
      </c>
      <c r="T18">
        <v>13</v>
      </c>
      <c r="U18" t="str">
        <f>dbRegressionTitle</f>
        <v>회귀 분석</v>
      </c>
      <c r="V18">
        <v>13</v>
      </c>
      <c r="W18" t="str">
        <f>dbRegressionTitle</f>
        <v>회귀 분석</v>
      </c>
      <c r="X18" t="s">
        <v>448</v>
      </c>
      <c r="Y18" s="1" t="s">
        <v>657</v>
      </c>
      <c r="AH18">
        <v>12</v>
      </c>
      <c r="AJ18">
        <v>168</v>
      </c>
      <c r="AM18" t="s">
        <v>3859</v>
      </c>
      <c r="AP18">
        <v>12</v>
      </c>
      <c r="AR18">
        <v>162</v>
      </c>
      <c r="AU18" t="s">
        <v>3859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123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3882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3883</v>
      </c>
      <c r="T19">
        <v>14</v>
      </c>
      <c r="U19" t="str">
        <f>dbSamplingTitle</f>
        <v>표본 추출</v>
      </c>
      <c r="V19">
        <v>14</v>
      </c>
      <c r="W19" t="str">
        <f>dbSamplingTitle</f>
        <v>표본 추출</v>
      </c>
      <c r="X19" t="s">
        <v>585</v>
      </c>
      <c r="Y19" s="1" t="s">
        <v>662</v>
      </c>
      <c r="AH19">
        <v>12</v>
      </c>
      <c r="AJ19">
        <v>189</v>
      </c>
      <c r="AM19" t="s">
        <v>3864</v>
      </c>
      <c r="AP19">
        <v>12</v>
      </c>
      <c r="AR19">
        <v>182</v>
      </c>
      <c r="AU19" t="s">
        <v>3864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147</v>
      </c>
      <c r="BQ19">
        <v>160</v>
      </c>
      <c r="BV19">
        <v>13</v>
      </c>
      <c r="BW19">
        <v>220</v>
      </c>
      <c r="BX19">
        <v>161</v>
      </c>
      <c r="CA19" t="s">
        <v>3884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3873</v>
      </c>
      <c r="CT19">
        <v>5</v>
      </c>
    </row>
    <row r="20" spans="1:104" x14ac:dyDescent="0.25">
      <c r="A20" t="s">
        <v>343</v>
      </c>
      <c r="B20" t="s">
        <v>3833</v>
      </c>
      <c r="T20">
        <v>15</v>
      </c>
      <c r="U20" t="str">
        <f>dbTTest1Title</f>
        <v>t-검정: 쌍체비교</v>
      </c>
      <c r="V20">
        <v>15</v>
      </c>
      <c r="W20" t="str">
        <f>dbTTest1Title</f>
        <v>t-검정: 쌍체비교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58</v>
      </c>
      <c r="BI20">
        <v>90</v>
      </c>
      <c r="BN20">
        <v>13</v>
      </c>
      <c r="BO20">
        <v>18</v>
      </c>
      <c r="BP20">
        <v>189</v>
      </c>
      <c r="BS20" t="s">
        <v>3885</v>
      </c>
      <c r="BT20" t="b">
        <v>0</v>
      </c>
      <c r="BV20">
        <v>24</v>
      </c>
      <c r="BW20">
        <v>407</v>
      </c>
      <c r="BX20">
        <v>58</v>
      </c>
      <c r="BY20">
        <v>90</v>
      </c>
      <c r="CD20">
        <v>24</v>
      </c>
      <c r="CE20">
        <v>407</v>
      </c>
      <c r="CF20">
        <v>58</v>
      </c>
      <c r="CG20">
        <v>90</v>
      </c>
      <c r="CL20">
        <v>12</v>
      </c>
      <c r="CN20">
        <v>210</v>
      </c>
      <c r="CQ20" t="s">
        <v>3859</v>
      </c>
      <c r="CT20">
        <v>5</v>
      </c>
    </row>
    <row r="21" spans="1:104" x14ac:dyDescent="0.25">
      <c r="A21" t="s">
        <v>346</v>
      </c>
      <c r="B21" t="s">
        <v>3886</v>
      </c>
      <c r="T21">
        <v>16</v>
      </c>
      <c r="U21" t="str">
        <f>dbTTest2Title</f>
        <v>t-검정: 등분산 가정 두집단</v>
      </c>
      <c r="V21">
        <v>16</v>
      </c>
      <c r="W21" t="str">
        <f>dbTTest2Title</f>
        <v>t-검정: 등분산 가정 두집단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3887</v>
      </c>
      <c r="BT21" t="b">
        <v>0</v>
      </c>
      <c r="CL21">
        <v>12</v>
      </c>
      <c r="CN21">
        <v>230</v>
      </c>
      <c r="CQ21" t="s">
        <v>3864</v>
      </c>
      <c r="CT21">
        <v>5</v>
      </c>
    </row>
    <row r="22" spans="1:104" x14ac:dyDescent="0.25">
      <c r="A22" t="s">
        <v>440</v>
      </c>
      <c r="B22" t="s">
        <v>3834</v>
      </c>
      <c r="T22">
        <v>17</v>
      </c>
      <c r="U22" t="str">
        <f>dbTTest3Title</f>
        <v>t-검정: 이분산 가정 두집단</v>
      </c>
      <c r="V22">
        <v>17</v>
      </c>
      <c r="W22" t="str">
        <f>dbTTest3Title</f>
        <v>t-검정: 이분산 가정 두집단</v>
      </c>
      <c r="X22" t="s">
        <v>441</v>
      </c>
      <c r="Y22" s="1" t="s">
        <v>673</v>
      </c>
      <c r="AH22">
        <v>24</v>
      </c>
      <c r="AI22">
        <v>412</v>
      </c>
      <c r="AJ22">
        <v>58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3888</v>
      </c>
      <c r="BF22" t="s">
        <v>483</v>
      </c>
      <c r="BN22">
        <v>208</v>
      </c>
      <c r="BO22">
        <v>260</v>
      </c>
      <c r="BP22">
        <v>209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164</v>
      </c>
      <c r="CV22">
        <v>114</v>
      </c>
      <c r="CY22" t="s">
        <v>3889</v>
      </c>
    </row>
    <row r="23" spans="1:104" x14ac:dyDescent="0.25">
      <c r="A23" t="s">
        <v>443</v>
      </c>
      <c r="B23" t="s">
        <v>3890</v>
      </c>
      <c r="T23">
        <v>18</v>
      </c>
      <c r="U23" t="str">
        <f>dbZTestTitle</f>
        <v>z-검정: 평균에 대한 두집단</v>
      </c>
      <c r="V23">
        <v>18</v>
      </c>
      <c r="W23" t="str">
        <f>dbZTestTitle</f>
        <v>z-검정: 평균에 대한 두집단</v>
      </c>
      <c r="X23" t="s">
        <v>357</v>
      </c>
      <c r="Y23" s="1" t="s">
        <v>674</v>
      </c>
      <c r="AP23">
        <v>13</v>
      </c>
      <c r="AR23">
        <v>216</v>
      </c>
      <c r="AU23" t="s">
        <v>3891</v>
      </c>
      <c r="AV23" t="b">
        <v>0</v>
      </c>
      <c r="BF23" s="1" t="s">
        <v>666</v>
      </c>
      <c r="BI23">
        <v>523</v>
      </c>
      <c r="BJ23">
        <v>191</v>
      </c>
      <c r="BK23" t="s">
        <v>3892</v>
      </c>
      <c r="BL23">
        <v>5</v>
      </c>
      <c r="BN23">
        <v>5</v>
      </c>
      <c r="BO23">
        <v>320</v>
      </c>
      <c r="BP23">
        <v>211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229</v>
      </c>
      <c r="CV23">
        <v>112</v>
      </c>
      <c r="CW23">
        <v>60</v>
      </c>
    </row>
    <row r="24" spans="1:104" x14ac:dyDescent="0.25">
      <c r="A24" t="s">
        <v>360</v>
      </c>
      <c r="B24" t="s">
        <v>3893</v>
      </c>
      <c r="X24" t="s">
        <v>551</v>
      </c>
      <c r="AP24">
        <v>13</v>
      </c>
      <c r="AR24">
        <v>231</v>
      </c>
      <c r="AU24" t="s">
        <v>3894</v>
      </c>
      <c r="AV24" t="b">
        <v>0</v>
      </c>
      <c r="BF24">
        <v>1</v>
      </c>
      <c r="BG24">
        <v>407</v>
      </c>
      <c r="BH24">
        <v>6</v>
      </c>
      <c r="BI24">
        <v>90</v>
      </c>
      <c r="BK24" t="s">
        <v>3842</v>
      </c>
      <c r="BN24">
        <v>113</v>
      </c>
      <c r="BO24">
        <v>18</v>
      </c>
      <c r="BP24">
        <v>228</v>
      </c>
      <c r="BS24" t="s">
        <v>3895</v>
      </c>
      <c r="BT24" t="b">
        <v>0</v>
      </c>
      <c r="CD24" t="s">
        <v>344</v>
      </c>
      <c r="CL24">
        <v>24</v>
      </c>
      <c r="CM24">
        <v>407</v>
      </c>
      <c r="CN24">
        <v>58</v>
      </c>
      <c r="CO24">
        <v>90</v>
      </c>
      <c r="CT24">
        <v>5</v>
      </c>
      <c r="CU24">
        <v>17</v>
      </c>
      <c r="CV24">
        <v>187</v>
      </c>
      <c r="CY24" t="s">
        <v>3896</v>
      </c>
    </row>
    <row r="25" spans="1:104" x14ac:dyDescent="0.25">
      <c r="A25" t="s">
        <v>552</v>
      </c>
      <c r="B25" t="s">
        <v>3897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3898</v>
      </c>
      <c r="AV25" t="b">
        <v>0</v>
      </c>
      <c r="BF25">
        <v>2</v>
      </c>
      <c r="BG25">
        <v>407</v>
      </c>
      <c r="BH25">
        <v>32</v>
      </c>
      <c r="BI25">
        <v>90</v>
      </c>
      <c r="BK25" t="s">
        <v>3843</v>
      </c>
      <c r="BN25">
        <v>207</v>
      </c>
      <c r="BO25">
        <v>215</v>
      </c>
      <c r="BP25">
        <v>228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3899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3900</v>
      </c>
      <c r="X26" t="s">
        <v>376</v>
      </c>
      <c r="AH26" s="1" t="s">
        <v>664</v>
      </c>
      <c r="AK26">
        <v>509</v>
      </c>
      <c r="AL26">
        <v>187</v>
      </c>
      <c r="AM26" t="s">
        <v>3890</v>
      </c>
      <c r="AN26">
        <v>5</v>
      </c>
      <c r="AP26">
        <v>13</v>
      </c>
      <c r="AR26">
        <v>231</v>
      </c>
      <c r="AU26" t="s">
        <v>3901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3845</v>
      </c>
      <c r="BN26">
        <v>113</v>
      </c>
      <c r="BO26">
        <v>18</v>
      </c>
      <c r="BP26">
        <v>247</v>
      </c>
      <c r="BS26" t="s">
        <v>3902</v>
      </c>
      <c r="BT26" t="b">
        <v>0</v>
      </c>
      <c r="CD26">
        <v>1</v>
      </c>
      <c r="CE26">
        <v>440</v>
      </c>
      <c r="CF26">
        <v>6</v>
      </c>
      <c r="CG26">
        <v>90</v>
      </c>
      <c r="CI26" t="s">
        <v>3842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3846</v>
      </c>
    </row>
    <row r="27" spans="1:104" x14ac:dyDescent="0.25">
      <c r="A27" t="s">
        <v>377</v>
      </c>
      <c r="B27" t="s">
        <v>3903</v>
      </c>
      <c r="X27" t="s">
        <v>379</v>
      </c>
      <c r="AH27">
        <v>1</v>
      </c>
      <c r="AI27">
        <v>407</v>
      </c>
      <c r="AJ27">
        <v>6</v>
      </c>
      <c r="AK27">
        <v>90</v>
      </c>
      <c r="AM27" t="s">
        <v>3842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3904</v>
      </c>
      <c r="BF27">
        <v>5</v>
      </c>
      <c r="BG27">
        <v>18</v>
      </c>
      <c r="BH27">
        <v>19</v>
      </c>
      <c r="BK27" t="s">
        <v>3848</v>
      </c>
      <c r="BN27">
        <v>207</v>
      </c>
      <c r="BO27">
        <v>215</v>
      </c>
      <c r="BP27">
        <v>247</v>
      </c>
      <c r="BQ27">
        <v>100</v>
      </c>
      <c r="BT27">
        <v>1</v>
      </c>
      <c r="CD27">
        <v>2</v>
      </c>
      <c r="CE27">
        <v>440</v>
      </c>
      <c r="CF27">
        <v>32</v>
      </c>
      <c r="CG27">
        <v>90</v>
      </c>
      <c r="CI27" t="s">
        <v>3843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3905</v>
      </c>
      <c r="X28" t="s">
        <v>382</v>
      </c>
      <c r="AH28">
        <v>2</v>
      </c>
      <c r="AI28">
        <v>407</v>
      </c>
      <c r="AJ28">
        <v>32</v>
      </c>
      <c r="AK28">
        <v>90</v>
      </c>
      <c r="AM28" t="s">
        <v>3843</v>
      </c>
      <c r="AP28">
        <v>13</v>
      </c>
      <c r="AR28">
        <v>270</v>
      </c>
      <c r="AU28" t="s">
        <v>3906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58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3845</v>
      </c>
      <c r="CT28">
        <v>12</v>
      </c>
      <c r="CU28">
        <v>17</v>
      </c>
      <c r="CV28">
        <v>225</v>
      </c>
      <c r="CY28" t="s">
        <v>3873</v>
      </c>
    </row>
    <row r="29" spans="1:104" x14ac:dyDescent="0.25">
      <c r="A29" t="s">
        <v>383</v>
      </c>
      <c r="B29" t="s">
        <v>3907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3845</v>
      </c>
      <c r="AP29">
        <v>24</v>
      </c>
      <c r="AQ29">
        <v>443</v>
      </c>
      <c r="AR29">
        <v>58</v>
      </c>
      <c r="AS29">
        <v>90</v>
      </c>
      <c r="BF29">
        <v>5</v>
      </c>
      <c r="BG29">
        <v>18</v>
      </c>
      <c r="BH29">
        <v>44</v>
      </c>
      <c r="BK29" t="s">
        <v>3853</v>
      </c>
      <c r="CD29">
        <v>5</v>
      </c>
      <c r="CE29">
        <v>17</v>
      </c>
      <c r="CF29">
        <v>20</v>
      </c>
      <c r="CI29" t="s">
        <v>3850</v>
      </c>
      <c r="CT29">
        <v>12</v>
      </c>
      <c r="CV29">
        <v>245</v>
      </c>
      <c r="CY29" t="s">
        <v>3859</v>
      </c>
    </row>
    <row r="30" spans="1:104" x14ac:dyDescent="0.25">
      <c r="A30" t="s">
        <v>600</v>
      </c>
      <c r="B30" t="s">
        <v>3908</v>
      </c>
      <c r="X30" t="s">
        <v>332</v>
      </c>
      <c r="AH30">
        <v>5</v>
      </c>
      <c r="AI30">
        <v>20</v>
      </c>
      <c r="AJ30">
        <v>19</v>
      </c>
      <c r="AM30" t="s">
        <v>3848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3864</v>
      </c>
    </row>
    <row r="31" spans="1:104" x14ac:dyDescent="0.25">
      <c r="A31" t="s">
        <v>602</v>
      </c>
      <c r="B31" t="s">
        <v>3886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3863</v>
      </c>
      <c r="CD31">
        <v>5</v>
      </c>
      <c r="CE31">
        <v>17</v>
      </c>
      <c r="CF31">
        <v>42</v>
      </c>
      <c r="CI31" t="s">
        <v>3857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3909</v>
      </c>
      <c r="AH32">
        <v>5</v>
      </c>
      <c r="AI32">
        <v>20</v>
      </c>
      <c r="AJ32">
        <v>45</v>
      </c>
      <c r="AM32" t="s">
        <v>3910</v>
      </c>
      <c r="BF32">
        <v>12</v>
      </c>
      <c r="BK32" t="s">
        <v>3866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3911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3865</v>
      </c>
      <c r="BL33" t="b">
        <v>0</v>
      </c>
      <c r="CD33">
        <v>5</v>
      </c>
      <c r="CE33">
        <v>17</v>
      </c>
      <c r="CF33">
        <v>70</v>
      </c>
      <c r="CI33" t="s">
        <v>3912</v>
      </c>
      <c r="CT33">
        <v>24</v>
      </c>
      <c r="CU33">
        <v>410</v>
      </c>
      <c r="CV33">
        <v>58</v>
      </c>
      <c r="CW33">
        <v>90</v>
      </c>
    </row>
    <row r="34" spans="1:104" x14ac:dyDescent="0.25">
      <c r="A34" t="s">
        <v>309</v>
      </c>
      <c r="B34" t="s">
        <v>3913</v>
      </c>
      <c r="AH34">
        <v>5</v>
      </c>
      <c r="AI34">
        <v>20</v>
      </c>
      <c r="AJ34">
        <v>68</v>
      </c>
      <c r="AM34" t="s">
        <v>3868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3846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3914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3858</v>
      </c>
      <c r="CJ35" t="b">
        <v>0</v>
      </c>
      <c r="CT35" t="s">
        <v>551</v>
      </c>
    </row>
    <row r="36" spans="1:104" x14ac:dyDescent="0.25">
      <c r="A36" t="s">
        <v>471</v>
      </c>
      <c r="B36" t="s">
        <v>3915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3846</v>
      </c>
      <c r="BF36">
        <v>12</v>
      </c>
      <c r="BG36">
        <v>18</v>
      </c>
      <c r="BH36">
        <v>120</v>
      </c>
      <c r="BK36" t="s">
        <v>3873</v>
      </c>
      <c r="CD36">
        <v>5</v>
      </c>
      <c r="CE36">
        <v>17</v>
      </c>
      <c r="CF36">
        <v>112</v>
      </c>
      <c r="CI36" t="s">
        <v>3868</v>
      </c>
      <c r="CT36">
        <v>5</v>
      </c>
      <c r="CZ36" t="s">
        <v>551</v>
      </c>
    </row>
    <row r="37" spans="1:104" x14ac:dyDescent="0.25">
      <c r="A37" t="s">
        <v>473</v>
      </c>
      <c r="B37" t="s">
        <v>3916</v>
      </c>
      <c r="AH37">
        <v>111</v>
      </c>
      <c r="AN37">
        <v>2</v>
      </c>
      <c r="BF37">
        <v>12</v>
      </c>
      <c r="BH37">
        <v>140</v>
      </c>
      <c r="BK37" t="s">
        <v>3859</v>
      </c>
      <c r="CD37">
        <v>8</v>
      </c>
      <c r="CE37">
        <v>130</v>
      </c>
      <c r="CF37">
        <v>110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3917</v>
      </c>
      <c r="AH38">
        <v>12</v>
      </c>
      <c r="AI38">
        <v>20</v>
      </c>
      <c r="AJ38">
        <v>115</v>
      </c>
      <c r="AM38" t="s">
        <v>3873</v>
      </c>
      <c r="BF38">
        <v>12</v>
      </c>
      <c r="BH38">
        <v>160</v>
      </c>
      <c r="BK38" t="s">
        <v>3864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3846</v>
      </c>
      <c r="CT38">
        <v>5</v>
      </c>
    </row>
    <row r="39" spans="1:104" x14ac:dyDescent="0.25">
      <c r="A39" t="s">
        <v>488</v>
      </c>
      <c r="B39" t="s">
        <v>3918</v>
      </c>
      <c r="AH39">
        <v>12</v>
      </c>
      <c r="AJ39">
        <v>135</v>
      </c>
      <c r="AM39" t="s">
        <v>3859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3919</v>
      </c>
      <c r="AH40">
        <v>12</v>
      </c>
      <c r="AJ40">
        <v>155</v>
      </c>
      <c r="AM40" t="s">
        <v>3864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3873</v>
      </c>
      <c r="CT40">
        <v>5</v>
      </c>
    </row>
    <row r="41" spans="1:104" x14ac:dyDescent="0.25">
      <c r="A41" t="s">
        <v>492</v>
      </c>
      <c r="B41" t="s">
        <v>3888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58</v>
      </c>
      <c r="BI41">
        <v>90</v>
      </c>
      <c r="CD41">
        <v>12</v>
      </c>
      <c r="CF41">
        <v>176</v>
      </c>
      <c r="CI41" t="s">
        <v>3859</v>
      </c>
      <c r="CT41">
        <v>5</v>
      </c>
    </row>
    <row r="42" spans="1:104" x14ac:dyDescent="0.25">
      <c r="A42" t="s">
        <v>494</v>
      </c>
      <c r="B42" t="s">
        <v>3920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3864</v>
      </c>
      <c r="CT42">
        <v>5</v>
      </c>
    </row>
    <row r="43" spans="1:104" x14ac:dyDescent="0.25">
      <c r="A43" t="s">
        <v>496</v>
      </c>
      <c r="B43" t="s">
        <v>497</v>
      </c>
      <c r="AH43">
        <v>24</v>
      </c>
      <c r="AI43">
        <v>407</v>
      </c>
      <c r="AJ43">
        <v>58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3921</v>
      </c>
      <c r="BF44" s="1" t="s">
        <v>670</v>
      </c>
      <c r="BI44">
        <v>523</v>
      </c>
      <c r="BJ44">
        <v>191</v>
      </c>
      <c r="BK44" t="s">
        <v>3922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3923</v>
      </c>
    </row>
    <row r="45" spans="1:104" x14ac:dyDescent="0.25">
      <c r="A45" t="s">
        <v>422</v>
      </c>
      <c r="B45" t="s">
        <v>3888</v>
      </c>
      <c r="BF45">
        <v>1</v>
      </c>
      <c r="BG45">
        <v>407</v>
      </c>
      <c r="BH45">
        <v>6</v>
      </c>
      <c r="BI45">
        <v>90</v>
      </c>
      <c r="BK45" t="s">
        <v>3842</v>
      </c>
      <c r="CD45">
        <v>24</v>
      </c>
      <c r="CE45">
        <v>440</v>
      </c>
      <c r="CF45">
        <v>58</v>
      </c>
      <c r="CG45">
        <v>90</v>
      </c>
      <c r="CT45">
        <v>8</v>
      </c>
      <c r="CU45">
        <v>90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3920</v>
      </c>
      <c r="BF46">
        <v>2</v>
      </c>
      <c r="BG46">
        <v>407</v>
      </c>
      <c r="BH46">
        <v>32</v>
      </c>
      <c r="BI46">
        <v>90</v>
      </c>
      <c r="BK46" t="s">
        <v>3843</v>
      </c>
      <c r="CT46">
        <v>5</v>
      </c>
      <c r="CU46">
        <v>164</v>
      </c>
      <c r="CV46">
        <v>114</v>
      </c>
      <c r="CY46" t="s">
        <v>3889</v>
      </c>
    </row>
    <row r="47" spans="1:104" x14ac:dyDescent="0.25">
      <c r="A47" t="s">
        <v>427</v>
      </c>
      <c r="B47" t="s">
        <v>3924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3845</v>
      </c>
      <c r="CT47">
        <v>8</v>
      </c>
      <c r="CU47">
        <v>229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3888</v>
      </c>
      <c r="AH48" s="1" t="s">
        <v>665</v>
      </c>
      <c r="AK48">
        <v>523</v>
      </c>
      <c r="AL48">
        <v>185</v>
      </c>
      <c r="AM48" t="s">
        <v>3893</v>
      </c>
      <c r="AN48">
        <v>5</v>
      </c>
      <c r="BF48">
        <v>5</v>
      </c>
      <c r="BG48">
        <v>18</v>
      </c>
      <c r="BH48">
        <v>19</v>
      </c>
      <c r="BK48" t="s">
        <v>3848</v>
      </c>
    </row>
    <row r="49" spans="1:104" x14ac:dyDescent="0.25">
      <c r="A49" t="s">
        <v>431</v>
      </c>
      <c r="B49" t="s">
        <v>3837</v>
      </c>
      <c r="AH49">
        <v>1</v>
      </c>
      <c r="AI49">
        <v>407</v>
      </c>
      <c r="AJ49">
        <v>6</v>
      </c>
      <c r="AK49">
        <v>90</v>
      </c>
      <c r="AM49" t="s">
        <v>3842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3907</v>
      </c>
      <c r="AH50">
        <v>2</v>
      </c>
      <c r="AI50">
        <v>407</v>
      </c>
      <c r="AJ50">
        <v>32</v>
      </c>
      <c r="AK50">
        <v>90</v>
      </c>
      <c r="AM50" t="s">
        <v>3843</v>
      </c>
      <c r="BF50">
        <v>5</v>
      </c>
      <c r="BG50">
        <v>18</v>
      </c>
      <c r="BH50">
        <v>44</v>
      </c>
      <c r="BK50" t="s">
        <v>3853</v>
      </c>
      <c r="CD50" s="1" t="s">
        <v>672</v>
      </c>
      <c r="CG50">
        <v>550</v>
      </c>
      <c r="CH50">
        <v>227</v>
      </c>
      <c r="CI50" t="s">
        <v>3925</v>
      </c>
      <c r="CJ50">
        <v>5</v>
      </c>
      <c r="CT50">
        <v>5</v>
      </c>
      <c r="CU50">
        <v>17</v>
      </c>
      <c r="CV50">
        <v>101</v>
      </c>
      <c r="CY50" t="s">
        <v>3926</v>
      </c>
      <c r="CZ50" t="s">
        <v>599</v>
      </c>
    </row>
    <row r="51" spans="1:104" x14ac:dyDescent="0.25">
      <c r="A51" t="s">
        <v>439</v>
      </c>
      <c r="B51" t="s">
        <v>3927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3845</v>
      </c>
      <c r="BF51">
        <v>111</v>
      </c>
      <c r="BL51">
        <v>1</v>
      </c>
      <c r="CD51">
        <v>1</v>
      </c>
      <c r="CE51">
        <v>440</v>
      </c>
      <c r="CF51">
        <v>6</v>
      </c>
      <c r="CG51">
        <v>90</v>
      </c>
      <c r="CI51" t="s">
        <v>3842</v>
      </c>
      <c r="CT51">
        <v>8</v>
      </c>
      <c r="CU51">
        <v>76</v>
      </c>
      <c r="CV51">
        <v>99</v>
      </c>
      <c r="CW51">
        <v>60</v>
      </c>
    </row>
    <row r="52" spans="1:104" x14ac:dyDescent="0.25">
      <c r="A52" t="s">
        <v>419</v>
      </c>
      <c r="B52" t="s">
        <v>3928</v>
      </c>
      <c r="AH52">
        <v>5</v>
      </c>
      <c r="AI52">
        <v>18</v>
      </c>
      <c r="AJ52">
        <v>19</v>
      </c>
      <c r="AM52" t="s">
        <v>3848</v>
      </c>
      <c r="BF52">
        <v>12</v>
      </c>
      <c r="BG52">
        <v>220</v>
      </c>
      <c r="BH52">
        <v>40</v>
      </c>
      <c r="BK52" t="s">
        <v>3863</v>
      </c>
      <c r="CD52">
        <v>2</v>
      </c>
      <c r="CE52">
        <v>440</v>
      </c>
      <c r="CF52">
        <v>32</v>
      </c>
      <c r="CG52">
        <v>90</v>
      </c>
      <c r="CI52" t="s">
        <v>3843</v>
      </c>
      <c r="CT52">
        <v>5</v>
      </c>
      <c r="CU52">
        <v>144</v>
      </c>
      <c r="CV52">
        <v>101</v>
      </c>
      <c r="CY52" t="s">
        <v>3929</v>
      </c>
    </row>
    <row r="53" spans="1:104" x14ac:dyDescent="0.25">
      <c r="A53" t="s">
        <v>338</v>
      </c>
      <c r="B53" t="s">
        <v>3930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3866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3845</v>
      </c>
      <c r="CT53">
        <v>8</v>
      </c>
      <c r="CU53">
        <v>203</v>
      </c>
      <c r="CV53">
        <v>99</v>
      </c>
      <c r="CW53">
        <v>60</v>
      </c>
    </row>
    <row r="54" spans="1:104" x14ac:dyDescent="0.25">
      <c r="A54" t="s">
        <v>340</v>
      </c>
      <c r="B54" t="s">
        <v>3931</v>
      </c>
      <c r="AH54">
        <v>13</v>
      </c>
      <c r="AI54">
        <v>24</v>
      </c>
      <c r="AJ54">
        <v>38</v>
      </c>
      <c r="AM54" t="s">
        <v>3858</v>
      </c>
      <c r="AN54" t="b">
        <v>0</v>
      </c>
      <c r="BF54">
        <v>13</v>
      </c>
      <c r="BG54">
        <v>18</v>
      </c>
      <c r="BH54">
        <v>75</v>
      </c>
      <c r="BK54" t="s">
        <v>3865</v>
      </c>
      <c r="BL54" t="b">
        <v>0</v>
      </c>
      <c r="CD54">
        <v>5</v>
      </c>
      <c r="CE54">
        <v>17</v>
      </c>
      <c r="CF54">
        <v>20</v>
      </c>
      <c r="CI54" t="s">
        <v>3850</v>
      </c>
      <c r="CT54">
        <v>5</v>
      </c>
      <c r="CU54">
        <v>271</v>
      </c>
      <c r="CV54">
        <v>101</v>
      </c>
      <c r="CY54" t="s">
        <v>3932</v>
      </c>
    </row>
    <row r="55" spans="1:104" x14ac:dyDescent="0.25">
      <c r="A55" t="s">
        <v>177</v>
      </c>
      <c r="B55" t="s">
        <v>3908</v>
      </c>
      <c r="AH55">
        <v>5</v>
      </c>
      <c r="AI55">
        <v>18</v>
      </c>
      <c r="AJ55">
        <v>61</v>
      </c>
      <c r="AM55" t="s">
        <v>3868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3846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330</v>
      </c>
      <c r="CV55">
        <v>99</v>
      </c>
      <c r="CW55">
        <v>60</v>
      </c>
    </row>
    <row r="56" spans="1:104" x14ac:dyDescent="0.25">
      <c r="A56" t="s">
        <v>179</v>
      </c>
      <c r="B56" t="s">
        <v>3933</v>
      </c>
      <c r="AH56">
        <v>8</v>
      </c>
      <c r="AI56">
        <v>222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42</v>
      </c>
      <c r="CI56" t="s">
        <v>3857</v>
      </c>
      <c r="CT56">
        <v>5</v>
      </c>
      <c r="CU56">
        <v>17</v>
      </c>
      <c r="CV56">
        <v>131</v>
      </c>
      <c r="CY56" t="s">
        <v>3934</v>
      </c>
    </row>
    <row r="57" spans="1:104" x14ac:dyDescent="0.25">
      <c r="A57" t="s">
        <v>557</v>
      </c>
      <c r="B57" t="s">
        <v>3935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3846</v>
      </c>
      <c r="BF57">
        <v>12</v>
      </c>
      <c r="BG57">
        <v>18</v>
      </c>
      <c r="BH57">
        <v>120</v>
      </c>
      <c r="BK57" t="s">
        <v>3873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3936</v>
      </c>
      <c r="AH58">
        <v>111</v>
      </c>
      <c r="AN58">
        <v>2</v>
      </c>
      <c r="BF58">
        <v>12</v>
      </c>
      <c r="BH58">
        <v>140</v>
      </c>
      <c r="BK58" t="s">
        <v>3859</v>
      </c>
      <c r="CD58">
        <v>5</v>
      </c>
      <c r="CE58">
        <v>17</v>
      </c>
      <c r="CF58">
        <v>70</v>
      </c>
      <c r="CI58" t="s">
        <v>3912</v>
      </c>
      <c r="CT58">
        <v>5</v>
      </c>
      <c r="CU58">
        <v>288</v>
      </c>
      <c r="CV58">
        <v>131</v>
      </c>
      <c r="CY58" t="s">
        <v>3937</v>
      </c>
    </row>
    <row r="59" spans="1:104" x14ac:dyDescent="0.25">
      <c r="A59" t="s">
        <v>188</v>
      </c>
      <c r="B59" t="s">
        <v>3938</v>
      </c>
      <c r="AH59">
        <v>12</v>
      </c>
      <c r="AI59">
        <v>20</v>
      </c>
      <c r="AJ59">
        <v>107</v>
      </c>
      <c r="AM59" t="s">
        <v>3873</v>
      </c>
      <c r="BF59">
        <v>12</v>
      </c>
      <c r="BH59">
        <v>160</v>
      </c>
      <c r="BK59" t="s">
        <v>3864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3939</v>
      </c>
    </row>
    <row r="60" spans="1:104" x14ac:dyDescent="0.25">
      <c r="A60" t="s">
        <v>564</v>
      </c>
      <c r="B60" t="s">
        <v>3940</v>
      </c>
      <c r="AH60">
        <v>12</v>
      </c>
      <c r="AJ60">
        <v>126</v>
      </c>
      <c r="AM60" t="s">
        <v>3859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3858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3941</v>
      </c>
      <c r="AH61">
        <v>12</v>
      </c>
      <c r="AJ61">
        <v>147</v>
      </c>
      <c r="AM61" t="s">
        <v>3864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3868</v>
      </c>
      <c r="CT61">
        <v>5</v>
      </c>
      <c r="CU61">
        <v>288</v>
      </c>
      <c r="CV61">
        <v>153</v>
      </c>
      <c r="CY61" t="s">
        <v>3937</v>
      </c>
    </row>
    <row r="62" spans="1:104" x14ac:dyDescent="0.25">
      <c r="A62" t="s">
        <v>568</v>
      </c>
      <c r="B62" t="s">
        <v>3942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58</v>
      </c>
      <c r="BI62">
        <v>90</v>
      </c>
      <c r="CD62">
        <v>8</v>
      </c>
      <c r="CE62">
        <v>128</v>
      </c>
      <c r="CF62">
        <v>111</v>
      </c>
      <c r="CG62">
        <v>63</v>
      </c>
      <c r="CJ62">
        <v>0.05</v>
      </c>
    </row>
    <row r="63" spans="1:104" x14ac:dyDescent="0.25">
      <c r="A63" t="s">
        <v>570</v>
      </c>
      <c r="B63" t="s">
        <v>3943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3846</v>
      </c>
      <c r="CT63" t="s">
        <v>554</v>
      </c>
    </row>
    <row r="64" spans="1:104" x14ac:dyDescent="0.25">
      <c r="A64" t="s">
        <v>572</v>
      </c>
      <c r="B64" t="s">
        <v>3836</v>
      </c>
      <c r="AH64">
        <v>24</v>
      </c>
      <c r="AI64">
        <v>407</v>
      </c>
      <c r="AJ64">
        <v>58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3892</v>
      </c>
      <c r="CD65">
        <v>12</v>
      </c>
      <c r="CE65">
        <v>17</v>
      </c>
      <c r="CF65">
        <v>156</v>
      </c>
      <c r="CI65" t="s">
        <v>3873</v>
      </c>
      <c r="CT65">
        <v>5</v>
      </c>
    </row>
    <row r="66" spans="1:104" x14ac:dyDescent="0.25">
      <c r="A66" t="s">
        <v>194</v>
      </c>
      <c r="B66" t="s">
        <v>3838</v>
      </c>
      <c r="BF66" t="s">
        <v>334</v>
      </c>
      <c r="CD66">
        <v>12</v>
      </c>
      <c r="CF66">
        <v>176</v>
      </c>
      <c r="CI66" t="s">
        <v>3859</v>
      </c>
      <c r="CT66">
        <v>5</v>
      </c>
    </row>
    <row r="67" spans="1:104" x14ac:dyDescent="0.25">
      <c r="A67" t="s">
        <v>195</v>
      </c>
      <c r="B67" t="s">
        <v>3944</v>
      </c>
      <c r="BF67" s="1" t="s">
        <v>667</v>
      </c>
      <c r="BI67">
        <v>523</v>
      </c>
      <c r="BJ67">
        <v>181</v>
      </c>
      <c r="BK67" t="s">
        <v>3945</v>
      </c>
      <c r="BL67">
        <v>5</v>
      </c>
      <c r="CD67">
        <v>12</v>
      </c>
      <c r="CF67">
        <v>196</v>
      </c>
      <c r="CI67" t="s">
        <v>3864</v>
      </c>
      <c r="CT67">
        <v>5</v>
      </c>
    </row>
    <row r="68" spans="1:104" x14ac:dyDescent="0.25">
      <c r="A68" t="s">
        <v>576</v>
      </c>
      <c r="B68" t="s">
        <v>3946</v>
      </c>
      <c r="AH68" t="s">
        <v>524</v>
      </c>
      <c r="BF68">
        <v>1</v>
      </c>
      <c r="BG68">
        <v>407</v>
      </c>
      <c r="BH68">
        <v>6</v>
      </c>
      <c r="BI68">
        <v>90</v>
      </c>
      <c r="BK68" t="s">
        <v>3842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3947</v>
      </c>
      <c r="AH69" s="1" t="s">
        <v>669</v>
      </c>
      <c r="AK69">
        <v>523</v>
      </c>
      <c r="AL69">
        <v>205</v>
      </c>
      <c r="AM69" t="s">
        <v>3944</v>
      </c>
      <c r="AN69">
        <v>5</v>
      </c>
      <c r="BF69">
        <v>2</v>
      </c>
      <c r="BG69">
        <v>407</v>
      </c>
      <c r="BH69">
        <v>32</v>
      </c>
      <c r="BI69">
        <v>90</v>
      </c>
      <c r="BK69" t="s">
        <v>3843</v>
      </c>
      <c r="CD69">
        <v>6</v>
      </c>
      <c r="CE69">
        <v>220</v>
      </c>
      <c r="CF69">
        <v>176</v>
      </c>
      <c r="CG69">
        <v>177</v>
      </c>
      <c r="CT69">
        <v>5</v>
      </c>
    </row>
    <row r="70" spans="1:104" x14ac:dyDescent="0.25">
      <c r="A70" t="s">
        <v>580</v>
      </c>
      <c r="B70" t="s">
        <v>3948</v>
      </c>
      <c r="AH70">
        <v>1</v>
      </c>
      <c r="AI70">
        <v>407</v>
      </c>
      <c r="AJ70">
        <v>6</v>
      </c>
      <c r="AK70">
        <v>90</v>
      </c>
      <c r="AM70" t="s">
        <v>3842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3845</v>
      </c>
      <c r="CD70">
        <v>24</v>
      </c>
      <c r="CE70">
        <v>440</v>
      </c>
      <c r="CF70">
        <v>58</v>
      </c>
      <c r="CG70">
        <v>90</v>
      </c>
      <c r="CT70">
        <v>5</v>
      </c>
    </row>
    <row r="71" spans="1:104" x14ac:dyDescent="0.25">
      <c r="A71" t="s">
        <v>582</v>
      </c>
      <c r="B71" t="s">
        <v>3949</v>
      </c>
      <c r="AH71">
        <v>2</v>
      </c>
      <c r="AI71">
        <v>407</v>
      </c>
      <c r="AJ71">
        <v>32</v>
      </c>
      <c r="AK71">
        <v>90</v>
      </c>
      <c r="AM71" t="s">
        <v>3843</v>
      </c>
      <c r="BF71">
        <v>5</v>
      </c>
      <c r="BG71">
        <v>18</v>
      </c>
      <c r="BH71">
        <v>21</v>
      </c>
      <c r="BK71" t="s">
        <v>3848</v>
      </c>
      <c r="CT71">
        <v>5</v>
      </c>
    </row>
    <row r="72" spans="1:104" x14ac:dyDescent="0.25">
      <c r="A72" t="s">
        <v>200</v>
      </c>
      <c r="B72" t="s">
        <v>3950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3845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3951</v>
      </c>
    </row>
    <row r="73" spans="1:104" x14ac:dyDescent="0.25">
      <c r="A73" t="s">
        <v>203</v>
      </c>
      <c r="B73" t="s">
        <v>3952</v>
      </c>
      <c r="AH73">
        <v>5</v>
      </c>
      <c r="AI73">
        <v>18</v>
      </c>
      <c r="AJ73">
        <v>19</v>
      </c>
      <c r="AM73" t="s">
        <v>3848</v>
      </c>
      <c r="BF73">
        <v>13</v>
      </c>
      <c r="BG73">
        <v>22</v>
      </c>
      <c r="BH73">
        <v>38</v>
      </c>
      <c r="BK73" t="s">
        <v>3865</v>
      </c>
      <c r="BL73" t="b">
        <v>0</v>
      </c>
      <c r="CT73">
        <v>8</v>
      </c>
      <c r="CU73">
        <v>147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3953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3846</v>
      </c>
      <c r="CD74" t="s">
        <v>441</v>
      </c>
      <c r="CT74">
        <v>5</v>
      </c>
      <c r="CU74">
        <v>24</v>
      </c>
      <c r="CV74">
        <v>134</v>
      </c>
      <c r="CY74" t="s">
        <v>3954</v>
      </c>
    </row>
    <row r="75" spans="1:104" x14ac:dyDescent="0.25">
      <c r="A75" t="s">
        <v>207</v>
      </c>
      <c r="B75" t="s">
        <v>3955</v>
      </c>
      <c r="AH75">
        <v>13</v>
      </c>
      <c r="AI75">
        <v>18</v>
      </c>
      <c r="AJ75">
        <v>41</v>
      </c>
      <c r="AM75" t="s">
        <v>3865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3956</v>
      </c>
      <c r="CJ75">
        <v>5</v>
      </c>
      <c r="CT75">
        <v>8</v>
      </c>
      <c r="CU75">
        <v>147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3957</v>
      </c>
      <c r="AH76">
        <v>5</v>
      </c>
      <c r="AI76">
        <v>18</v>
      </c>
      <c r="AJ76">
        <v>69</v>
      </c>
      <c r="AM76" t="s">
        <v>3958</v>
      </c>
      <c r="BF76">
        <v>12</v>
      </c>
      <c r="BG76">
        <v>18</v>
      </c>
      <c r="BH76">
        <v>86</v>
      </c>
      <c r="BK76" t="s">
        <v>3873</v>
      </c>
      <c r="CD76">
        <v>1</v>
      </c>
      <c r="CE76">
        <v>440</v>
      </c>
      <c r="CF76">
        <v>6</v>
      </c>
      <c r="CG76">
        <v>90</v>
      </c>
      <c r="CI76" t="s">
        <v>3842</v>
      </c>
    </row>
    <row r="77" spans="1:104" x14ac:dyDescent="0.25">
      <c r="A77" t="s">
        <v>501</v>
      </c>
      <c r="B77" t="s">
        <v>3945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105</v>
      </c>
      <c r="BK77" t="s">
        <v>3859</v>
      </c>
      <c r="CD77">
        <v>2</v>
      </c>
      <c r="CE77">
        <v>440</v>
      </c>
      <c r="CF77">
        <v>32</v>
      </c>
      <c r="CG77">
        <v>90</v>
      </c>
      <c r="CI77" t="s">
        <v>3843</v>
      </c>
      <c r="CT77" t="s">
        <v>376</v>
      </c>
    </row>
    <row r="78" spans="1:104" x14ac:dyDescent="0.25">
      <c r="A78" t="s">
        <v>219</v>
      </c>
      <c r="B78" t="s">
        <v>3839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3846</v>
      </c>
      <c r="BF78">
        <v>12</v>
      </c>
      <c r="BH78">
        <v>126</v>
      </c>
      <c r="BK78" t="s">
        <v>3864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3845</v>
      </c>
      <c r="CT78">
        <v>5</v>
      </c>
      <c r="CZ78" t="s">
        <v>376</v>
      </c>
    </row>
    <row r="79" spans="1:104" x14ac:dyDescent="0.25">
      <c r="A79" t="s">
        <v>220</v>
      </c>
      <c r="B79" t="s">
        <v>3959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20</v>
      </c>
      <c r="CI79" t="s">
        <v>3850</v>
      </c>
      <c r="CT79">
        <v>5</v>
      </c>
    </row>
    <row r="80" spans="1:104" x14ac:dyDescent="0.25">
      <c r="A80" t="s">
        <v>221</v>
      </c>
      <c r="B80" t="s">
        <v>3960</v>
      </c>
      <c r="AH80">
        <v>5</v>
      </c>
      <c r="AI80">
        <v>18</v>
      </c>
      <c r="AJ80">
        <v>112</v>
      </c>
      <c r="AM80" t="s">
        <v>3873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3961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22</v>
      </c>
      <c r="BH81">
        <v>148</v>
      </c>
      <c r="BK81" t="s">
        <v>3962</v>
      </c>
      <c r="BL81" t="b">
        <v>0</v>
      </c>
      <c r="CD81">
        <v>5</v>
      </c>
      <c r="CE81">
        <v>17</v>
      </c>
      <c r="CF81">
        <v>42</v>
      </c>
      <c r="CI81" t="s">
        <v>3857</v>
      </c>
      <c r="CT81">
        <v>5</v>
      </c>
    </row>
    <row r="82" spans="1:104" x14ac:dyDescent="0.25">
      <c r="A82" t="s">
        <v>606</v>
      </c>
      <c r="B82" t="s">
        <v>3903</v>
      </c>
      <c r="AH82">
        <v>205</v>
      </c>
      <c r="AI82">
        <v>18</v>
      </c>
      <c r="AJ82">
        <v>132</v>
      </c>
      <c r="AM82" t="s">
        <v>3859</v>
      </c>
      <c r="BF82">
        <v>24</v>
      </c>
      <c r="BG82">
        <v>407</v>
      </c>
      <c r="BH82">
        <v>58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3963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3912</v>
      </c>
      <c r="CT83">
        <v>5</v>
      </c>
    </row>
    <row r="84" spans="1:104" x14ac:dyDescent="0.25">
      <c r="A84" t="s">
        <v>303</v>
      </c>
      <c r="B84" t="s">
        <v>3964</v>
      </c>
      <c r="AH84">
        <v>205</v>
      </c>
      <c r="AI84">
        <v>18</v>
      </c>
      <c r="AJ84">
        <v>152</v>
      </c>
      <c r="AM84" t="s">
        <v>3864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3965</v>
      </c>
      <c r="AH85">
        <v>13</v>
      </c>
      <c r="AI85">
        <v>18</v>
      </c>
      <c r="AJ85">
        <v>175</v>
      </c>
      <c r="AM85" t="s">
        <v>3882</v>
      </c>
      <c r="AN85" t="b">
        <v>0</v>
      </c>
      <c r="CD85">
        <v>13</v>
      </c>
      <c r="CE85">
        <v>18</v>
      </c>
      <c r="CF85">
        <v>85</v>
      </c>
      <c r="CI85" t="s">
        <v>3858</v>
      </c>
      <c r="CJ85" t="b">
        <v>0</v>
      </c>
      <c r="CT85">
        <v>5</v>
      </c>
    </row>
    <row r="86" spans="1:104" x14ac:dyDescent="0.25">
      <c r="A86" t="s">
        <v>228</v>
      </c>
      <c r="B86" t="s">
        <v>3966</v>
      </c>
      <c r="AH86">
        <v>13</v>
      </c>
      <c r="AI86">
        <v>222</v>
      </c>
      <c r="AJ86">
        <v>175</v>
      </c>
      <c r="AM86" t="s">
        <v>3884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3868</v>
      </c>
      <c r="CT86">
        <v>5</v>
      </c>
    </row>
    <row r="87" spans="1:104" x14ac:dyDescent="0.25">
      <c r="A87" t="s">
        <v>231</v>
      </c>
      <c r="B87" t="s">
        <v>3967</v>
      </c>
      <c r="AH87">
        <v>24</v>
      </c>
      <c r="AI87">
        <v>407</v>
      </c>
      <c r="AJ87">
        <v>58</v>
      </c>
      <c r="AK87">
        <v>90</v>
      </c>
      <c r="BF87" s="1" t="s">
        <v>668</v>
      </c>
      <c r="BI87">
        <v>523</v>
      </c>
      <c r="BJ87">
        <v>241</v>
      </c>
      <c r="BK87" t="s">
        <v>3950</v>
      </c>
      <c r="BL87">
        <v>5</v>
      </c>
      <c r="CD87">
        <v>8</v>
      </c>
      <c r="CE87">
        <v>129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3968</v>
      </c>
      <c r="BF88">
        <v>1</v>
      </c>
      <c r="BG88">
        <v>407</v>
      </c>
      <c r="BH88">
        <v>6</v>
      </c>
      <c r="BI88">
        <v>90</v>
      </c>
      <c r="BK88" t="s">
        <v>3842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3846</v>
      </c>
      <c r="CT88">
        <v>5</v>
      </c>
      <c r="CU88">
        <v>26</v>
      </c>
      <c r="CV88">
        <v>108</v>
      </c>
      <c r="CY88" t="s">
        <v>3969</v>
      </c>
    </row>
    <row r="89" spans="1:104" x14ac:dyDescent="0.25">
      <c r="A89" t="s">
        <v>299</v>
      </c>
      <c r="B89" t="s">
        <v>3970</v>
      </c>
      <c r="BF89">
        <v>2</v>
      </c>
      <c r="BG89">
        <v>407</v>
      </c>
      <c r="BH89">
        <v>32</v>
      </c>
      <c r="BI89">
        <v>90</v>
      </c>
      <c r="BK89" t="s">
        <v>3843</v>
      </c>
      <c r="CD89">
        <v>111</v>
      </c>
      <c r="CJ89">
        <v>2</v>
      </c>
      <c r="CT89">
        <v>8</v>
      </c>
      <c r="CU89">
        <v>125</v>
      </c>
      <c r="CV89">
        <v>106</v>
      </c>
      <c r="CW89">
        <v>60</v>
      </c>
    </row>
    <row r="90" spans="1:104" x14ac:dyDescent="0.25">
      <c r="A90" t="s">
        <v>235</v>
      </c>
      <c r="B90" t="s">
        <v>3971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3845</v>
      </c>
      <c r="CD90">
        <v>12</v>
      </c>
      <c r="CE90">
        <v>17</v>
      </c>
      <c r="CF90">
        <v>152</v>
      </c>
      <c r="CI90" t="s">
        <v>3873</v>
      </c>
    </row>
    <row r="91" spans="1:104" x14ac:dyDescent="0.25">
      <c r="A91" t="s">
        <v>237</v>
      </c>
      <c r="B91" t="s">
        <v>3972</v>
      </c>
      <c r="BF91">
        <v>5</v>
      </c>
      <c r="BG91">
        <v>18</v>
      </c>
      <c r="BH91">
        <v>20</v>
      </c>
      <c r="BK91" t="s">
        <v>3848</v>
      </c>
      <c r="CD91">
        <v>12</v>
      </c>
      <c r="CF91">
        <v>172</v>
      </c>
      <c r="CI91" t="s">
        <v>3859</v>
      </c>
      <c r="CT91" t="s">
        <v>379</v>
      </c>
    </row>
    <row r="92" spans="1:104" x14ac:dyDescent="0.25">
      <c r="A92" t="s">
        <v>239</v>
      </c>
      <c r="B92" t="s">
        <v>3973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3864</v>
      </c>
      <c r="CT92">
        <v>5</v>
      </c>
      <c r="CZ92" t="s">
        <v>379</v>
      </c>
    </row>
    <row r="93" spans="1:104" x14ac:dyDescent="0.25">
      <c r="A93" t="s">
        <v>485</v>
      </c>
      <c r="B93" t="s">
        <v>3974</v>
      </c>
      <c r="BF93">
        <v>5</v>
      </c>
      <c r="BG93">
        <v>18</v>
      </c>
      <c r="BH93">
        <v>44</v>
      </c>
      <c r="BK93" t="s">
        <v>3975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3976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3977</v>
      </c>
      <c r="BF95">
        <v>13</v>
      </c>
      <c r="BG95">
        <v>22</v>
      </c>
      <c r="BH95">
        <v>63</v>
      </c>
      <c r="BK95" t="s">
        <v>3858</v>
      </c>
      <c r="BL95" t="b">
        <v>0</v>
      </c>
      <c r="CD95">
        <v>24</v>
      </c>
      <c r="CE95">
        <v>440</v>
      </c>
      <c r="CF95">
        <v>58</v>
      </c>
      <c r="CG95">
        <v>90</v>
      </c>
      <c r="CT95">
        <v>5</v>
      </c>
    </row>
    <row r="96" spans="1:104" x14ac:dyDescent="0.25">
      <c r="A96" t="s">
        <v>246</v>
      </c>
      <c r="B96" t="s">
        <v>3978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3846</v>
      </c>
      <c r="CT96">
        <v>5</v>
      </c>
    </row>
    <row r="97" spans="1:104" x14ac:dyDescent="0.25">
      <c r="A97" t="s">
        <v>248</v>
      </c>
      <c r="B97" t="s">
        <v>3979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3980</v>
      </c>
      <c r="BF98">
        <v>12</v>
      </c>
      <c r="BG98">
        <v>18</v>
      </c>
      <c r="BH98">
        <v>112</v>
      </c>
      <c r="BK98" t="s">
        <v>3873</v>
      </c>
      <c r="CT98">
        <v>5</v>
      </c>
    </row>
    <row r="99" spans="1:104" x14ac:dyDescent="0.25">
      <c r="A99" t="s">
        <v>252</v>
      </c>
      <c r="B99" t="s">
        <v>3981</v>
      </c>
      <c r="BF99">
        <v>12</v>
      </c>
      <c r="BH99">
        <v>132</v>
      </c>
      <c r="BK99" t="s">
        <v>3859</v>
      </c>
      <c r="CD99" t="s">
        <v>357</v>
      </c>
      <c r="CT99">
        <v>5</v>
      </c>
    </row>
    <row r="100" spans="1:104" x14ac:dyDescent="0.25">
      <c r="A100" t="s">
        <v>511</v>
      </c>
      <c r="B100" t="s">
        <v>3982</v>
      </c>
      <c r="BF100">
        <v>12</v>
      </c>
      <c r="BH100">
        <v>152</v>
      </c>
      <c r="BK100" t="s">
        <v>3864</v>
      </c>
      <c r="CD100" s="1" t="s">
        <v>674</v>
      </c>
      <c r="CG100">
        <v>577</v>
      </c>
      <c r="CH100">
        <v>281</v>
      </c>
      <c r="CI100" t="s">
        <v>3983</v>
      </c>
      <c r="CJ100">
        <v>5</v>
      </c>
      <c r="CT100">
        <v>5</v>
      </c>
      <c r="CU100">
        <v>23</v>
      </c>
      <c r="CV100">
        <v>131</v>
      </c>
      <c r="CY100" t="s">
        <v>3984</v>
      </c>
    </row>
    <row r="101" spans="1:104" x14ac:dyDescent="0.25">
      <c r="A101" t="s">
        <v>513</v>
      </c>
      <c r="B101" t="s">
        <v>3985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6</v>
      </c>
      <c r="CG101">
        <v>90</v>
      </c>
      <c r="CI101" t="s">
        <v>3842</v>
      </c>
      <c r="CT101">
        <v>7</v>
      </c>
      <c r="CU101">
        <v>146</v>
      </c>
      <c r="CV101">
        <v>128</v>
      </c>
      <c r="CW101">
        <v>60</v>
      </c>
    </row>
    <row r="102" spans="1:104" x14ac:dyDescent="0.25">
      <c r="A102" t="s">
        <v>515</v>
      </c>
      <c r="B102" t="s">
        <v>3922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32</v>
      </c>
      <c r="CG102">
        <v>90</v>
      </c>
      <c r="CI102" t="s">
        <v>3843</v>
      </c>
      <c r="CT102">
        <v>5</v>
      </c>
      <c r="CU102">
        <v>25</v>
      </c>
      <c r="CV102">
        <v>108</v>
      </c>
      <c r="CY102" t="s">
        <v>3969</v>
      </c>
    </row>
    <row r="103" spans="1:104" x14ac:dyDescent="0.25">
      <c r="A103" t="s">
        <v>516</v>
      </c>
      <c r="B103" t="s">
        <v>3986</v>
      </c>
      <c r="BF103">
        <v>13</v>
      </c>
      <c r="BG103">
        <v>22</v>
      </c>
      <c r="BH103">
        <v>174</v>
      </c>
      <c r="BK103" t="s">
        <v>3987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3845</v>
      </c>
      <c r="CT103">
        <v>8</v>
      </c>
      <c r="CU103">
        <v>146</v>
      </c>
      <c r="CV103">
        <v>105</v>
      </c>
      <c r="CW103">
        <v>60</v>
      </c>
    </row>
    <row r="104" spans="1:104" x14ac:dyDescent="0.25">
      <c r="A104" t="s">
        <v>519</v>
      </c>
      <c r="B104" t="s">
        <v>3988</v>
      </c>
      <c r="BF104">
        <v>13</v>
      </c>
      <c r="BK104" t="s">
        <v>3989</v>
      </c>
      <c r="BL104" t="b">
        <v>0</v>
      </c>
      <c r="CD104">
        <v>5</v>
      </c>
      <c r="CE104">
        <v>17</v>
      </c>
      <c r="CF104">
        <v>20</v>
      </c>
      <c r="CI104" t="s">
        <v>3850</v>
      </c>
    </row>
    <row r="105" spans="1:104" x14ac:dyDescent="0.25">
      <c r="A105" t="s">
        <v>534</v>
      </c>
      <c r="B105" t="s">
        <v>3990</v>
      </c>
      <c r="BF105">
        <v>13</v>
      </c>
      <c r="BK105" t="s">
        <v>3882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537</v>
      </c>
      <c r="BF106">
        <v>24</v>
      </c>
      <c r="BG106">
        <v>407</v>
      </c>
      <c r="BH106">
        <v>58</v>
      </c>
      <c r="BI106">
        <v>90</v>
      </c>
      <c r="CD106">
        <v>5</v>
      </c>
      <c r="CE106">
        <v>17</v>
      </c>
      <c r="CF106">
        <v>42</v>
      </c>
      <c r="CI106" t="s">
        <v>3857</v>
      </c>
      <c r="CT106">
        <v>5</v>
      </c>
      <c r="CZ106" t="s">
        <v>382</v>
      </c>
    </row>
    <row r="107" spans="1:104" x14ac:dyDescent="0.25">
      <c r="A107" t="s">
        <v>538</v>
      </c>
      <c r="B107" t="s">
        <v>3841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3991</v>
      </c>
      <c r="CD108">
        <v>5</v>
      </c>
      <c r="CE108">
        <v>17</v>
      </c>
      <c r="CF108">
        <v>68</v>
      </c>
      <c r="CI108" t="s">
        <v>3992</v>
      </c>
      <c r="CT108">
        <v>5</v>
      </c>
    </row>
    <row r="109" spans="1:104" x14ac:dyDescent="0.25">
      <c r="A109" t="s">
        <v>60</v>
      </c>
      <c r="B109" t="s">
        <v>3993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3994</v>
      </c>
      <c r="CD110">
        <v>5</v>
      </c>
      <c r="CE110">
        <v>20</v>
      </c>
      <c r="CF110">
        <v>96</v>
      </c>
      <c r="CI110" t="s">
        <v>3995</v>
      </c>
      <c r="CT110">
        <v>5</v>
      </c>
    </row>
    <row r="111" spans="1:104" x14ac:dyDescent="0.25">
      <c r="A111" t="s">
        <v>434</v>
      </c>
      <c r="B111" t="s">
        <v>3996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3997</v>
      </c>
      <c r="CD112">
        <v>5</v>
      </c>
      <c r="CE112">
        <v>17</v>
      </c>
      <c r="CF112">
        <v>120</v>
      </c>
      <c r="CI112" t="s">
        <v>3998</v>
      </c>
      <c r="CT112">
        <v>5</v>
      </c>
    </row>
    <row r="113" spans="1:104" x14ac:dyDescent="0.25">
      <c r="A113" t="s">
        <v>539</v>
      </c>
      <c r="B113" t="s">
        <v>3999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4000</v>
      </c>
      <c r="CD114">
        <v>13</v>
      </c>
      <c r="CE114">
        <v>17</v>
      </c>
      <c r="CF114">
        <v>140</v>
      </c>
      <c r="CI114" t="s">
        <v>3858</v>
      </c>
      <c r="CJ114" t="b">
        <v>0</v>
      </c>
      <c r="CT114">
        <v>5</v>
      </c>
    </row>
    <row r="115" spans="1:104" x14ac:dyDescent="0.25">
      <c r="A115" t="s">
        <v>543</v>
      </c>
      <c r="B115" t="s">
        <v>4001</v>
      </c>
      <c r="CD115">
        <v>5</v>
      </c>
      <c r="CE115">
        <v>17</v>
      </c>
      <c r="CF115">
        <v>167</v>
      </c>
      <c r="CI115" t="s">
        <v>3868</v>
      </c>
      <c r="CT115">
        <v>5</v>
      </c>
    </row>
    <row r="116" spans="1:104" x14ac:dyDescent="0.25">
      <c r="A116" t="s">
        <v>544</v>
      </c>
      <c r="B116" t="s">
        <v>4002</v>
      </c>
      <c r="CD116">
        <v>8</v>
      </c>
      <c r="CE116">
        <v>128</v>
      </c>
      <c r="CF116">
        <v>164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4003</v>
      </c>
    </row>
    <row r="117" spans="1:104" x14ac:dyDescent="0.25">
      <c r="A117" t="s">
        <v>547</v>
      </c>
      <c r="B117" t="s">
        <v>3903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3846</v>
      </c>
      <c r="CT117">
        <v>8</v>
      </c>
      <c r="CU117">
        <v>124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4004</v>
      </c>
      <c r="CD118">
        <v>111</v>
      </c>
      <c r="CJ118">
        <v>2</v>
      </c>
    </row>
    <row r="119" spans="1:104" x14ac:dyDescent="0.25">
      <c r="A119" t="s">
        <v>562</v>
      </c>
      <c r="B119" t="s">
        <v>4005</v>
      </c>
      <c r="CD119">
        <v>12</v>
      </c>
      <c r="CE119">
        <v>17</v>
      </c>
      <c r="CF119">
        <v>211</v>
      </c>
      <c r="CI119" t="s">
        <v>3873</v>
      </c>
      <c r="CT119" t="s">
        <v>332</v>
      </c>
    </row>
    <row r="120" spans="1:104" x14ac:dyDescent="0.25">
      <c r="A120" t="s">
        <v>366</v>
      </c>
      <c r="B120" t="s">
        <v>4006</v>
      </c>
      <c r="CD120">
        <v>12</v>
      </c>
      <c r="CF120">
        <v>231</v>
      </c>
      <c r="CI120" t="s">
        <v>3859</v>
      </c>
      <c r="CT120">
        <v>5</v>
      </c>
      <c r="CZ120" t="s">
        <v>332</v>
      </c>
    </row>
    <row r="121" spans="1:104" x14ac:dyDescent="0.25">
      <c r="A121" t="s">
        <v>368</v>
      </c>
      <c r="B121" t="s">
        <v>4007</v>
      </c>
      <c r="CD121">
        <v>12</v>
      </c>
      <c r="CF121">
        <v>251</v>
      </c>
      <c r="CI121" t="s">
        <v>3864</v>
      </c>
      <c r="CT121">
        <v>5</v>
      </c>
    </row>
    <row r="122" spans="1:104" x14ac:dyDescent="0.25">
      <c r="A122" t="s">
        <v>370</v>
      </c>
      <c r="B122" t="s">
        <v>4008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4009</v>
      </c>
      <c r="CD124">
        <v>24</v>
      </c>
      <c r="CE124">
        <v>474</v>
      </c>
      <c r="CF124">
        <v>58</v>
      </c>
      <c r="CG124">
        <v>90</v>
      </c>
      <c r="CT124">
        <v>5</v>
      </c>
    </row>
    <row r="125" spans="1:104" x14ac:dyDescent="0.25">
      <c r="A125" t="s">
        <v>296</v>
      </c>
      <c r="B125" t="s">
        <v>4010</v>
      </c>
      <c r="CT125">
        <v>5</v>
      </c>
    </row>
    <row r="126" spans="1:104" x14ac:dyDescent="0.25">
      <c r="A126" t="s">
        <v>590</v>
      </c>
      <c r="B126" t="s">
        <v>4011</v>
      </c>
      <c r="CT126">
        <v>5</v>
      </c>
    </row>
    <row r="127" spans="1:104" x14ac:dyDescent="0.25">
      <c r="A127" t="s">
        <v>592</v>
      </c>
      <c r="B127" t="s">
        <v>4012</v>
      </c>
      <c r="CT127">
        <v>5</v>
      </c>
    </row>
    <row r="128" spans="1:104" x14ac:dyDescent="0.25">
      <c r="A128" t="s">
        <v>594</v>
      </c>
      <c r="B128" t="s">
        <v>4013</v>
      </c>
      <c r="CT128">
        <v>5</v>
      </c>
    </row>
    <row r="129" spans="1:104" x14ac:dyDescent="0.25">
      <c r="A129" t="s">
        <v>596</v>
      </c>
      <c r="B129" t="s">
        <v>3888</v>
      </c>
      <c r="CT129">
        <v>5</v>
      </c>
    </row>
    <row r="130" spans="1:104" x14ac:dyDescent="0.25">
      <c r="A130" t="s">
        <v>277</v>
      </c>
      <c r="B130" t="s">
        <v>4014</v>
      </c>
      <c r="CT130">
        <v>5</v>
      </c>
      <c r="CU130">
        <v>23</v>
      </c>
      <c r="CV130">
        <v>107</v>
      </c>
      <c r="CY130" t="s">
        <v>4015</v>
      </c>
    </row>
    <row r="131" spans="1:104" x14ac:dyDescent="0.25">
      <c r="A131" t="s">
        <v>279</v>
      </c>
      <c r="B131" t="s">
        <v>4016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4017</v>
      </c>
    </row>
    <row r="133" spans="1:104" x14ac:dyDescent="0.25">
      <c r="A133" t="s">
        <v>283</v>
      </c>
      <c r="B133" t="s">
        <v>4018</v>
      </c>
    </row>
    <row r="134" spans="1:104" x14ac:dyDescent="0.25">
      <c r="A134" t="s">
        <v>285</v>
      </c>
      <c r="B134" t="s">
        <v>4019</v>
      </c>
      <c r="CT134" t="s">
        <v>287</v>
      </c>
    </row>
    <row r="135" spans="1:104" x14ac:dyDescent="0.25">
      <c r="A135" t="s">
        <v>288</v>
      </c>
      <c r="B135" t="s">
        <v>4020</v>
      </c>
      <c r="CT135" t="s">
        <v>507</v>
      </c>
    </row>
    <row r="136" spans="1:104" x14ac:dyDescent="0.25">
      <c r="A136" t="s">
        <v>290</v>
      </c>
      <c r="B136" t="s">
        <v>4021</v>
      </c>
      <c r="CT136" t="str">
        <f>mg01s.RandUniform</f>
        <v>일양 분포</v>
      </c>
      <c r="CU136" t="s">
        <v>551</v>
      </c>
    </row>
    <row r="137" spans="1:104" x14ac:dyDescent="0.25">
      <c r="A137" t="s">
        <v>292</v>
      </c>
      <c r="B137" t="s">
        <v>4022</v>
      </c>
      <c r="CT137" t="str">
        <f>mg01s.RandNormal</f>
        <v>정규 분포</v>
      </c>
      <c r="CU137" t="s">
        <v>554</v>
      </c>
    </row>
    <row r="138" spans="1:104" x14ac:dyDescent="0.25">
      <c r="A138" t="s">
        <v>609</v>
      </c>
      <c r="B138" t="s">
        <v>4023</v>
      </c>
      <c r="CT138" t="str">
        <f>mg01s.RandBernoulli</f>
        <v>베르누이 분포</v>
      </c>
      <c r="CU138" t="s">
        <v>376</v>
      </c>
    </row>
    <row r="139" spans="1:104" x14ac:dyDescent="0.25">
      <c r="A139" t="s">
        <v>611</v>
      </c>
      <c r="B139" t="s">
        <v>4024</v>
      </c>
      <c r="CT139" t="str">
        <f>mg01s.RandBinomial</f>
        <v>이항 분포</v>
      </c>
      <c r="CU139" t="s">
        <v>379</v>
      </c>
    </row>
    <row r="140" spans="1:104" x14ac:dyDescent="0.25">
      <c r="A140" t="s">
        <v>613</v>
      </c>
      <c r="B140" t="s">
        <v>4025</v>
      </c>
      <c r="CT140" t="str">
        <f>mg01s.RandPoisson</f>
        <v>포아송 분포</v>
      </c>
      <c r="CU140" t="s">
        <v>382</v>
      </c>
    </row>
    <row r="141" spans="1:104" x14ac:dyDescent="0.25">
      <c r="A141" t="s">
        <v>298</v>
      </c>
      <c r="B141" t="s">
        <v>4026</v>
      </c>
      <c r="CT141" t="str">
        <f>mg01s.RandPatterned</f>
        <v>패턴 분포</v>
      </c>
      <c r="CU141" t="s">
        <v>599</v>
      </c>
    </row>
    <row r="142" spans="1:104" x14ac:dyDescent="0.25">
      <c r="A142" t="s">
        <v>92</v>
      </c>
      <c r="B142" t="s">
        <v>4027</v>
      </c>
      <c r="CT142" t="str">
        <f>mg01s.RandDiscrete</f>
        <v>이산 분포</v>
      </c>
      <c r="CU142" t="s">
        <v>332</v>
      </c>
    </row>
    <row r="143" spans="1:104" x14ac:dyDescent="0.25">
      <c r="A143" t="s">
        <v>304</v>
      </c>
      <c r="B143" t="s">
        <v>4028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4029</v>
      </c>
    </row>
    <row r="147" spans="1:2" x14ac:dyDescent="0.25">
      <c r="A147" t="s">
        <v>313</v>
      </c>
      <c r="B147" t="s">
        <v>4030</v>
      </c>
    </row>
    <row r="148" spans="1:2" x14ac:dyDescent="0.25">
      <c r="A148" t="s">
        <v>102</v>
      </c>
      <c r="B148" t="s">
        <v>4031</v>
      </c>
    </row>
    <row r="149" spans="1:2" x14ac:dyDescent="0.25">
      <c r="A149" t="s">
        <v>319</v>
      </c>
      <c r="B149" t="s">
        <v>4032</v>
      </c>
    </row>
    <row r="150" spans="1:2" x14ac:dyDescent="0.25">
      <c r="A150" t="s">
        <v>105</v>
      </c>
      <c r="B150" t="s">
        <v>4033</v>
      </c>
    </row>
    <row r="151" spans="1:2" x14ac:dyDescent="0.25">
      <c r="A151" t="s">
        <v>323</v>
      </c>
      <c r="B151" t="s">
        <v>4034</v>
      </c>
    </row>
    <row r="152" spans="1:2" x14ac:dyDescent="0.25">
      <c r="A152" t="s">
        <v>108</v>
      </c>
      <c r="B152" t="s">
        <v>4035</v>
      </c>
    </row>
    <row r="153" spans="1:2" x14ac:dyDescent="0.25">
      <c r="A153" t="s">
        <v>110</v>
      </c>
      <c r="B153" t="s">
        <v>4036</v>
      </c>
    </row>
    <row r="154" spans="1:2" x14ac:dyDescent="0.25">
      <c r="A154" t="s">
        <v>112</v>
      </c>
      <c r="B154" t="s">
        <v>4037</v>
      </c>
    </row>
    <row r="155" spans="1:2" x14ac:dyDescent="0.25">
      <c r="A155" t="s">
        <v>336</v>
      </c>
      <c r="B155" t="s">
        <v>4038</v>
      </c>
    </row>
    <row r="156" spans="1:2" x14ac:dyDescent="0.25">
      <c r="A156" t="s">
        <v>120</v>
      </c>
      <c r="B156" t="s">
        <v>4039</v>
      </c>
    </row>
    <row r="157" spans="1:2" x14ac:dyDescent="0.25">
      <c r="A157" t="s">
        <v>349</v>
      </c>
      <c r="B157" t="s">
        <v>4040</v>
      </c>
    </row>
    <row r="158" spans="1:2" x14ac:dyDescent="0.25">
      <c r="A158" t="s">
        <v>350</v>
      </c>
      <c r="B158" t="s">
        <v>4041</v>
      </c>
    </row>
    <row r="159" spans="1:2" x14ac:dyDescent="0.25">
      <c r="A159" t="s">
        <v>438</v>
      </c>
      <c r="B159" t="s">
        <v>4042</v>
      </c>
    </row>
    <row r="160" spans="1:2" x14ac:dyDescent="0.25">
      <c r="A160" t="s">
        <v>353</v>
      </c>
      <c r="B160" t="s">
        <v>4043</v>
      </c>
    </row>
    <row r="161" spans="1:2" x14ac:dyDescent="0.25">
      <c r="A161" t="s">
        <v>355</v>
      </c>
      <c r="B161" t="s">
        <v>4044</v>
      </c>
    </row>
    <row r="162" spans="1:2" x14ac:dyDescent="0.25">
      <c r="A162" t="s">
        <v>129</v>
      </c>
      <c r="B162" t="s">
        <v>4045</v>
      </c>
    </row>
    <row r="163" spans="1:2" x14ac:dyDescent="0.25">
      <c r="A163" t="s">
        <v>363</v>
      </c>
      <c r="B163" t="s">
        <v>4046</v>
      </c>
    </row>
    <row r="164" spans="1:2" x14ac:dyDescent="0.25">
      <c r="A164" t="s">
        <v>365</v>
      </c>
      <c r="B164" t="s">
        <v>4047</v>
      </c>
    </row>
    <row r="165" spans="1:2" x14ac:dyDescent="0.25">
      <c r="A165" t="s">
        <v>374</v>
      </c>
      <c r="B165" t="s">
        <v>4048</v>
      </c>
    </row>
    <row r="166" spans="1:2" x14ac:dyDescent="0.25">
      <c r="A166" t="s">
        <v>135</v>
      </c>
      <c r="B166" t="s">
        <v>4049</v>
      </c>
    </row>
    <row r="167" spans="1:2" x14ac:dyDescent="0.25">
      <c r="A167" t="s">
        <v>137</v>
      </c>
      <c r="B167" t="s">
        <v>4050</v>
      </c>
    </row>
    <row r="168" spans="1:2" x14ac:dyDescent="0.25">
      <c r="A168" t="s">
        <v>139</v>
      </c>
      <c r="B168" t="s">
        <v>4051</v>
      </c>
    </row>
    <row r="169" spans="1:2" x14ac:dyDescent="0.25">
      <c r="A169" t="s">
        <v>384</v>
      </c>
      <c r="B169" t="s">
        <v>4052</v>
      </c>
    </row>
    <row r="170" spans="1:2" x14ac:dyDescent="0.25">
      <c r="A170" t="s">
        <v>462</v>
      </c>
      <c r="B170" t="s">
        <v>4053</v>
      </c>
    </row>
    <row r="171" spans="1:2" x14ac:dyDescent="0.25">
      <c r="A171" t="s">
        <v>464</v>
      </c>
      <c r="B171" t="s">
        <v>4054</v>
      </c>
    </row>
    <row r="172" spans="1:2" x14ac:dyDescent="0.25">
      <c r="A172" t="s">
        <v>388</v>
      </c>
      <c r="B172" t="s">
        <v>4055</v>
      </c>
    </row>
    <row r="173" spans="1:2" x14ac:dyDescent="0.25">
      <c r="A173" t="s">
        <v>147</v>
      </c>
      <c r="B173" t="s">
        <v>4056</v>
      </c>
    </row>
    <row r="174" spans="1:2" x14ac:dyDescent="0.25">
      <c r="A174" t="s">
        <v>385</v>
      </c>
      <c r="B174" t="s">
        <v>4057</v>
      </c>
    </row>
    <row r="175" spans="1:2" x14ac:dyDescent="0.25">
      <c r="A175" t="s">
        <v>151</v>
      </c>
      <c r="B175" t="s">
        <v>4058</v>
      </c>
    </row>
    <row r="176" spans="1:2" x14ac:dyDescent="0.25">
      <c r="A176" t="s">
        <v>406</v>
      </c>
      <c r="B176" t="s">
        <v>4059</v>
      </c>
    </row>
    <row r="177" spans="1:2" x14ac:dyDescent="0.25">
      <c r="A177" t="s">
        <v>408</v>
      </c>
      <c r="B177" t="s">
        <v>4060</v>
      </c>
    </row>
    <row r="178" spans="1:2" x14ac:dyDescent="0.25">
      <c r="A178" t="s">
        <v>503</v>
      </c>
      <c r="B178" t="s">
        <v>4061</v>
      </c>
    </row>
    <row r="179" spans="1:2" x14ac:dyDescent="0.25">
      <c r="A179" t="s">
        <v>410</v>
      </c>
      <c r="B179" t="s">
        <v>4062</v>
      </c>
    </row>
    <row r="180" spans="1:2" x14ac:dyDescent="0.25">
      <c r="A180" t="s">
        <v>412</v>
      </c>
      <c r="B180" t="s">
        <v>4063</v>
      </c>
    </row>
    <row r="181" spans="1:2" x14ac:dyDescent="0.25">
      <c r="A181" t="s">
        <v>161</v>
      </c>
      <c r="B181" t="s">
        <v>4064</v>
      </c>
    </row>
    <row r="182" spans="1:2" x14ac:dyDescent="0.25">
      <c r="A182" t="s">
        <v>415</v>
      </c>
      <c r="B182" t="s">
        <v>4065</v>
      </c>
    </row>
    <row r="183" spans="1:2" x14ac:dyDescent="0.25">
      <c r="A183" t="s">
        <v>173</v>
      </c>
      <c r="B183" t="s">
        <v>4066</v>
      </c>
    </row>
    <row r="184" spans="1:2" x14ac:dyDescent="0.25">
      <c r="A184" t="s">
        <v>167</v>
      </c>
      <c r="B184" t="s">
        <v>4067</v>
      </c>
    </row>
    <row r="185" spans="1:2" x14ac:dyDescent="0.25">
      <c r="A185" t="s">
        <v>169</v>
      </c>
      <c r="B185" t="s">
        <v>4068</v>
      </c>
    </row>
    <row r="186" spans="1:2" x14ac:dyDescent="0.25">
      <c r="A186" t="s">
        <v>444</v>
      </c>
      <c r="B186" t="s">
        <v>4069</v>
      </c>
    </row>
    <row r="187" spans="1:2" x14ac:dyDescent="0.25">
      <c r="A187" t="s">
        <v>18</v>
      </c>
      <c r="B187" t="s">
        <v>4070</v>
      </c>
    </row>
    <row r="188" spans="1:2" x14ac:dyDescent="0.25">
      <c r="A188" t="s">
        <v>175</v>
      </c>
      <c r="B188" t="s">
        <v>4071</v>
      </c>
    </row>
    <row r="189" spans="1:2" x14ac:dyDescent="0.25">
      <c r="A189" t="s">
        <v>181</v>
      </c>
      <c r="B189" t="s">
        <v>4072</v>
      </c>
    </row>
    <row r="190" spans="1:2" x14ac:dyDescent="0.25">
      <c r="A190" t="s">
        <v>64</v>
      </c>
      <c r="B190" t="s">
        <v>4073</v>
      </c>
    </row>
    <row r="191" spans="1:2" x14ac:dyDescent="0.25">
      <c r="A191" t="s">
        <v>185</v>
      </c>
      <c r="B191" t="s">
        <v>4074</v>
      </c>
    </row>
    <row r="192" spans="1:2" x14ac:dyDescent="0.25">
      <c r="A192" t="s">
        <v>192</v>
      </c>
      <c r="B192" t="s">
        <v>4075</v>
      </c>
    </row>
    <row r="193" spans="1:2" x14ac:dyDescent="0.25">
      <c r="A193" t="s">
        <v>67</v>
      </c>
      <c r="B193" t="s">
        <v>4076</v>
      </c>
    </row>
    <row r="194" spans="1:2" x14ac:dyDescent="0.25">
      <c r="A194" t="s">
        <v>197</v>
      </c>
      <c r="B194" t="s">
        <v>4077</v>
      </c>
    </row>
    <row r="195" spans="1:2" x14ac:dyDescent="0.25">
      <c r="A195" t="s">
        <v>199</v>
      </c>
      <c r="B195" t="s">
        <v>4078</v>
      </c>
    </row>
    <row r="196" spans="1:2" x14ac:dyDescent="0.25">
      <c r="A196" t="s">
        <v>44</v>
      </c>
      <c r="B196" t="s">
        <v>4079</v>
      </c>
    </row>
    <row r="197" spans="1:2" x14ac:dyDescent="0.25">
      <c r="A197" t="s">
        <v>46</v>
      </c>
      <c r="B197" t="s">
        <v>4080</v>
      </c>
    </row>
    <row r="198" spans="1:2" x14ac:dyDescent="0.25">
      <c r="A198" t="s">
        <v>212</v>
      </c>
      <c r="B198" t="s">
        <v>4081</v>
      </c>
    </row>
    <row r="199" spans="1:2" x14ac:dyDescent="0.25">
      <c r="A199" t="s">
        <v>215</v>
      </c>
      <c r="B199" t="s">
        <v>4082</v>
      </c>
    </row>
    <row r="200" spans="1:2" x14ac:dyDescent="0.25">
      <c r="A200" t="s">
        <v>77</v>
      </c>
      <c r="B200" t="s">
        <v>4083</v>
      </c>
    </row>
    <row r="201" spans="1:2" x14ac:dyDescent="0.25">
      <c r="A201" t="s">
        <v>223</v>
      </c>
      <c r="B201" t="s">
        <v>4084</v>
      </c>
    </row>
    <row r="202" spans="1:2" x14ac:dyDescent="0.25">
      <c r="A202" t="s">
        <v>1</v>
      </c>
      <c r="B202" t="s">
        <v>4085</v>
      </c>
    </row>
    <row r="203" spans="1:2" x14ac:dyDescent="0.25">
      <c r="A203" t="s">
        <v>225</v>
      </c>
      <c r="B203" t="s">
        <v>4086</v>
      </c>
    </row>
    <row r="204" spans="1:2" x14ac:dyDescent="0.25">
      <c r="A204" t="s">
        <v>4</v>
      </c>
      <c r="B204" t="s">
        <v>4087</v>
      </c>
    </row>
    <row r="205" spans="1:2" x14ac:dyDescent="0.25">
      <c r="A205" t="s">
        <v>233</v>
      </c>
      <c r="B205" t="s">
        <v>4088</v>
      </c>
    </row>
    <row r="206" spans="1:2" x14ac:dyDescent="0.25">
      <c r="A206" t="s">
        <v>6</v>
      </c>
      <c r="B206" t="s">
        <v>4089</v>
      </c>
    </row>
    <row r="207" spans="1:2" x14ac:dyDescent="0.25">
      <c r="A207" t="s">
        <v>241</v>
      </c>
      <c r="B207" t="s">
        <v>4090</v>
      </c>
    </row>
    <row r="208" spans="1:2" x14ac:dyDescent="0.25">
      <c r="A208" t="s">
        <v>11</v>
      </c>
      <c r="B208" t="s">
        <v>4091</v>
      </c>
    </row>
    <row r="209" spans="1:103" x14ac:dyDescent="0.25">
      <c r="A209" t="s">
        <v>13</v>
      </c>
      <c r="B209" t="s">
        <v>4092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4093</v>
      </c>
    </row>
    <row r="212" spans="1:103" x14ac:dyDescent="0.25">
      <c r="A212" t="s">
        <v>258</v>
      </c>
      <c r="B212" t="s">
        <v>4094</v>
      </c>
    </row>
    <row r="213" spans="1:103" x14ac:dyDescent="0.25">
      <c r="A213" t="s">
        <v>533</v>
      </c>
      <c r="B213" t="s">
        <v>4095</v>
      </c>
      <c r="BS213" t="b">
        <v>1</v>
      </c>
    </row>
    <row r="214" spans="1:103" x14ac:dyDescent="0.25">
      <c r="A214" t="s">
        <v>17</v>
      </c>
      <c r="B214" t="s">
        <v>4096</v>
      </c>
    </row>
    <row r="215" spans="1:103" x14ac:dyDescent="0.25">
      <c r="A215" t="s">
        <v>265</v>
      </c>
      <c r="B215" t="s">
        <v>4097</v>
      </c>
    </row>
    <row r="216" spans="1:103" x14ac:dyDescent="0.25">
      <c r="A216" t="s">
        <v>550</v>
      </c>
      <c r="B216" t="s">
        <v>4098</v>
      </c>
    </row>
    <row r="217" spans="1:103" x14ac:dyDescent="0.25">
      <c r="A217" t="s">
        <v>267</v>
      </c>
      <c r="B217" t="s">
        <v>4099</v>
      </c>
    </row>
    <row r="218" spans="1:103" x14ac:dyDescent="0.25">
      <c r="A218" t="s">
        <v>262</v>
      </c>
      <c r="B218" t="s">
        <v>4100</v>
      </c>
    </row>
    <row r="219" spans="1:103" x14ac:dyDescent="0.25">
      <c r="A219" t="s">
        <v>272</v>
      </c>
      <c r="B219" t="s">
        <v>4101</v>
      </c>
    </row>
    <row r="220" spans="1:103" x14ac:dyDescent="0.25">
      <c r="A220" t="s">
        <v>36</v>
      </c>
      <c r="B220" t="s">
        <v>4102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4103</v>
      </c>
      <c r="AE221" t="b">
        <v>1</v>
      </c>
    </row>
    <row r="222" spans="1:103" x14ac:dyDescent="0.25">
      <c r="A222" t="s">
        <v>269</v>
      </c>
      <c r="B222" t="s">
        <v>4104</v>
      </c>
      <c r="CY222" t="b">
        <v>1</v>
      </c>
    </row>
    <row r="223" spans="1:103" x14ac:dyDescent="0.25">
      <c r="A223" t="s">
        <v>40</v>
      </c>
      <c r="B223" t="s">
        <v>4105</v>
      </c>
    </row>
    <row r="224" spans="1:103" x14ac:dyDescent="0.25">
      <c r="A224" t="s">
        <v>42</v>
      </c>
      <c r="B224" t="s">
        <v>4106</v>
      </c>
      <c r="CI224" t="b">
        <v>1</v>
      </c>
    </row>
    <row r="225" spans="1:2" x14ac:dyDescent="0.25">
      <c r="A225" t="s">
        <v>275</v>
      </c>
      <c r="B225" t="s">
        <v>4107</v>
      </c>
    </row>
    <row r="226" spans="1:2" x14ac:dyDescent="0.25">
      <c r="A226" t="s">
        <v>73</v>
      </c>
      <c r="B226" t="s">
        <v>4108</v>
      </c>
    </row>
    <row r="227" spans="1:2" x14ac:dyDescent="0.25">
      <c r="A227" t="s">
        <v>75</v>
      </c>
      <c r="B227" t="s">
        <v>4109</v>
      </c>
    </row>
    <row r="228" spans="1:2" x14ac:dyDescent="0.25">
      <c r="A228" t="s">
        <v>88</v>
      </c>
      <c r="B228" t="s">
        <v>4110</v>
      </c>
    </row>
    <row r="229" spans="1:2" x14ac:dyDescent="0.25">
      <c r="A229" t="s">
        <v>49</v>
      </c>
      <c r="B229" t="s">
        <v>4111</v>
      </c>
    </row>
    <row r="230" spans="1:2" x14ac:dyDescent="0.25">
      <c r="A230" t="s">
        <v>51</v>
      </c>
      <c r="B230" t="s">
        <v>4112</v>
      </c>
    </row>
    <row r="231" spans="1:2" x14ac:dyDescent="0.25">
      <c r="A231" t="s">
        <v>53</v>
      </c>
      <c r="B231" t="s">
        <v>4113</v>
      </c>
    </row>
    <row r="232" spans="1:2" x14ac:dyDescent="0.25">
      <c r="A232" t="s">
        <v>55</v>
      </c>
      <c r="B232" t="s">
        <v>4114</v>
      </c>
    </row>
    <row r="233" spans="1:2" x14ac:dyDescent="0.25">
      <c r="A233" t="s">
        <v>57</v>
      </c>
      <c r="B233" t="s">
        <v>4115</v>
      </c>
    </row>
    <row r="234" spans="1:2" x14ac:dyDescent="0.25">
      <c r="A234" t="s">
        <v>59</v>
      </c>
      <c r="B234" t="s">
        <v>4116</v>
      </c>
    </row>
    <row r="235" spans="1:2" x14ac:dyDescent="0.25">
      <c r="A235" t="s">
        <v>24</v>
      </c>
      <c r="B235" t="s">
        <v>4117</v>
      </c>
    </row>
    <row r="236" spans="1:2" x14ac:dyDescent="0.25">
      <c r="A236" t="s">
        <v>32</v>
      </c>
      <c r="B236" t="s">
        <v>4118</v>
      </c>
    </row>
    <row r="237" spans="1:2" x14ac:dyDescent="0.25">
      <c r="A237" t="s">
        <v>101</v>
      </c>
      <c r="B237" t="s">
        <v>4119</v>
      </c>
    </row>
    <row r="238" spans="1:2" x14ac:dyDescent="0.25">
      <c r="A238" t="s">
        <v>159</v>
      </c>
      <c r="B238" t="s">
        <v>4120</v>
      </c>
    </row>
    <row r="239" spans="1:2" x14ac:dyDescent="0.25">
      <c r="A239" t="s">
        <v>107</v>
      </c>
      <c r="B239" t="s">
        <v>4121</v>
      </c>
    </row>
    <row r="240" spans="1:2" x14ac:dyDescent="0.25">
      <c r="A240" t="s">
        <v>15</v>
      </c>
      <c r="B240" t="s">
        <v>4122</v>
      </c>
    </row>
    <row r="241" spans="1:2" x14ac:dyDescent="0.25">
      <c r="A241" t="s">
        <v>171</v>
      </c>
      <c r="B241" t="s">
        <v>4123</v>
      </c>
    </row>
    <row r="242" spans="1:2" x14ac:dyDescent="0.25">
      <c r="A242" t="s">
        <v>117</v>
      </c>
      <c r="B242" t="s">
        <v>4124</v>
      </c>
    </row>
    <row r="243" spans="1:2" x14ac:dyDescent="0.25">
      <c r="A243" t="s">
        <v>119</v>
      </c>
      <c r="B243" t="s">
        <v>4125</v>
      </c>
    </row>
    <row r="244" spans="1:2" x14ac:dyDescent="0.25">
      <c r="A244" t="s">
        <v>122</v>
      </c>
      <c r="B244" t="s">
        <v>4126</v>
      </c>
    </row>
    <row r="245" spans="1:2" x14ac:dyDescent="0.25">
      <c r="A245" t="s">
        <v>176</v>
      </c>
      <c r="B245" t="s">
        <v>4127</v>
      </c>
    </row>
    <row r="246" spans="1:2" x14ac:dyDescent="0.25">
      <c r="A246" t="s">
        <v>126</v>
      </c>
      <c r="B246" t="s">
        <v>4128</v>
      </c>
    </row>
    <row r="247" spans="1:2" x14ac:dyDescent="0.25">
      <c r="A247" t="s">
        <v>130</v>
      </c>
      <c r="B247" t="s">
        <v>4129</v>
      </c>
    </row>
    <row r="248" spans="1:2" x14ac:dyDescent="0.25">
      <c r="A248" t="s">
        <v>39</v>
      </c>
      <c r="B248" t="s">
        <v>4130</v>
      </c>
    </row>
    <row r="249" spans="1:2" x14ac:dyDescent="0.25">
      <c r="A249" t="s">
        <v>133</v>
      </c>
      <c r="B249" t="s">
        <v>4131</v>
      </c>
    </row>
    <row r="250" spans="1:2" x14ac:dyDescent="0.25">
      <c r="A250" t="s">
        <v>69</v>
      </c>
      <c r="B250" t="s">
        <v>4132</v>
      </c>
    </row>
    <row r="251" spans="1:2" x14ac:dyDescent="0.25">
      <c r="A251" t="s">
        <v>71</v>
      </c>
      <c r="B251" t="s">
        <v>4133</v>
      </c>
    </row>
    <row r="252" spans="1:2" x14ac:dyDescent="0.25">
      <c r="A252" t="s">
        <v>141</v>
      </c>
      <c r="B252" t="s">
        <v>4134</v>
      </c>
    </row>
    <row r="253" spans="1:2" x14ac:dyDescent="0.25">
      <c r="A253" t="s">
        <v>143</v>
      </c>
      <c r="B253" t="s">
        <v>4135</v>
      </c>
    </row>
    <row r="254" spans="1:2" x14ac:dyDescent="0.25">
      <c r="A254" t="s">
        <v>145</v>
      </c>
      <c r="B254" t="s">
        <v>4136</v>
      </c>
    </row>
    <row r="255" spans="1:2" x14ac:dyDescent="0.25">
      <c r="A255" t="s">
        <v>386</v>
      </c>
      <c r="B255" t="s">
        <v>4137</v>
      </c>
    </row>
    <row r="256" spans="1:2" x14ac:dyDescent="0.25">
      <c r="A256" t="s">
        <v>30</v>
      </c>
      <c r="B256" t="s">
        <v>4138</v>
      </c>
    </row>
    <row r="257" spans="1:2" x14ac:dyDescent="0.25">
      <c r="A257" t="s">
        <v>33</v>
      </c>
      <c r="B257" t="s">
        <v>4139</v>
      </c>
    </row>
    <row r="258" spans="1:2" x14ac:dyDescent="0.25">
      <c r="A258" t="s">
        <v>153</v>
      </c>
      <c r="B258" t="s">
        <v>4140</v>
      </c>
    </row>
    <row r="259" spans="1:2" x14ac:dyDescent="0.25">
      <c r="A259" t="s">
        <v>155</v>
      </c>
      <c r="B259" t="s">
        <v>4141</v>
      </c>
    </row>
    <row r="260" spans="1:2" x14ac:dyDescent="0.25">
      <c r="A260" t="s">
        <v>157</v>
      </c>
      <c r="B260" t="s">
        <v>4142</v>
      </c>
    </row>
    <row r="261" spans="1:2" x14ac:dyDescent="0.25">
      <c r="A261" t="s">
        <v>3</v>
      </c>
      <c r="B261" t="s">
        <v>4143</v>
      </c>
    </row>
    <row r="262" spans="1:2" x14ac:dyDescent="0.25">
      <c r="A262" t="s">
        <v>78</v>
      </c>
      <c r="B262" t="s">
        <v>4144</v>
      </c>
    </row>
    <row r="263" spans="1:2" x14ac:dyDescent="0.25">
      <c r="A263" t="s">
        <v>80</v>
      </c>
      <c r="B263" t="s">
        <v>4145</v>
      </c>
    </row>
    <row r="264" spans="1:2" x14ac:dyDescent="0.25">
      <c r="A264" t="s">
        <v>82</v>
      </c>
      <c r="B264" t="s">
        <v>4146</v>
      </c>
    </row>
    <row r="265" spans="1:2" x14ac:dyDescent="0.25">
      <c r="A265" t="s">
        <v>84</v>
      </c>
      <c r="B265" t="s">
        <v>4147</v>
      </c>
    </row>
    <row r="266" spans="1:2" x14ac:dyDescent="0.25">
      <c r="A266" t="s">
        <v>86</v>
      </c>
      <c r="B266" t="s">
        <v>4148</v>
      </c>
    </row>
    <row r="267" spans="1:2" x14ac:dyDescent="0.25">
      <c r="A267" t="s">
        <v>29</v>
      </c>
      <c r="B267" t="s">
        <v>4149</v>
      </c>
    </row>
    <row r="268" spans="1:2" x14ac:dyDescent="0.25">
      <c r="A268" t="s">
        <v>90</v>
      </c>
      <c r="B268" t="s">
        <v>4150</v>
      </c>
    </row>
    <row r="269" spans="1:2" x14ac:dyDescent="0.25">
      <c r="A269" t="s">
        <v>95</v>
      </c>
      <c r="B269" t="s">
        <v>4151</v>
      </c>
    </row>
    <row r="270" spans="1:2" x14ac:dyDescent="0.25">
      <c r="A270" t="s">
        <v>2</v>
      </c>
      <c r="B270" t="s">
        <v>4152</v>
      </c>
    </row>
    <row r="271" spans="1:2" x14ac:dyDescent="0.25">
      <c r="A271" t="s">
        <v>7</v>
      </c>
      <c r="B271" t="s">
        <v>4153</v>
      </c>
    </row>
    <row r="273" spans="1:2" x14ac:dyDescent="0.25">
      <c r="A273" t="s">
        <v>9</v>
      </c>
      <c r="B273" t="s">
        <v>4154</v>
      </c>
    </row>
    <row r="274" spans="1:2" x14ac:dyDescent="0.25">
      <c r="A274" t="s">
        <v>163</v>
      </c>
      <c r="B274" t="s">
        <v>4155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3888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CZ278"/>
  <sheetViews>
    <sheetView topLeftCell="AB23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455</v>
      </c>
      <c r="AF2">
        <v>4</v>
      </c>
      <c r="AH2" s="1" t="s">
        <v>656</v>
      </c>
      <c r="AK2">
        <v>515</v>
      </c>
      <c r="AL2">
        <v>223</v>
      </c>
      <c r="AM2" t="s">
        <v>456</v>
      </c>
      <c r="AN2">
        <v>5</v>
      </c>
      <c r="AP2" s="1" t="s">
        <v>657</v>
      </c>
      <c r="AS2">
        <v>546</v>
      </c>
      <c r="AT2">
        <v>312</v>
      </c>
      <c r="AU2" t="s">
        <v>457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458</v>
      </c>
      <c r="BL2">
        <v>5</v>
      </c>
      <c r="BN2" s="1" t="s">
        <v>659</v>
      </c>
      <c r="BQ2">
        <v>523</v>
      </c>
      <c r="BR2">
        <v>293</v>
      </c>
      <c r="BS2" t="s">
        <v>459</v>
      </c>
      <c r="BT2">
        <v>5</v>
      </c>
      <c r="BV2" s="1" t="s">
        <v>660</v>
      </c>
      <c r="BY2">
        <v>523</v>
      </c>
      <c r="BZ2">
        <v>195</v>
      </c>
      <c r="CA2" t="s">
        <v>460</v>
      </c>
      <c r="CB2">
        <v>5</v>
      </c>
      <c r="CD2" s="1" t="s">
        <v>661</v>
      </c>
      <c r="CG2">
        <v>523</v>
      </c>
      <c r="CH2">
        <v>203</v>
      </c>
      <c r="CI2" t="s">
        <v>216</v>
      </c>
      <c r="CJ2">
        <v>5</v>
      </c>
      <c r="CL2" s="1" t="s">
        <v>662</v>
      </c>
      <c r="CO2">
        <v>523</v>
      </c>
      <c r="CP2">
        <v>263</v>
      </c>
      <c r="CQ2" t="s">
        <v>498</v>
      </c>
      <c r="CR2">
        <v>5</v>
      </c>
      <c r="CT2" s="1" t="s">
        <v>663</v>
      </c>
      <c r="CW2">
        <v>516</v>
      </c>
      <c r="CX2">
        <v>298</v>
      </c>
      <c r="CY2" t="s">
        <v>389</v>
      </c>
      <c r="CZ2">
        <v>4</v>
      </c>
    </row>
    <row r="3" spans="1:104" x14ac:dyDescent="0.25">
      <c r="W3" t="str">
        <f>dbCorrelationTitle</f>
        <v>Correlation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397</v>
      </c>
      <c r="AH4">
        <v>2</v>
      </c>
      <c r="AI4">
        <v>412</v>
      </c>
      <c r="AJ4">
        <v>30</v>
      </c>
      <c r="AK4">
        <v>90</v>
      </c>
      <c r="AM4" t="s">
        <v>397</v>
      </c>
      <c r="AP4">
        <v>2</v>
      </c>
      <c r="AQ4">
        <v>443</v>
      </c>
      <c r="AR4">
        <v>31</v>
      </c>
      <c r="AS4">
        <v>90</v>
      </c>
      <c r="AU4" t="s">
        <v>397</v>
      </c>
      <c r="AX4">
        <v>2</v>
      </c>
      <c r="AY4">
        <v>418</v>
      </c>
      <c r="AZ4">
        <v>33</v>
      </c>
      <c r="BA4">
        <v>104</v>
      </c>
      <c r="BC4" t="s">
        <v>397</v>
      </c>
      <c r="BF4">
        <v>2</v>
      </c>
      <c r="BG4">
        <v>407</v>
      </c>
      <c r="BH4">
        <v>30</v>
      </c>
      <c r="BI4">
        <v>90</v>
      </c>
      <c r="BK4" t="s">
        <v>397</v>
      </c>
      <c r="BN4">
        <v>2</v>
      </c>
      <c r="BO4">
        <v>407</v>
      </c>
      <c r="BP4">
        <v>30</v>
      </c>
      <c r="BQ4">
        <v>90</v>
      </c>
      <c r="BS4" t="s">
        <v>397</v>
      </c>
      <c r="BV4">
        <v>2</v>
      </c>
      <c r="BW4">
        <v>407</v>
      </c>
      <c r="BX4">
        <v>30</v>
      </c>
      <c r="BY4">
        <v>90</v>
      </c>
      <c r="CA4" t="s">
        <v>397</v>
      </c>
      <c r="CD4">
        <v>2</v>
      </c>
      <c r="CE4">
        <v>407</v>
      </c>
      <c r="CF4">
        <v>30</v>
      </c>
      <c r="CG4">
        <v>90</v>
      </c>
      <c r="CI4" t="s">
        <v>397</v>
      </c>
      <c r="CL4">
        <v>2</v>
      </c>
      <c r="CM4">
        <v>407</v>
      </c>
      <c r="CN4">
        <v>30</v>
      </c>
      <c r="CO4">
        <v>90</v>
      </c>
      <c r="CQ4" t="s">
        <v>397</v>
      </c>
      <c r="CT4">
        <v>2</v>
      </c>
      <c r="CU4">
        <v>410</v>
      </c>
      <c r="CV4">
        <v>31</v>
      </c>
      <c r="CW4">
        <v>90</v>
      </c>
      <c r="CY4" t="s">
        <v>397</v>
      </c>
    </row>
    <row r="5" spans="1:104" x14ac:dyDescent="0.25">
      <c r="T5">
        <v>0</v>
      </c>
      <c r="U5" t="str">
        <f>dbAnova1Title</f>
        <v>Anova: Single Factor</v>
      </c>
      <c r="V5">
        <v>0</v>
      </c>
      <c r="W5" t="str">
        <f>dbAnova1Title</f>
        <v>Anova: Single Factor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398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399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399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622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399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399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399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399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399</v>
      </c>
      <c r="CT5">
        <v>5</v>
      </c>
      <c r="CU5">
        <v>17</v>
      </c>
      <c r="CV5">
        <v>12</v>
      </c>
      <c r="CY5" t="s">
        <v>649</v>
      </c>
    </row>
    <row r="6" spans="1:104" x14ac:dyDescent="0.25">
      <c r="T6">
        <v>1</v>
      </c>
      <c r="U6" t="str">
        <f>dbAnova2Title</f>
        <v>Anova: Two-Factor With Replication</v>
      </c>
      <c r="V6">
        <v>1</v>
      </c>
      <c r="W6" t="str">
        <f>dbAnova2Title</f>
        <v>Anova: Two-Factor With Replication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619</v>
      </c>
      <c r="AP6">
        <v>5</v>
      </c>
      <c r="AQ6">
        <v>24</v>
      </c>
      <c r="AR6">
        <v>22</v>
      </c>
      <c r="AU6" t="s">
        <v>628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619</v>
      </c>
      <c r="BN6">
        <v>5</v>
      </c>
      <c r="BO6">
        <v>18</v>
      </c>
      <c r="BP6">
        <v>19</v>
      </c>
      <c r="BS6" t="s">
        <v>619</v>
      </c>
      <c r="BV6">
        <v>5</v>
      </c>
      <c r="BW6">
        <v>18</v>
      </c>
      <c r="BX6">
        <v>19</v>
      </c>
      <c r="CA6" t="s">
        <v>619</v>
      </c>
      <c r="CD6">
        <v>5</v>
      </c>
      <c r="CE6">
        <v>18</v>
      </c>
      <c r="CF6">
        <v>19</v>
      </c>
      <c r="CI6" t="s">
        <v>642</v>
      </c>
      <c r="CL6">
        <v>5</v>
      </c>
      <c r="CM6">
        <v>18</v>
      </c>
      <c r="CN6">
        <v>19</v>
      </c>
      <c r="CQ6" t="s">
        <v>619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Two-Factor Without Replication</v>
      </c>
      <c r="V7">
        <v>2</v>
      </c>
      <c r="W7" t="str">
        <f>dbAnova3Title</f>
        <v>Anova: Two-Factor Without Replication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650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Correlation</v>
      </c>
      <c r="V8">
        <v>3</v>
      </c>
      <c r="W8" t="str">
        <f>dbCorrelationTitle</f>
        <v>Correlation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620</v>
      </c>
      <c r="AP8">
        <v>5</v>
      </c>
      <c r="AQ8">
        <v>24</v>
      </c>
      <c r="AR8">
        <v>48</v>
      </c>
      <c r="AU8" t="s">
        <v>629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620</v>
      </c>
      <c r="BN8">
        <v>5</v>
      </c>
      <c r="BO8">
        <v>18</v>
      </c>
      <c r="BP8">
        <v>44</v>
      </c>
      <c r="BS8" t="s">
        <v>620</v>
      </c>
      <c r="BV8">
        <v>5</v>
      </c>
      <c r="BW8">
        <v>17</v>
      </c>
      <c r="BX8">
        <v>40</v>
      </c>
      <c r="CA8" t="s">
        <v>479</v>
      </c>
      <c r="CD8">
        <v>5</v>
      </c>
      <c r="CE8">
        <v>18</v>
      </c>
      <c r="CF8">
        <v>41</v>
      </c>
      <c r="CI8" t="s">
        <v>643</v>
      </c>
      <c r="CL8">
        <v>13</v>
      </c>
      <c r="CM8">
        <v>18</v>
      </c>
      <c r="CN8">
        <v>39</v>
      </c>
      <c r="CQ8" t="s">
        <v>480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Covariance</v>
      </c>
      <c r="V9">
        <v>4</v>
      </c>
      <c r="W9" t="str">
        <f>dbCovarianceTitle</f>
        <v>Covariance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624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320</v>
      </c>
      <c r="CT9">
        <v>5</v>
      </c>
      <c r="CU9">
        <v>17</v>
      </c>
      <c r="CV9">
        <v>63</v>
      </c>
      <c r="CY9" t="s">
        <v>321</v>
      </c>
    </row>
    <row r="10" spans="1:104" x14ac:dyDescent="0.25">
      <c r="A10" t="s">
        <v>505</v>
      </c>
      <c r="B10" t="s">
        <v>300</v>
      </c>
      <c r="T10">
        <v>5</v>
      </c>
      <c r="U10" t="str">
        <f>dbDescripTitle</f>
        <v>Descriptive Statistics</v>
      </c>
      <c r="V10">
        <v>5</v>
      </c>
      <c r="W10" t="str">
        <f>dbDescripTitle</f>
        <v>Descriptive Statistics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506</v>
      </c>
      <c r="AP10">
        <v>13</v>
      </c>
      <c r="AQ10">
        <v>25</v>
      </c>
      <c r="AR10">
        <v>75</v>
      </c>
      <c r="AU10" t="s">
        <v>480</v>
      </c>
      <c r="AV10" t="b">
        <v>0</v>
      </c>
      <c r="AX10">
        <v>12</v>
      </c>
      <c r="AZ10">
        <v>130</v>
      </c>
      <c r="BC10" t="s">
        <v>625</v>
      </c>
      <c r="BF10">
        <v>12</v>
      </c>
      <c r="BG10">
        <v>220</v>
      </c>
      <c r="BH10">
        <v>40</v>
      </c>
      <c r="BK10" t="s">
        <v>506</v>
      </c>
      <c r="BN10">
        <v>12</v>
      </c>
      <c r="BO10">
        <v>220</v>
      </c>
      <c r="BP10">
        <v>40</v>
      </c>
      <c r="BS10" t="s">
        <v>506</v>
      </c>
      <c r="BV10">
        <v>13</v>
      </c>
      <c r="BW10">
        <v>17</v>
      </c>
      <c r="BX10">
        <v>60</v>
      </c>
      <c r="CA10" t="s">
        <v>480</v>
      </c>
      <c r="CB10" t="b">
        <v>0</v>
      </c>
      <c r="CD10">
        <v>13</v>
      </c>
      <c r="CE10">
        <v>18</v>
      </c>
      <c r="CF10">
        <v>64</v>
      </c>
      <c r="CI10" t="s">
        <v>480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26</v>
      </c>
      <c r="T11">
        <v>6</v>
      </c>
      <c r="U11" t="str">
        <f>dbExponentTitle</f>
        <v>Exponential Smoothing</v>
      </c>
      <c r="V11">
        <v>6</v>
      </c>
      <c r="W11" t="str">
        <f>dbExponentTitle</f>
        <v>Exponential Smoothing</v>
      </c>
      <c r="X11" t="s">
        <v>452</v>
      </c>
      <c r="Y11" s="1" t="s">
        <v>660</v>
      </c>
      <c r="AH11">
        <v>12</v>
      </c>
      <c r="AM11" t="s">
        <v>509</v>
      </c>
      <c r="AP11">
        <v>13</v>
      </c>
      <c r="AQ11">
        <v>197</v>
      </c>
      <c r="AR11">
        <v>75</v>
      </c>
      <c r="AU11" t="s">
        <v>630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509</v>
      </c>
      <c r="BN11">
        <v>12</v>
      </c>
      <c r="BS11" t="s">
        <v>509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622</v>
      </c>
      <c r="CD11">
        <v>5</v>
      </c>
      <c r="CE11">
        <v>18</v>
      </c>
      <c r="CF11">
        <v>85</v>
      </c>
      <c r="CI11" t="s">
        <v>326</v>
      </c>
      <c r="CL11">
        <v>12</v>
      </c>
      <c r="CM11">
        <v>18</v>
      </c>
      <c r="CN11">
        <v>82</v>
      </c>
      <c r="CQ11" t="s">
        <v>327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651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 Two-Sample for Variances</v>
      </c>
      <c r="V12">
        <v>7</v>
      </c>
      <c r="W12" t="str">
        <f>dbFTestTitle</f>
        <v>F-Test Two-Sample for Variances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621</v>
      </c>
      <c r="AN12" t="b">
        <v>0</v>
      </c>
      <c r="AP12">
        <v>113</v>
      </c>
      <c r="AQ12">
        <v>25</v>
      </c>
      <c r="AR12">
        <v>93</v>
      </c>
      <c r="AU12" t="s">
        <v>631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621</v>
      </c>
      <c r="BL12" t="b">
        <v>0</v>
      </c>
      <c r="BN12">
        <v>13</v>
      </c>
      <c r="BO12">
        <v>18</v>
      </c>
      <c r="BP12">
        <v>75</v>
      </c>
      <c r="BS12" t="s">
        <v>621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331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 Analysis</v>
      </c>
      <c r="V13">
        <v>8</v>
      </c>
      <c r="W13" t="str">
        <f>dbFourierTitle</f>
        <v>Fourier Analysis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326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622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622</v>
      </c>
      <c r="BV13">
        <v>5</v>
      </c>
      <c r="BW13">
        <v>17</v>
      </c>
      <c r="BX13">
        <v>99</v>
      </c>
      <c r="CA13" t="s">
        <v>623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622</v>
      </c>
      <c r="CL13">
        <v>5</v>
      </c>
      <c r="CM13">
        <v>42</v>
      </c>
      <c r="CN13">
        <v>103</v>
      </c>
      <c r="CQ13" t="s">
        <v>403</v>
      </c>
      <c r="CT13">
        <v>5</v>
      </c>
    </row>
    <row r="14" spans="1:104" x14ac:dyDescent="0.25">
      <c r="A14" t="s">
        <v>404</v>
      </c>
      <c r="B14" t="s">
        <v>405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Moving Average</v>
      </c>
      <c r="V15">
        <v>10</v>
      </c>
      <c r="W15" t="str">
        <f>dbMovingTitle</f>
        <v>Moving Average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622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622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623</v>
      </c>
      <c r="BN15">
        <v>12</v>
      </c>
      <c r="BO15">
        <v>18</v>
      </c>
      <c r="BP15">
        <v>127</v>
      </c>
      <c r="BS15" t="s">
        <v>623</v>
      </c>
      <c r="BV15">
        <v>205</v>
      </c>
      <c r="BW15">
        <v>17</v>
      </c>
      <c r="BX15">
        <v>119</v>
      </c>
      <c r="CA15" t="s">
        <v>624</v>
      </c>
      <c r="CD15">
        <v>12</v>
      </c>
      <c r="CE15">
        <v>18</v>
      </c>
      <c r="CF15">
        <v>132</v>
      </c>
      <c r="CI15" t="s">
        <v>623</v>
      </c>
      <c r="CL15">
        <v>5</v>
      </c>
      <c r="CM15">
        <v>42</v>
      </c>
      <c r="CN15">
        <v>146</v>
      </c>
      <c r="CQ15" t="s">
        <v>648</v>
      </c>
      <c r="CT15">
        <v>5</v>
      </c>
    </row>
    <row r="16" spans="1:104" x14ac:dyDescent="0.25">
      <c r="A16" t="s">
        <v>526</v>
      </c>
      <c r="B16" t="s">
        <v>527</v>
      </c>
      <c r="T16">
        <v>11</v>
      </c>
      <c r="U16" t="str">
        <f>dbRandomTitle</f>
        <v>Random Number Generation</v>
      </c>
      <c r="V16">
        <v>11</v>
      </c>
      <c r="W16" t="str">
        <f>dbRandomTitle</f>
        <v>Random Number Generation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624</v>
      </c>
      <c r="BN16">
        <v>12</v>
      </c>
      <c r="BP16">
        <v>147</v>
      </c>
      <c r="BS16" t="s">
        <v>624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624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529</v>
      </c>
      <c r="T17">
        <v>12</v>
      </c>
      <c r="U17" t="str">
        <f>dbRankPerTitle</f>
        <v>Rank and Percentile</v>
      </c>
      <c r="V17">
        <v>12</v>
      </c>
      <c r="W17" t="str">
        <f>dbRankPerTitle</f>
        <v>Rank and Percentile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623</v>
      </c>
      <c r="AP17">
        <v>12</v>
      </c>
      <c r="AQ17">
        <v>24</v>
      </c>
      <c r="AR17">
        <v>142</v>
      </c>
      <c r="AU17" t="s">
        <v>623</v>
      </c>
      <c r="BF17">
        <v>12</v>
      </c>
      <c r="BH17">
        <v>160</v>
      </c>
      <c r="BK17" t="s">
        <v>625</v>
      </c>
      <c r="BN17">
        <v>12</v>
      </c>
      <c r="BP17">
        <v>167</v>
      </c>
      <c r="BS17" t="s">
        <v>625</v>
      </c>
      <c r="BV17">
        <v>205</v>
      </c>
      <c r="BW17">
        <v>17</v>
      </c>
      <c r="BX17">
        <v>139</v>
      </c>
      <c r="CA17" t="s">
        <v>625</v>
      </c>
      <c r="CD17">
        <v>12</v>
      </c>
      <c r="CF17">
        <v>172</v>
      </c>
      <c r="CI17" t="s">
        <v>625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622</v>
      </c>
      <c r="CT17">
        <v>5</v>
      </c>
    </row>
    <row r="18" spans="1:104" x14ac:dyDescent="0.25">
      <c r="A18" t="s">
        <v>531</v>
      </c>
      <c r="B18" t="s">
        <v>351</v>
      </c>
      <c r="T18">
        <v>13</v>
      </c>
      <c r="U18" t="str">
        <f>dbRegressionTitle</f>
        <v>Regression</v>
      </c>
      <c r="V18">
        <v>13</v>
      </c>
      <c r="W18" t="str">
        <f>dbRegressionTitle</f>
        <v>Regression</v>
      </c>
      <c r="X18" t="s">
        <v>448</v>
      </c>
      <c r="Y18" s="1" t="s">
        <v>657</v>
      </c>
      <c r="AH18">
        <v>12</v>
      </c>
      <c r="AJ18">
        <v>169</v>
      </c>
      <c r="AM18" t="s">
        <v>624</v>
      </c>
      <c r="AP18">
        <v>12</v>
      </c>
      <c r="AR18">
        <v>162</v>
      </c>
      <c r="AU18" t="s">
        <v>624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626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125</v>
      </c>
      <c r="T19">
        <v>14</v>
      </c>
      <c r="U19" t="str">
        <f>dbSamplingTitle</f>
        <v>Sampling</v>
      </c>
      <c r="V19">
        <v>14</v>
      </c>
      <c r="W19" t="str">
        <f>dbSamplingTitle</f>
        <v>Sampling</v>
      </c>
      <c r="X19" t="s">
        <v>585</v>
      </c>
      <c r="Y19" s="1" t="s">
        <v>662</v>
      </c>
      <c r="AH19">
        <v>12</v>
      </c>
      <c r="AJ19">
        <v>189</v>
      </c>
      <c r="AM19" t="s">
        <v>625</v>
      </c>
      <c r="AP19">
        <v>12</v>
      </c>
      <c r="AR19">
        <v>182</v>
      </c>
      <c r="AU19" t="s">
        <v>625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627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623</v>
      </c>
      <c r="CT19">
        <v>5</v>
      </c>
    </row>
    <row r="20" spans="1:104" x14ac:dyDescent="0.25">
      <c r="A20" t="s">
        <v>343</v>
      </c>
      <c r="B20" t="s">
        <v>455</v>
      </c>
      <c r="T20">
        <v>15</v>
      </c>
      <c r="U20" t="str">
        <f>dbTTest1Title</f>
        <v>t-Test: Paired Two Sample for Means</v>
      </c>
      <c r="V20">
        <v>15</v>
      </c>
      <c r="W20" t="str">
        <f>dbTTest1Title</f>
        <v>t-Test: Paired Two Sample for Means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345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624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t-Test: Two-Sample Assuming Equal Variances</v>
      </c>
      <c r="V21">
        <v>16</v>
      </c>
      <c r="W21" t="str">
        <f>dbTTest2Title</f>
        <v>t-Test: Two-Sample Assuming Equal Variances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639</v>
      </c>
      <c r="BT21" t="b">
        <v>0</v>
      </c>
      <c r="CL21">
        <v>12</v>
      </c>
      <c r="CN21">
        <v>230</v>
      </c>
      <c r="CQ21" t="s">
        <v>625</v>
      </c>
      <c r="CT21">
        <v>5</v>
      </c>
    </row>
    <row r="22" spans="1:104" x14ac:dyDescent="0.25">
      <c r="A22" t="s">
        <v>440</v>
      </c>
      <c r="B22" t="s">
        <v>456</v>
      </c>
      <c r="T22">
        <v>17</v>
      </c>
      <c r="U22" t="str">
        <f>dbTTest3Title</f>
        <v>t-Test: Two-Sample Assuming Unequal Variances</v>
      </c>
      <c r="V22">
        <v>17</v>
      </c>
      <c r="W22" t="str">
        <f>dbTTest3Title</f>
        <v>t-Test: Two-Sample Assuming Unequal Variances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442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652</v>
      </c>
    </row>
    <row r="23" spans="1:104" x14ac:dyDescent="0.25">
      <c r="A23" t="s">
        <v>443</v>
      </c>
      <c r="B23" t="s">
        <v>356</v>
      </c>
      <c r="T23">
        <v>18</v>
      </c>
      <c r="U23" t="str">
        <f>dbZTestTitle</f>
        <v>z-Test: Two Sample for Means</v>
      </c>
      <c r="V23">
        <v>18</v>
      </c>
      <c r="W23" t="str">
        <f>dbZTestTitle</f>
        <v>z-Test: Two Sample for Means</v>
      </c>
      <c r="X23" t="s">
        <v>357</v>
      </c>
      <c r="Y23" s="1" t="s">
        <v>674</v>
      </c>
      <c r="AP23">
        <v>13</v>
      </c>
      <c r="AR23">
        <v>216</v>
      </c>
      <c r="AU23" t="s">
        <v>358</v>
      </c>
      <c r="AV23" t="b">
        <v>0</v>
      </c>
      <c r="BF23" s="1" t="s">
        <v>666</v>
      </c>
      <c r="BI23">
        <v>523</v>
      </c>
      <c r="BJ23">
        <v>191</v>
      </c>
      <c r="BK23" t="s">
        <v>359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361</v>
      </c>
      <c r="X24" t="s">
        <v>551</v>
      </c>
      <c r="AP24">
        <v>13</v>
      </c>
      <c r="AR24">
        <v>231</v>
      </c>
      <c r="AU24" t="s">
        <v>632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640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653</v>
      </c>
    </row>
    <row r="25" spans="1:104" x14ac:dyDescent="0.25">
      <c r="A25" t="s">
        <v>552</v>
      </c>
      <c r="B25" t="s">
        <v>553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633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397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555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574</v>
      </c>
      <c r="X26" t="s">
        <v>376</v>
      </c>
      <c r="AH26" s="1" t="s">
        <v>664</v>
      </c>
      <c r="AK26">
        <v>509</v>
      </c>
      <c r="AL26">
        <v>187</v>
      </c>
      <c r="AM26" t="s">
        <v>356</v>
      </c>
      <c r="AN26">
        <v>5</v>
      </c>
      <c r="AP26">
        <v>13</v>
      </c>
      <c r="AR26">
        <v>231</v>
      </c>
      <c r="AU26" t="s">
        <v>634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399</v>
      </c>
      <c r="BN26">
        <v>113</v>
      </c>
      <c r="BO26">
        <v>18</v>
      </c>
      <c r="BP26">
        <v>247</v>
      </c>
      <c r="BS26" t="s">
        <v>641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622</v>
      </c>
    </row>
    <row r="27" spans="1:104" x14ac:dyDescent="0.25">
      <c r="A27" t="s">
        <v>377</v>
      </c>
      <c r="B27" t="s">
        <v>378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635</v>
      </c>
      <c r="BF27">
        <v>5</v>
      </c>
      <c r="BG27">
        <v>18</v>
      </c>
      <c r="BH27">
        <v>19</v>
      </c>
      <c r="BK27" t="s">
        <v>619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397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381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397</v>
      </c>
      <c r="AP28">
        <v>13</v>
      </c>
      <c r="AR28">
        <v>270</v>
      </c>
      <c r="AU28" t="s">
        <v>636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399</v>
      </c>
      <c r="CT28">
        <v>12</v>
      </c>
      <c r="CU28">
        <v>17</v>
      </c>
      <c r="CV28">
        <v>225</v>
      </c>
      <c r="CY28" t="s">
        <v>623</v>
      </c>
    </row>
    <row r="29" spans="1:104" x14ac:dyDescent="0.25">
      <c r="A29" t="s">
        <v>383</v>
      </c>
      <c r="B29" t="s">
        <v>598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399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620</v>
      </c>
      <c r="CD29">
        <v>5</v>
      </c>
      <c r="CE29">
        <v>17</v>
      </c>
      <c r="CF29">
        <v>18</v>
      </c>
      <c r="CI29" t="s">
        <v>642</v>
      </c>
      <c r="CT29">
        <v>12</v>
      </c>
      <c r="CV29">
        <v>245</v>
      </c>
      <c r="CY29" t="s">
        <v>624</v>
      </c>
    </row>
    <row r="30" spans="1:104" x14ac:dyDescent="0.25">
      <c r="A30" t="s">
        <v>600</v>
      </c>
      <c r="B30" t="s">
        <v>601</v>
      </c>
      <c r="X30" t="s">
        <v>332</v>
      </c>
      <c r="AH30">
        <v>5</v>
      </c>
      <c r="AI30">
        <v>20</v>
      </c>
      <c r="AJ30">
        <v>19</v>
      </c>
      <c r="AM30" t="s">
        <v>619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625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506</v>
      </c>
      <c r="CD31">
        <v>5</v>
      </c>
      <c r="CE31">
        <v>17</v>
      </c>
      <c r="CF31">
        <v>41</v>
      </c>
      <c r="CI31" t="s">
        <v>643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94</v>
      </c>
      <c r="AH32">
        <v>5</v>
      </c>
      <c r="AI32">
        <v>20</v>
      </c>
      <c r="AJ32">
        <v>45</v>
      </c>
      <c r="AM32" t="s">
        <v>301</v>
      </c>
      <c r="BF32">
        <v>12</v>
      </c>
      <c r="BK32" t="s">
        <v>509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621</v>
      </c>
      <c r="BL33" t="b">
        <v>0</v>
      </c>
      <c r="CD33">
        <v>5</v>
      </c>
      <c r="CE33">
        <v>17</v>
      </c>
      <c r="CF33">
        <v>70</v>
      </c>
      <c r="CI33" t="s">
        <v>644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326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622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480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622</v>
      </c>
      <c r="BF36">
        <v>12</v>
      </c>
      <c r="BG36">
        <v>18</v>
      </c>
      <c r="BH36">
        <v>120</v>
      </c>
      <c r="BK36" t="s">
        <v>623</v>
      </c>
      <c r="CD36">
        <v>5</v>
      </c>
      <c r="CE36">
        <v>17</v>
      </c>
      <c r="CF36">
        <v>114</v>
      </c>
      <c r="CI36" t="s">
        <v>326</v>
      </c>
      <c r="CT36">
        <v>5</v>
      </c>
      <c r="CZ36" t="s">
        <v>551</v>
      </c>
    </row>
    <row r="37" spans="1:104" x14ac:dyDescent="0.25">
      <c r="A37" t="s">
        <v>473</v>
      </c>
      <c r="B37" t="s">
        <v>474</v>
      </c>
      <c r="AH37">
        <v>111</v>
      </c>
      <c r="AN37">
        <v>2</v>
      </c>
      <c r="BF37">
        <v>12</v>
      </c>
      <c r="BH37">
        <v>140</v>
      </c>
      <c r="BK37" t="s">
        <v>624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487</v>
      </c>
      <c r="AH38">
        <v>12</v>
      </c>
      <c r="AI38">
        <v>20</v>
      </c>
      <c r="AJ38">
        <v>115</v>
      </c>
      <c r="AM38" t="s">
        <v>623</v>
      </c>
      <c r="BF38">
        <v>12</v>
      </c>
      <c r="BH38">
        <v>160</v>
      </c>
      <c r="BK38" t="s">
        <v>625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622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624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491</v>
      </c>
      <c r="AH40">
        <v>12</v>
      </c>
      <c r="AJ40">
        <v>155</v>
      </c>
      <c r="AM40" t="s">
        <v>625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623</v>
      </c>
      <c r="CT40">
        <v>5</v>
      </c>
    </row>
    <row r="41" spans="1:104" x14ac:dyDescent="0.25">
      <c r="A41" t="s">
        <v>492</v>
      </c>
      <c r="B41" t="s">
        <v>493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624</v>
      </c>
      <c r="CT41">
        <v>5</v>
      </c>
    </row>
    <row r="42" spans="1:104" x14ac:dyDescent="0.25">
      <c r="A42" t="s">
        <v>494</v>
      </c>
      <c r="B42" t="s">
        <v>495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625</v>
      </c>
      <c r="CT42">
        <v>5</v>
      </c>
    </row>
    <row r="43" spans="1:104" x14ac:dyDescent="0.25">
      <c r="A43" t="s">
        <v>496</v>
      </c>
      <c r="B43" t="s">
        <v>497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401</v>
      </c>
      <c r="BF44" s="1" t="s">
        <v>670</v>
      </c>
      <c r="BI44">
        <v>523</v>
      </c>
      <c r="BJ44">
        <v>191</v>
      </c>
      <c r="BK44" t="s">
        <v>402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174</v>
      </c>
    </row>
    <row r="45" spans="1:104" x14ac:dyDescent="0.25">
      <c r="A45" t="s">
        <v>422</v>
      </c>
      <c r="B45" t="s">
        <v>423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425</v>
      </c>
      <c r="BF46">
        <v>2</v>
      </c>
      <c r="BG46">
        <v>407</v>
      </c>
      <c r="BH46">
        <v>30</v>
      </c>
      <c r="BI46">
        <v>90</v>
      </c>
      <c r="BK46" t="s">
        <v>397</v>
      </c>
      <c r="CT46">
        <v>5</v>
      </c>
      <c r="CU46">
        <v>184</v>
      </c>
      <c r="CV46">
        <v>114</v>
      </c>
      <c r="CY46" t="s">
        <v>426</v>
      </c>
    </row>
    <row r="47" spans="1:104" x14ac:dyDescent="0.25">
      <c r="A47" t="s">
        <v>427</v>
      </c>
      <c r="B47" t="s">
        <v>428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399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430</v>
      </c>
      <c r="AH48" s="1" t="s">
        <v>665</v>
      </c>
      <c r="AK48">
        <v>523</v>
      </c>
      <c r="AL48">
        <v>185</v>
      </c>
      <c r="AM48" t="s">
        <v>361</v>
      </c>
      <c r="AN48">
        <v>5</v>
      </c>
      <c r="BF48">
        <v>5</v>
      </c>
      <c r="BG48">
        <v>18</v>
      </c>
      <c r="BH48">
        <v>19</v>
      </c>
      <c r="BK48" t="s">
        <v>619</v>
      </c>
    </row>
    <row r="49" spans="1:104" x14ac:dyDescent="0.25">
      <c r="A49" t="s">
        <v>431</v>
      </c>
      <c r="B49" t="s">
        <v>459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433</v>
      </c>
      <c r="AH50">
        <v>2</v>
      </c>
      <c r="AI50">
        <v>407</v>
      </c>
      <c r="AJ50">
        <v>30</v>
      </c>
      <c r="AK50">
        <v>90</v>
      </c>
      <c r="AM50" t="s">
        <v>397</v>
      </c>
      <c r="BF50">
        <v>5</v>
      </c>
      <c r="BG50">
        <v>18</v>
      </c>
      <c r="BH50">
        <v>44</v>
      </c>
      <c r="BK50" t="s">
        <v>620</v>
      </c>
      <c r="CD50" s="1" t="s">
        <v>672</v>
      </c>
      <c r="CG50">
        <v>550</v>
      </c>
      <c r="CH50">
        <v>227</v>
      </c>
      <c r="CI50" t="s">
        <v>20</v>
      </c>
      <c r="CJ50">
        <v>5</v>
      </c>
      <c r="CT50">
        <v>5</v>
      </c>
      <c r="CU50">
        <v>17</v>
      </c>
      <c r="CV50">
        <v>101</v>
      </c>
      <c r="CY50" t="s">
        <v>21</v>
      </c>
      <c r="CZ50" t="s">
        <v>599</v>
      </c>
    </row>
    <row r="51" spans="1:104" x14ac:dyDescent="0.25">
      <c r="A51" t="s">
        <v>439</v>
      </c>
      <c r="B51" t="s">
        <v>418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399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420</v>
      </c>
      <c r="AH52">
        <v>5</v>
      </c>
      <c r="AI52">
        <v>18</v>
      </c>
      <c r="AJ52">
        <v>19</v>
      </c>
      <c r="AM52" t="s">
        <v>619</v>
      </c>
      <c r="BF52">
        <v>12</v>
      </c>
      <c r="BG52">
        <v>220</v>
      </c>
      <c r="BH52">
        <v>40</v>
      </c>
      <c r="BK52" t="s">
        <v>506</v>
      </c>
      <c r="CD52">
        <v>2</v>
      </c>
      <c r="CE52">
        <v>440</v>
      </c>
      <c r="CF52">
        <v>30</v>
      </c>
      <c r="CG52">
        <v>90</v>
      </c>
      <c r="CI52" t="s">
        <v>397</v>
      </c>
      <c r="CT52">
        <v>5</v>
      </c>
      <c r="CU52">
        <v>132</v>
      </c>
      <c r="CV52">
        <v>101</v>
      </c>
      <c r="CY52" t="s">
        <v>421</v>
      </c>
    </row>
    <row r="53" spans="1:104" x14ac:dyDescent="0.25">
      <c r="A53" t="s">
        <v>338</v>
      </c>
      <c r="B53" t="s">
        <v>339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509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399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341</v>
      </c>
      <c r="AH54">
        <v>13</v>
      </c>
      <c r="AI54">
        <v>19</v>
      </c>
      <c r="AJ54">
        <v>41</v>
      </c>
      <c r="AM54" t="s">
        <v>480</v>
      </c>
      <c r="AN54" t="b">
        <v>0</v>
      </c>
      <c r="BF54">
        <v>13</v>
      </c>
      <c r="BG54">
        <v>18</v>
      </c>
      <c r="BH54">
        <v>75</v>
      </c>
      <c r="BK54" t="s">
        <v>621</v>
      </c>
      <c r="BL54" t="b">
        <v>0</v>
      </c>
      <c r="CD54">
        <v>5</v>
      </c>
      <c r="CE54">
        <v>17</v>
      </c>
      <c r="CF54">
        <v>18</v>
      </c>
      <c r="CI54" t="s">
        <v>642</v>
      </c>
      <c r="CT54">
        <v>5</v>
      </c>
      <c r="CU54">
        <v>232</v>
      </c>
      <c r="CV54">
        <v>101</v>
      </c>
      <c r="CY54" t="s">
        <v>342</v>
      </c>
    </row>
    <row r="55" spans="1:104" x14ac:dyDescent="0.25">
      <c r="A55" t="s">
        <v>177</v>
      </c>
      <c r="B55" t="s">
        <v>178</v>
      </c>
      <c r="AH55">
        <v>5</v>
      </c>
      <c r="AI55">
        <v>20</v>
      </c>
      <c r="AJ55">
        <v>62</v>
      </c>
      <c r="AM55" t="s">
        <v>326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622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180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643</v>
      </c>
      <c r="CT56">
        <v>5</v>
      </c>
      <c r="CU56">
        <v>17</v>
      </c>
      <c r="CV56">
        <v>131</v>
      </c>
      <c r="CY56" t="s">
        <v>556</v>
      </c>
    </row>
    <row r="57" spans="1:104" x14ac:dyDescent="0.25">
      <c r="A57" t="s">
        <v>557</v>
      </c>
      <c r="B57" t="s">
        <v>558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622</v>
      </c>
      <c r="BF57">
        <v>12</v>
      </c>
      <c r="BG57">
        <v>18</v>
      </c>
      <c r="BH57">
        <v>120</v>
      </c>
      <c r="BK57" t="s">
        <v>623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186</v>
      </c>
      <c r="AH58">
        <v>111</v>
      </c>
      <c r="AN58">
        <v>2</v>
      </c>
      <c r="BF58">
        <v>12</v>
      </c>
      <c r="BH58">
        <v>140</v>
      </c>
      <c r="BK58" t="s">
        <v>624</v>
      </c>
      <c r="CD58">
        <v>5</v>
      </c>
      <c r="CE58">
        <v>17</v>
      </c>
      <c r="CF58">
        <v>70</v>
      </c>
      <c r="CI58" t="s">
        <v>644</v>
      </c>
      <c r="CT58">
        <v>5</v>
      </c>
      <c r="CU58">
        <v>288</v>
      </c>
      <c r="CV58">
        <v>131</v>
      </c>
      <c r="CY58" t="s">
        <v>187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623</v>
      </c>
      <c r="BF59">
        <v>12</v>
      </c>
      <c r="BH59">
        <v>160</v>
      </c>
      <c r="BK59" t="s">
        <v>625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190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624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480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567</v>
      </c>
      <c r="AH61">
        <v>12</v>
      </c>
      <c r="AJ61">
        <v>147</v>
      </c>
      <c r="AM61" t="s">
        <v>625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326</v>
      </c>
      <c r="CT61">
        <v>5</v>
      </c>
      <c r="CU61">
        <v>288</v>
      </c>
      <c r="CV61">
        <v>153</v>
      </c>
      <c r="CY61" t="s">
        <v>187</v>
      </c>
    </row>
    <row r="62" spans="1:104" x14ac:dyDescent="0.25">
      <c r="A62" t="s">
        <v>568</v>
      </c>
      <c r="B62" t="s">
        <v>569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571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622</v>
      </c>
      <c r="CT63" t="s">
        <v>554</v>
      </c>
    </row>
    <row r="64" spans="1:104" x14ac:dyDescent="0.25">
      <c r="A64" t="s">
        <v>572</v>
      </c>
      <c r="B64" t="s">
        <v>458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359</v>
      </c>
      <c r="CD65">
        <v>12</v>
      </c>
      <c r="CE65">
        <v>17</v>
      </c>
      <c r="CF65">
        <v>156</v>
      </c>
      <c r="CI65" t="s">
        <v>623</v>
      </c>
      <c r="CT65">
        <v>5</v>
      </c>
    </row>
    <row r="66" spans="1:104" x14ac:dyDescent="0.25">
      <c r="A66" t="s">
        <v>194</v>
      </c>
      <c r="B66" t="s">
        <v>460</v>
      </c>
      <c r="BF66" t="s">
        <v>334</v>
      </c>
      <c r="CD66">
        <v>12</v>
      </c>
      <c r="CF66">
        <v>176</v>
      </c>
      <c r="CI66" t="s">
        <v>624</v>
      </c>
      <c r="CT66">
        <v>5</v>
      </c>
    </row>
    <row r="67" spans="1:104" x14ac:dyDescent="0.25">
      <c r="A67" t="s">
        <v>195</v>
      </c>
      <c r="B67" t="s">
        <v>196</v>
      </c>
      <c r="BF67" s="1" t="s">
        <v>667</v>
      </c>
      <c r="BI67">
        <v>523</v>
      </c>
      <c r="BJ67">
        <v>181</v>
      </c>
      <c r="BK67" t="s">
        <v>575</v>
      </c>
      <c r="BL67">
        <v>5</v>
      </c>
      <c r="CD67">
        <v>12</v>
      </c>
      <c r="CF67">
        <v>196</v>
      </c>
      <c r="CI67" t="s">
        <v>625</v>
      </c>
      <c r="CT67">
        <v>5</v>
      </c>
    </row>
    <row r="68" spans="1:104" x14ac:dyDescent="0.25">
      <c r="A68" t="s">
        <v>576</v>
      </c>
      <c r="B68" t="s">
        <v>577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579</v>
      </c>
      <c r="AH69" s="1" t="s">
        <v>669</v>
      </c>
      <c r="AK69">
        <v>523</v>
      </c>
      <c r="AL69">
        <v>205</v>
      </c>
      <c r="AM69" t="s">
        <v>196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397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581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399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583</v>
      </c>
      <c r="AH71">
        <v>2</v>
      </c>
      <c r="AI71">
        <v>407</v>
      </c>
      <c r="AJ71">
        <v>30</v>
      </c>
      <c r="AK71">
        <v>90</v>
      </c>
      <c r="AM71" t="s">
        <v>397</v>
      </c>
      <c r="BF71">
        <v>5</v>
      </c>
      <c r="BG71">
        <v>18</v>
      </c>
      <c r="BH71">
        <v>19</v>
      </c>
      <c r="BK71" t="s">
        <v>619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399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202</v>
      </c>
    </row>
    <row r="73" spans="1:104" x14ac:dyDescent="0.25">
      <c r="A73" t="s">
        <v>203</v>
      </c>
      <c r="B73" t="s">
        <v>204</v>
      </c>
      <c r="AH73">
        <v>5</v>
      </c>
      <c r="AI73">
        <v>18</v>
      </c>
      <c r="AJ73">
        <v>19</v>
      </c>
      <c r="AM73" t="s">
        <v>619</v>
      </c>
      <c r="BF73">
        <v>13</v>
      </c>
      <c r="BG73">
        <v>18</v>
      </c>
      <c r="BH73">
        <v>40</v>
      </c>
      <c r="BK73" t="s">
        <v>621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206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622</v>
      </c>
      <c r="CD74" t="s">
        <v>441</v>
      </c>
      <c r="CT74">
        <v>5</v>
      </c>
      <c r="CU74">
        <v>24</v>
      </c>
      <c r="CV74">
        <v>134</v>
      </c>
      <c r="CY74" t="s">
        <v>27</v>
      </c>
    </row>
    <row r="75" spans="1:104" x14ac:dyDescent="0.25">
      <c r="A75" t="s">
        <v>207</v>
      </c>
      <c r="B75" t="s">
        <v>208</v>
      </c>
      <c r="AH75">
        <v>13</v>
      </c>
      <c r="AI75">
        <v>18</v>
      </c>
      <c r="AJ75">
        <v>41</v>
      </c>
      <c r="AM75" t="s">
        <v>621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209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499</v>
      </c>
      <c r="AH76">
        <v>5</v>
      </c>
      <c r="AI76">
        <v>18</v>
      </c>
      <c r="AJ76">
        <v>69</v>
      </c>
      <c r="AM76" t="s">
        <v>500</v>
      </c>
      <c r="BF76">
        <v>12</v>
      </c>
      <c r="BG76">
        <v>18</v>
      </c>
      <c r="BH76">
        <v>86</v>
      </c>
      <c r="BK76" t="s">
        <v>623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624</v>
      </c>
      <c r="CD77">
        <v>2</v>
      </c>
      <c r="CE77">
        <v>440</v>
      </c>
      <c r="CF77">
        <v>30</v>
      </c>
      <c r="CG77">
        <v>90</v>
      </c>
      <c r="CI77" t="s">
        <v>397</v>
      </c>
      <c r="CT77" t="s">
        <v>376</v>
      </c>
    </row>
    <row r="78" spans="1:104" x14ac:dyDescent="0.25">
      <c r="A78" t="s">
        <v>219</v>
      </c>
      <c r="B78" t="s">
        <v>216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622</v>
      </c>
      <c r="BF78">
        <v>12</v>
      </c>
      <c r="BH78">
        <v>126</v>
      </c>
      <c r="BK78" t="s">
        <v>625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399</v>
      </c>
      <c r="CT78">
        <v>5</v>
      </c>
      <c r="CZ78" t="s">
        <v>376</v>
      </c>
    </row>
    <row r="79" spans="1:104" x14ac:dyDescent="0.25">
      <c r="A79" t="s">
        <v>220</v>
      </c>
      <c r="B79" t="s">
        <v>20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642</v>
      </c>
      <c r="CT79">
        <v>5</v>
      </c>
    </row>
    <row r="80" spans="1:104" x14ac:dyDescent="0.25">
      <c r="A80" t="s">
        <v>221</v>
      </c>
      <c r="B80" t="s">
        <v>555</v>
      </c>
      <c r="AH80">
        <v>5</v>
      </c>
      <c r="AI80">
        <v>18</v>
      </c>
      <c r="AJ80">
        <v>112</v>
      </c>
      <c r="AM80" t="s">
        <v>623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209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605</v>
      </c>
      <c r="BL81" t="b">
        <v>0</v>
      </c>
      <c r="CD81">
        <v>5</v>
      </c>
      <c r="CE81">
        <v>17</v>
      </c>
      <c r="CF81">
        <v>41</v>
      </c>
      <c r="CI81" t="s">
        <v>643</v>
      </c>
      <c r="CT81">
        <v>5</v>
      </c>
    </row>
    <row r="82" spans="1:104" x14ac:dyDescent="0.25">
      <c r="A82" t="s">
        <v>606</v>
      </c>
      <c r="B82" t="s">
        <v>607</v>
      </c>
      <c r="AH82">
        <v>205</v>
      </c>
      <c r="AI82">
        <v>18</v>
      </c>
      <c r="AJ82">
        <v>132</v>
      </c>
      <c r="AM82" t="s">
        <v>624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302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644</v>
      </c>
      <c r="CT83">
        <v>5</v>
      </c>
    </row>
    <row r="84" spans="1:104" x14ac:dyDescent="0.25">
      <c r="A84" t="s">
        <v>303</v>
      </c>
      <c r="B84" t="s">
        <v>466</v>
      </c>
      <c r="AH84">
        <v>205</v>
      </c>
      <c r="AI84">
        <v>18</v>
      </c>
      <c r="AJ84">
        <v>152</v>
      </c>
      <c r="AM84" t="s">
        <v>625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227</v>
      </c>
      <c r="AH85">
        <v>13</v>
      </c>
      <c r="AI85">
        <v>18</v>
      </c>
      <c r="AJ85">
        <v>175</v>
      </c>
      <c r="AM85" t="s">
        <v>626</v>
      </c>
      <c r="AN85" t="b">
        <v>0</v>
      </c>
      <c r="CD85">
        <v>13</v>
      </c>
      <c r="CE85">
        <v>18</v>
      </c>
      <c r="CF85">
        <v>87</v>
      </c>
      <c r="CI85" t="s">
        <v>480</v>
      </c>
      <c r="CJ85" t="b">
        <v>0</v>
      </c>
      <c r="CT85">
        <v>5</v>
      </c>
    </row>
    <row r="86" spans="1:104" x14ac:dyDescent="0.25">
      <c r="A86" t="s">
        <v>228</v>
      </c>
      <c r="B86" t="s">
        <v>229</v>
      </c>
      <c r="AH86">
        <v>13</v>
      </c>
      <c r="AI86">
        <v>222</v>
      </c>
      <c r="AJ86">
        <v>175</v>
      </c>
      <c r="AM86" t="s">
        <v>627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326</v>
      </c>
      <c r="CT86">
        <v>5</v>
      </c>
    </row>
    <row r="87" spans="1:104" x14ac:dyDescent="0.25">
      <c r="A87" t="s">
        <v>231</v>
      </c>
      <c r="B87" t="s">
        <v>615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617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622</v>
      </c>
      <c r="CT88">
        <v>5</v>
      </c>
      <c r="CU88">
        <v>26</v>
      </c>
      <c r="CV88">
        <v>108</v>
      </c>
      <c r="CY88" t="s">
        <v>618</v>
      </c>
    </row>
    <row r="89" spans="1:104" x14ac:dyDescent="0.25">
      <c r="A89" t="s">
        <v>299</v>
      </c>
      <c r="B89" t="s">
        <v>234</v>
      </c>
      <c r="BF89">
        <v>2</v>
      </c>
      <c r="BG89">
        <v>407</v>
      </c>
      <c r="BH89">
        <v>30</v>
      </c>
      <c r="BI89">
        <v>90</v>
      </c>
      <c r="BK89" t="s">
        <v>397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66</v>
      </c>
      <c r="BK90" t="s">
        <v>399</v>
      </c>
      <c r="CD90">
        <v>12</v>
      </c>
      <c r="CE90">
        <v>17</v>
      </c>
      <c r="CF90">
        <v>152</v>
      </c>
      <c r="CI90" t="s">
        <v>623</v>
      </c>
    </row>
    <row r="91" spans="1:104" x14ac:dyDescent="0.25">
      <c r="A91" t="s">
        <v>237</v>
      </c>
      <c r="B91" t="s">
        <v>238</v>
      </c>
      <c r="BF91">
        <v>5</v>
      </c>
      <c r="BG91">
        <v>18</v>
      </c>
      <c r="BH91">
        <v>19</v>
      </c>
      <c r="BK91" t="s">
        <v>619</v>
      </c>
      <c r="CD91">
        <v>12</v>
      </c>
      <c r="CF91">
        <v>172</v>
      </c>
      <c r="CI91" t="s">
        <v>624</v>
      </c>
      <c r="CT91" t="s">
        <v>379</v>
      </c>
    </row>
    <row r="92" spans="1:104" x14ac:dyDescent="0.25">
      <c r="A92" t="s">
        <v>239</v>
      </c>
      <c r="B92" t="s">
        <v>484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625</v>
      </c>
      <c r="CT92">
        <v>5</v>
      </c>
      <c r="CZ92" t="s">
        <v>379</v>
      </c>
    </row>
    <row r="93" spans="1:104" x14ac:dyDescent="0.25">
      <c r="A93" t="s">
        <v>485</v>
      </c>
      <c r="B93" t="s">
        <v>486</v>
      </c>
      <c r="BF93">
        <v>5</v>
      </c>
      <c r="BG93">
        <v>18</v>
      </c>
      <c r="BH93">
        <v>43</v>
      </c>
      <c r="BK93" t="s">
        <v>637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243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245</v>
      </c>
      <c r="BF95">
        <v>13</v>
      </c>
      <c r="BG95">
        <v>18</v>
      </c>
      <c r="BH95">
        <v>66</v>
      </c>
      <c r="BK95" t="s">
        <v>480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247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622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251</v>
      </c>
      <c r="BF98">
        <v>12</v>
      </c>
      <c r="BG98">
        <v>18</v>
      </c>
      <c r="BH98">
        <v>112</v>
      </c>
      <c r="BK98" t="s">
        <v>623</v>
      </c>
      <c r="CT98">
        <v>5</v>
      </c>
    </row>
    <row r="99" spans="1:104" x14ac:dyDescent="0.25">
      <c r="A99" t="s">
        <v>252</v>
      </c>
      <c r="B99" t="s">
        <v>510</v>
      </c>
      <c r="BF99">
        <v>12</v>
      </c>
      <c r="BH99">
        <v>132</v>
      </c>
      <c r="BK99" t="s">
        <v>624</v>
      </c>
      <c r="CD99" t="s">
        <v>357</v>
      </c>
      <c r="CT99">
        <v>5</v>
      </c>
    </row>
    <row r="100" spans="1:104" x14ac:dyDescent="0.25">
      <c r="A100" t="s">
        <v>511</v>
      </c>
      <c r="B100" t="s">
        <v>512</v>
      </c>
      <c r="BF100">
        <v>12</v>
      </c>
      <c r="BH100">
        <v>152</v>
      </c>
      <c r="BK100" t="s">
        <v>625</v>
      </c>
      <c r="CD100" s="1" t="s">
        <v>674</v>
      </c>
      <c r="CG100">
        <v>577</v>
      </c>
      <c r="CH100">
        <v>281</v>
      </c>
      <c r="CI100" t="s">
        <v>245</v>
      </c>
      <c r="CJ100">
        <v>5</v>
      </c>
      <c r="CT100">
        <v>5</v>
      </c>
      <c r="CU100">
        <v>23</v>
      </c>
      <c r="CV100">
        <v>131</v>
      </c>
      <c r="CY100" t="s">
        <v>28</v>
      </c>
    </row>
    <row r="101" spans="1:104" x14ac:dyDescent="0.25">
      <c r="A101" t="s">
        <v>513</v>
      </c>
      <c r="B101" t="s">
        <v>514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402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397</v>
      </c>
      <c r="CT102">
        <v>5</v>
      </c>
      <c r="CU102">
        <v>25</v>
      </c>
      <c r="CV102">
        <v>108</v>
      </c>
      <c r="CY102" t="s">
        <v>618</v>
      </c>
    </row>
    <row r="103" spans="1:104" x14ac:dyDescent="0.25">
      <c r="A103" t="s">
        <v>516</v>
      </c>
      <c r="B103" t="s">
        <v>517</v>
      </c>
      <c r="BF103">
        <v>13</v>
      </c>
      <c r="BG103">
        <v>18</v>
      </c>
      <c r="BH103">
        <v>174</v>
      </c>
      <c r="BK103" t="s">
        <v>518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399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417</v>
      </c>
      <c r="BF104">
        <v>13</v>
      </c>
      <c r="BK104" t="s">
        <v>638</v>
      </c>
      <c r="BL104" t="b">
        <v>0</v>
      </c>
      <c r="CD104">
        <v>5</v>
      </c>
      <c r="CE104">
        <v>17</v>
      </c>
      <c r="CF104">
        <v>18</v>
      </c>
      <c r="CI104" t="s">
        <v>642</v>
      </c>
    </row>
    <row r="105" spans="1:104" x14ac:dyDescent="0.25">
      <c r="A105" t="s">
        <v>534</v>
      </c>
      <c r="B105" t="s">
        <v>535</v>
      </c>
      <c r="BF105">
        <v>13</v>
      </c>
      <c r="BK105" t="s">
        <v>626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537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643</v>
      </c>
      <c r="CT106">
        <v>5</v>
      </c>
      <c r="CZ106" t="s">
        <v>382</v>
      </c>
    </row>
    <row r="107" spans="1:104" x14ac:dyDescent="0.25">
      <c r="A107" t="s">
        <v>538</v>
      </c>
      <c r="B107" t="s">
        <v>389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260</v>
      </c>
      <c r="CD108">
        <v>5</v>
      </c>
      <c r="CE108">
        <v>17</v>
      </c>
      <c r="CF108">
        <v>68</v>
      </c>
      <c r="CI108" t="s">
        <v>645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646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647</v>
      </c>
      <c r="CT112">
        <v>5</v>
      </c>
    </row>
    <row r="113" spans="1:104" x14ac:dyDescent="0.25">
      <c r="A113" t="s">
        <v>539</v>
      </c>
      <c r="B113" t="s">
        <v>540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542</v>
      </c>
      <c r="CD114">
        <v>13</v>
      </c>
      <c r="CE114">
        <v>17</v>
      </c>
      <c r="CF114">
        <v>143</v>
      </c>
      <c r="CI114" t="s">
        <v>480</v>
      </c>
      <c r="CJ114" t="b">
        <v>0</v>
      </c>
      <c r="CT114">
        <v>5</v>
      </c>
    </row>
    <row r="115" spans="1:104" x14ac:dyDescent="0.25">
      <c r="A115" t="s">
        <v>543</v>
      </c>
      <c r="B115" t="s">
        <v>457</v>
      </c>
      <c r="CD115">
        <v>5</v>
      </c>
      <c r="CE115">
        <v>17</v>
      </c>
      <c r="CF115">
        <v>168</v>
      </c>
      <c r="CI115" t="s">
        <v>326</v>
      </c>
      <c r="CT115">
        <v>5</v>
      </c>
    </row>
    <row r="116" spans="1:104" x14ac:dyDescent="0.25">
      <c r="A116" t="s">
        <v>544</v>
      </c>
      <c r="B116" t="s">
        <v>545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548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622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561</v>
      </c>
      <c r="CD118">
        <v>111</v>
      </c>
      <c r="CJ118">
        <v>2</v>
      </c>
    </row>
    <row r="119" spans="1:104" x14ac:dyDescent="0.25">
      <c r="A119" t="s">
        <v>562</v>
      </c>
      <c r="B119" t="s">
        <v>563</v>
      </c>
      <c r="CD119">
        <v>12</v>
      </c>
      <c r="CE119">
        <v>17</v>
      </c>
      <c r="CF119">
        <v>211</v>
      </c>
      <c r="CI119" t="s">
        <v>623</v>
      </c>
      <c r="CT119" t="s">
        <v>332</v>
      </c>
    </row>
    <row r="120" spans="1:104" x14ac:dyDescent="0.25">
      <c r="A120" t="s">
        <v>366</v>
      </c>
      <c r="B120" t="s">
        <v>367</v>
      </c>
      <c r="CD120">
        <v>12</v>
      </c>
      <c r="CF120">
        <v>231</v>
      </c>
      <c r="CI120" t="s">
        <v>624</v>
      </c>
      <c r="CT120">
        <v>5</v>
      </c>
      <c r="CZ120" t="s">
        <v>332</v>
      </c>
    </row>
    <row r="121" spans="1:104" x14ac:dyDescent="0.25">
      <c r="A121" t="s">
        <v>368</v>
      </c>
      <c r="B121" t="s">
        <v>369</v>
      </c>
      <c r="CD121">
        <v>12</v>
      </c>
      <c r="CF121">
        <v>251</v>
      </c>
      <c r="CI121" t="s">
        <v>625</v>
      </c>
      <c r="CT121">
        <v>5</v>
      </c>
    </row>
    <row r="122" spans="1:104" x14ac:dyDescent="0.25">
      <c r="A122" t="s">
        <v>370</v>
      </c>
      <c r="B122" t="s">
        <v>453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295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589</v>
      </c>
      <c r="CT125">
        <v>5</v>
      </c>
    </row>
    <row r="126" spans="1:104" x14ac:dyDescent="0.25">
      <c r="A126" t="s">
        <v>590</v>
      </c>
      <c r="B126" t="s">
        <v>591</v>
      </c>
      <c r="CT126">
        <v>5</v>
      </c>
    </row>
    <row r="127" spans="1:104" x14ac:dyDescent="0.25">
      <c r="A127" t="s">
        <v>592</v>
      </c>
      <c r="B127" t="s">
        <v>593</v>
      </c>
      <c r="CT127">
        <v>5</v>
      </c>
    </row>
    <row r="128" spans="1:104" x14ac:dyDescent="0.25">
      <c r="A128" t="s">
        <v>594</v>
      </c>
      <c r="B128" t="s">
        <v>595</v>
      </c>
      <c r="CT128">
        <v>5</v>
      </c>
    </row>
    <row r="129" spans="1:104" x14ac:dyDescent="0.25">
      <c r="A129" t="s">
        <v>596</v>
      </c>
      <c r="B129" t="s">
        <v>597</v>
      </c>
      <c r="CT129">
        <v>5</v>
      </c>
    </row>
    <row r="130" spans="1:104" x14ac:dyDescent="0.25">
      <c r="A130" t="s">
        <v>277</v>
      </c>
      <c r="B130" t="s">
        <v>278</v>
      </c>
      <c r="CT130">
        <v>5</v>
      </c>
      <c r="CU130">
        <v>23</v>
      </c>
      <c r="CV130">
        <v>107</v>
      </c>
      <c r="CY130" t="s">
        <v>25</v>
      </c>
    </row>
    <row r="131" spans="1:104" x14ac:dyDescent="0.25">
      <c r="A131" t="s">
        <v>279</v>
      </c>
      <c r="B131" t="s">
        <v>280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282</v>
      </c>
    </row>
    <row r="133" spans="1:104" x14ac:dyDescent="0.25">
      <c r="A133" t="s">
        <v>283</v>
      </c>
      <c r="B133" t="s">
        <v>284</v>
      </c>
    </row>
    <row r="134" spans="1:104" x14ac:dyDescent="0.25">
      <c r="A134" t="s">
        <v>285</v>
      </c>
      <c r="B134" t="s">
        <v>286</v>
      </c>
      <c r="CT134" t="s">
        <v>287</v>
      </c>
    </row>
    <row r="135" spans="1:104" x14ac:dyDescent="0.25">
      <c r="A135" t="s">
        <v>288</v>
      </c>
      <c r="B135" t="s">
        <v>289</v>
      </c>
      <c r="CT135" t="s">
        <v>507</v>
      </c>
    </row>
    <row r="136" spans="1:104" x14ac:dyDescent="0.25">
      <c r="A136" t="s">
        <v>290</v>
      </c>
      <c r="B136" t="s">
        <v>291</v>
      </c>
      <c r="CT136" t="str">
        <f>mg01s.RandUniform</f>
        <v>Uniform</v>
      </c>
      <c r="CU136" t="s">
        <v>551</v>
      </c>
    </row>
    <row r="137" spans="1:104" x14ac:dyDescent="0.25">
      <c r="A137" t="s">
        <v>292</v>
      </c>
      <c r="B137" t="s">
        <v>310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610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612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297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91</v>
      </c>
      <c r="CT141" t="str">
        <f>mg01s.RandPatterned</f>
        <v>Patterned</v>
      </c>
      <c r="CU141" t="s">
        <v>599</v>
      </c>
    </row>
    <row r="142" spans="1:104" x14ac:dyDescent="0.25">
      <c r="A142" t="s">
        <v>92</v>
      </c>
      <c r="B142" t="s">
        <v>498</v>
      </c>
      <c r="CT142" t="str">
        <f>mg01s.RandDiscrete</f>
        <v>Discrete</v>
      </c>
      <c r="CU142" t="s">
        <v>332</v>
      </c>
    </row>
    <row r="143" spans="1:104" x14ac:dyDescent="0.25">
      <c r="A143" t="s">
        <v>304</v>
      </c>
      <c r="B143" t="s">
        <v>305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102</v>
      </c>
      <c r="B148" t="s">
        <v>318</v>
      </c>
    </row>
    <row r="149" spans="1:2" x14ac:dyDescent="0.25">
      <c r="A149" t="s">
        <v>319</v>
      </c>
      <c r="B149" t="s">
        <v>104</v>
      </c>
    </row>
    <row r="150" spans="1:2" x14ac:dyDescent="0.25">
      <c r="A150" t="s">
        <v>105</v>
      </c>
      <c r="B150" t="s">
        <v>322</v>
      </c>
    </row>
    <row r="151" spans="1:2" x14ac:dyDescent="0.25">
      <c r="A151" t="s">
        <v>323</v>
      </c>
      <c r="B151" t="s">
        <v>324</v>
      </c>
    </row>
    <row r="152" spans="1:2" x14ac:dyDescent="0.25">
      <c r="A152" t="s">
        <v>108</v>
      </c>
      <c r="B152" t="s">
        <v>109</v>
      </c>
    </row>
    <row r="153" spans="1:2" x14ac:dyDescent="0.25">
      <c r="A153" t="s">
        <v>110</v>
      </c>
      <c r="B153" t="s">
        <v>111</v>
      </c>
    </row>
    <row r="154" spans="1:2" x14ac:dyDescent="0.25">
      <c r="A154" t="s">
        <v>112</v>
      </c>
      <c r="B154" t="s">
        <v>335</v>
      </c>
    </row>
    <row r="155" spans="1:2" x14ac:dyDescent="0.25">
      <c r="A155" t="s">
        <v>336</v>
      </c>
      <c r="B155" t="s">
        <v>337</v>
      </c>
    </row>
    <row r="156" spans="1:2" x14ac:dyDescent="0.25">
      <c r="A156" t="s">
        <v>120</v>
      </c>
      <c r="B156" t="s">
        <v>348</v>
      </c>
    </row>
    <row r="157" spans="1:2" x14ac:dyDescent="0.25">
      <c r="A157" t="s">
        <v>349</v>
      </c>
      <c r="B157" t="s">
        <v>446</v>
      </c>
    </row>
    <row r="158" spans="1:2" x14ac:dyDescent="0.25">
      <c r="A158" t="s">
        <v>350</v>
      </c>
      <c r="B158" t="s">
        <v>115</v>
      </c>
    </row>
    <row r="159" spans="1:2" x14ac:dyDescent="0.25">
      <c r="A159" t="s">
        <v>438</v>
      </c>
      <c r="B159" t="s">
        <v>352</v>
      </c>
    </row>
    <row r="160" spans="1:2" x14ac:dyDescent="0.25">
      <c r="A160" t="s">
        <v>353</v>
      </c>
      <c r="B160" t="s">
        <v>354</v>
      </c>
    </row>
    <row r="161" spans="1:2" x14ac:dyDescent="0.25">
      <c r="A161" t="s">
        <v>355</v>
      </c>
      <c r="B161" t="s">
        <v>128</v>
      </c>
    </row>
    <row r="162" spans="1:2" x14ac:dyDescent="0.25">
      <c r="A162" t="s">
        <v>129</v>
      </c>
      <c r="B162" t="s">
        <v>362</v>
      </c>
    </row>
    <row r="163" spans="1:2" x14ac:dyDescent="0.25">
      <c r="A163" t="s">
        <v>363</v>
      </c>
      <c r="B163" t="s">
        <v>364</v>
      </c>
    </row>
    <row r="164" spans="1:2" x14ac:dyDescent="0.25">
      <c r="A164" t="s">
        <v>365</v>
      </c>
      <c r="B164" t="s">
        <v>131</v>
      </c>
    </row>
    <row r="165" spans="1:2" x14ac:dyDescent="0.25">
      <c r="A165" t="s">
        <v>374</v>
      </c>
      <c r="B165" t="s">
        <v>375</v>
      </c>
    </row>
    <row r="166" spans="1:2" x14ac:dyDescent="0.25">
      <c r="A166" t="s">
        <v>135</v>
      </c>
      <c r="B166" t="s">
        <v>136</v>
      </c>
    </row>
    <row r="167" spans="1:2" x14ac:dyDescent="0.25">
      <c r="A167" t="s">
        <v>137</v>
      </c>
      <c r="B167" t="s">
        <v>138</v>
      </c>
    </row>
    <row r="168" spans="1:2" x14ac:dyDescent="0.25">
      <c r="A168" t="s">
        <v>139</v>
      </c>
      <c r="B168" t="s">
        <v>140</v>
      </c>
    </row>
    <row r="169" spans="1:2" x14ac:dyDescent="0.25">
      <c r="A169" t="s">
        <v>384</v>
      </c>
      <c r="B169" t="s">
        <v>461</v>
      </c>
    </row>
    <row r="170" spans="1:2" x14ac:dyDescent="0.25">
      <c r="A170" t="s">
        <v>462</v>
      </c>
      <c r="B170" t="s">
        <v>463</v>
      </c>
    </row>
    <row r="171" spans="1:2" x14ac:dyDescent="0.25">
      <c r="A171" t="s">
        <v>464</v>
      </c>
      <c r="B171" t="s">
        <v>465</v>
      </c>
    </row>
    <row r="172" spans="1:2" x14ac:dyDescent="0.25">
      <c r="A172" t="s">
        <v>388</v>
      </c>
      <c r="B172" t="s">
        <v>146</v>
      </c>
    </row>
    <row r="173" spans="1:2" x14ac:dyDescent="0.25">
      <c r="A173" t="s">
        <v>147</v>
      </c>
      <c r="B173" t="s">
        <v>148</v>
      </c>
    </row>
    <row r="174" spans="1:2" x14ac:dyDescent="0.25">
      <c r="A174" t="s">
        <v>385</v>
      </c>
      <c r="B174" t="s">
        <v>475</v>
      </c>
    </row>
    <row r="175" spans="1:2" x14ac:dyDescent="0.25">
      <c r="A175" t="s">
        <v>151</v>
      </c>
      <c r="B175" t="s">
        <v>152</v>
      </c>
    </row>
    <row r="176" spans="1:2" x14ac:dyDescent="0.25">
      <c r="A176" t="s">
        <v>406</v>
      </c>
      <c r="B176" t="s">
        <v>407</v>
      </c>
    </row>
    <row r="177" spans="1:2" x14ac:dyDescent="0.25">
      <c r="A177" t="s">
        <v>408</v>
      </c>
      <c r="B177" t="s">
        <v>502</v>
      </c>
    </row>
    <row r="178" spans="1:2" x14ac:dyDescent="0.25">
      <c r="A178" t="s">
        <v>503</v>
      </c>
      <c r="B178" t="s">
        <v>504</v>
      </c>
    </row>
    <row r="179" spans="1:2" x14ac:dyDescent="0.25">
      <c r="A179" t="s">
        <v>410</v>
      </c>
      <c r="B179" t="s">
        <v>411</v>
      </c>
    </row>
    <row r="180" spans="1:2" x14ac:dyDescent="0.25">
      <c r="A180" t="s">
        <v>412</v>
      </c>
      <c r="B180" t="s">
        <v>160</v>
      </c>
    </row>
    <row r="181" spans="1:2" x14ac:dyDescent="0.25">
      <c r="A181" t="s">
        <v>161</v>
      </c>
      <c r="B181" t="s">
        <v>414</v>
      </c>
    </row>
    <row r="182" spans="1:2" x14ac:dyDescent="0.25">
      <c r="A182" t="s">
        <v>415</v>
      </c>
      <c r="B182" t="s">
        <v>416</v>
      </c>
    </row>
    <row r="183" spans="1:2" x14ac:dyDescent="0.25">
      <c r="A183" t="s">
        <v>173</v>
      </c>
      <c r="B183" t="s">
        <v>166</v>
      </c>
    </row>
    <row r="184" spans="1:2" x14ac:dyDescent="0.25">
      <c r="A184" t="s">
        <v>167</v>
      </c>
      <c r="B184" t="s">
        <v>168</v>
      </c>
    </row>
    <row r="185" spans="1:2" x14ac:dyDescent="0.25">
      <c r="A185" t="s">
        <v>169</v>
      </c>
      <c r="B185" t="s">
        <v>183</v>
      </c>
    </row>
    <row r="186" spans="1:2" x14ac:dyDescent="0.25">
      <c r="A186" t="s">
        <v>444</v>
      </c>
      <c r="B186" t="s">
        <v>172</v>
      </c>
    </row>
    <row r="187" spans="1:2" x14ac:dyDescent="0.25">
      <c r="A187" t="s">
        <v>18</v>
      </c>
      <c r="B187" t="s">
        <v>19</v>
      </c>
    </row>
    <row r="188" spans="1:2" x14ac:dyDescent="0.25">
      <c r="A188" t="s">
        <v>175</v>
      </c>
      <c r="B188" t="s">
        <v>22</v>
      </c>
    </row>
    <row r="189" spans="1:2" x14ac:dyDescent="0.25">
      <c r="A189" t="s">
        <v>181</v>
      </c>
      <c r="B189" t="s">
        <v>182</v>
      </c>
    </row>
    <row r="190" spans="1:2" x14ac:dyDescent="0.25">
      <c r="A190" t="s">
        <v>64</v>
      </c>
      <c r="B190" t="s">
        <v>184</v>
      </c>
    </row>
    <row r="191" spans="1:2" x14ac:dyDescent="0.25">
      <c r="A191" t="s">
        <v>185</v>
      </c>
      <c r="B191" t="s">
        <v>191</v>
      </c>
    </row>
    <row r="192" spans="1:2" x14ac:dyDescent="0.25">
      <c r="A192" t="s">
        <v>192</v>
      </c>
      <c r="B192" t="s">
        <v>66</v>
      </c>
    </row>
    <row r="193" spans="1:2" x14ac:dyDescent="0.25">
      <c r="A193" t="s">
        <v>67</v>
      </c>
      <c r="B193" t="s">
        <v>68</v>
      </c>
    </row>
    <row r="194" spans="1:2" x14ac:dyDescent="0.25">
      <c r="A194" t="s">
        <v>197</v>
      </c>
      <c r="B194" t="s">
        <v>198</v>
      </c>
    </row>
    <row r="195" spans="1:2" x14ac:dyDescent="0.25">
      <c r="A195" t="s">
        <v>199</v>
      </c>
      <c r="B195" t="s">
        <v>43</v>
      </c>
    </row>
    <row r="196" spans="1:2" x14ac:dyDescent="0.25">
      <c r="A196" t="s">
        <v>44</v>
      </c>
      <c r="B196" t="s">
        <v>45</v>
      </c>
    </row>
    <row r="197" spans="1:2" x14ac:dyDescent="0.25">
      <c r="A197" t="s">
        <v>46</v>
      </c>
      <c r="B197" t="s">
        <v>211</v>
      </c>
    </row>
    <row r="198" spans="1:2" x14ac:dyDescent="0.25">
      <c r="A198" t="s">
        <v>212</v>
      </c>
      <c r="B198" t="s">
        <v>214</v>
      </c>
    </row>
    <row r="199" spans="1:2" x14ac:dyDescent="0.25">
      <c r="A199" t="s">
        <v>215</v>
      </c>
      <c r="B199" t="s">
        <v>76</v>
      </c>
    </row>
    <row r="200" spans="1:2" x14ac:dyDescent="0.25">
      <c r="A200" t="s">
        <v>77</v>
      </c>
      <c r="B200" t="s">
        <v>222</v>
      </c>
    </row>
    <row r="201" spans="1:2" x14ac:dyDescent="0.25">
      <c r="A201" t="s">
        <v>223</v>
      </c>
      <c r="B201" t="s">
        <v>217</v>
      </c>
    </row>
    <row r="202" spans="1:2" x14ac:dyDescent="0.25">
      <c r="A202" t="s">
        <v>1</v>
      </c>
      <c r="B202" t="s">
        <v>224</v>
      </c>
    </row>
    <row r="203" spans="1:2" x14ac:dyDescent="0.25">
      <c r="A203" t="s">
        <v>225</v>
      </c>
      <c r="B203" t="s">
        <v>226</v>
      </c>
    </row>
    <row r="204" spans="1:2" x14ac:dyDescent="0.25">
      <c r="A204" t="s">
        <v>4</v>
      </c>
      <c r="B204" t="s">
        <v>232</v>
      </c>
    </row>
    <row r="205" spans="1:2" x14ac:dyDescent="0.25">
      <c r="A205" t="s">
        <v>233</v>
      </c>
      <c r="B205" t="s">
        <v>5</v>
      </c>
    </row>
    <row r="206" spans="1:2" x14ac:dyDescent="0.25">
      <c r="A206" t="s">
        <v>6</v>
      </c>
      <c r="B206" t="s">
        <v>240</v>
      </c>
    </row>
    <row r="207" spans="1:2" x14ac:dyDescent="0.25">
      <c r="A207" t="s">
        <v>241</v>
      </c>
      <c r="B207" t="s">
        <v>10</v>
      </c>
    </row>
    <row r="208" spans="1:2" x14ac:dyDescent="0.25">
      <c r="A208" t="s">
        <v>11</v>
      </c>
      <c r="B208" t="s">
        <v>12</v>
      </c>
    </row>
    <row r="209" spans="1:103" x14ac:dyDescent="0.25">
      <c r="A209" t="s">
        <v>13</v>
      </c>
      <c r="B209" t="s">
        <v>253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257</v>
      </c>
    </row>
    <row r="212" spans="1:103" x14ac:dyDescent="0.25">
      <c r="A212" t="s">
        <v>258</v>
      </c>
      <c r="B212" t="s">
        <v>532</v>
      </c>
    </row>
    <row r="213" spans="1:103" x14ac:dyDescent="0.25">
      <c r="A213" t="s">
        <v>533</v>
      </c>
      <c r="B213" t="s">
        <v>16</v>
      </c>
      <c r="BS213" t="b">
        <v>1</v>
      </c>
    </row>
    <row r="214" spans="1:103" x14ac:dyDescent="0.25">
      <c r="A214" t="s">
        <v>17</v>
      </c>
      <c r="B214" t="s">
        <v>264</v>
      </c>
    </row>
    <row r="215" spans="1:103" x14ac:dyDescent="0.25">
      <c r="A215" t="s">
        <v>265</v>
      </c>
      <c r="B215" t="s">
        <v>549</v>
      </c>
    </row>
    <row r="216" spans="1:103" x14ac:dyDescent="0.25">
      <c r="A216" t="s">
        <v>550</v>
      </c>
      <c r="B216" t="s">
        <v>266</v>
      </c>
    </row>
    <row r="217" spans="1:103" x14ac:dyDescent="0.25">
      <c r="A217" t="s">
        <v>267</v>
      </c>
      <c r="B217" t="s">
        <v>261</v>
      </c>
    </row>
    <row r="218" spans="1:103" x14ac:dyDescent="0.25">
      <c r="A218" t="s">
        <v>262</v>
      </c>
      <c r="B218" t="s">
        <v>271</v>
      </c>
    </row>
    <row r="219" spans="1:103" x14ac:dyDescent="0.25">
      <c r="A219" t="s">
        <v>272</v>
      </c>
      <c r="B219" t="s">
        <v>273</v>
      </c>
    </row>
    <row r="220" spans="1:103" x14ac:dyDescent="0.25">
      <c r="A220" t="s">
        <v>36</v>
      </c>
      <c r="B220" t="s">
        <v>37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268</v>
      </c>
      <c r="AE221" t="b">
        <v>1</v>
      </c>
    </row>
    <row r="222" spans="1:103" x14ac:dyDescent="0.25">
      <c r="A222" t="s">
        <v>269</v>
      </c>
      <c r="B222" t="s">
        <v>270</v>
      </c>
      <c r="CY222" t="b">
        <v>1</v>
      </c>
    </row>
    <row r="223" spans="1:103" x14ac:dyDescent="0.25">
      <c r="A223" t="s">
        <v>40</v>
      </c>
      <c r="B223" t="s">
        <v>41</v>
      </c>
    </row>
    <row r="224" spans="1:103" x14ac:dyDescent="0.25">
      <c r="A224" t="s">
        <v>42</v>
      </c>
      <c r="B224" t="s">
        <v>274</v>
      </c>
      <c r="CI224" t="b">
        <v>1</v>
      </c>
    </row>
    <row r="225" spans="1:2" x14ac:dyDescent="0.25">
      <c r="A225" t="s">
        <v>275</v>
      </c>
      <c r="B225" t="s">
        <v>276</v>
      </c>
    </row>
    <row r="226" spans="1:2" x14ac:dyDescent="0.25">
      <c r="A226" t="s">
        <v>73</v>
      </c>
      <c r="B226" t="s">
        <v>74</v>
      </c>
    </row>
    <row r="227" spans="1:2" x14ac:dyDescent="0.25">
      <c r="A227" t="s">
        <v>75</v>
      </c>
      <c r="B227" t="s">
        <v>87</v>
      </c>
    </row>
    <row r="228" spans="1:2" x14ac:dyDescent="0.25">
      <c r="A228" t="s">
        <v>88</v>
      </c>
      <c r="B228" t="s">
        <v>48</v>
      </c>
    </row>
    <row r="229" spans="1:2" x14ac:dyDescent="0.25">
      <c r="A229" t="s">
        <v>49</v>
      </c>
      <c r="B229" t="s">
        <v>50</v>
      </c>
    </row>
    <row r="230" spans="1:2" x14ac:dyDescent="0.25">
      <c r="A230" t="s">
        <v>51</v>
      </c>
      <c r="B230" t="s">
        <v>52</v>
      </c>
    </row>
    <row r="231" spans="1:2" x14ac:dyDescent="0.25">
      <c r="A231" t="s">
        <v>53</v>
      </c>
      <c r="B231" t="s">
        <v>54</v>
      </c>
    </row>
    <row r="232" spans="1:2" x14ac:dyDescent="0.25">
      <c r="A232" t="s">
        <v>55</v>
      </c>
      <c r="B232" t="s">
        <v>56</v>
      </c>
    </row>
    <row r="233" spans="1:2" x14ac:dyDescent="0.25">
      <c r="A233" t="s">
        <v>57</v>
      </c>
      <c r="B233" t="s">
        <v>58</v>
      </c>
    </row>
    <row r="234" spans="1:2" x14ac:dyDescent="0.25">
      <c r="A234" t="s">
        <v>59</v>
      </c>
      <c r="B234" t="s">
        <v>23</v>
      </c>
    </row>
    <row r="235" spans="1:2" x14ac:dyDescent="0.25">
      <c r="A235" t="s">
        <v>24</v>
      </c>
      <c r="B235" t="s">
        <v>31</v>
      </c>
    </row>
    <row r="236" spans="1:2" x14ac:dyDescent="0.25">
      <c r="A236" t="s">
        <v>32</v>
      </c>
      <c r="B236" t="s">
        <v>100</v>
      </c>
    </row>
    <row r="237" spans="1:2" x14ac:dyDescent="0.25">
      <c r="A237" t="s">
        <v>101</v>
      </c>
      <c r="B237" t="s">
        <v>158</v>
      </c>
    </row>
    <row r="238" spans="1:2" x14ac:dyDescent="0.25">
      <c r="A238" t="s">
        <v>159</v>
      </c>
      <c r="B238" t="s">
        <v>106</v>
      </c>
    </row>
    <row r="239" spans="1:2" x14ac:dyDescent="0.25">
      <c r="A239" t="s">
        <v>107</v>
      </c>
      <c r="B239" t="s">
        <v>14</v>
      </c>
    </row>
    <row r="240" spans="1:2" x14ac:dyDescent="0.25">
      <c r="A240" t="s">
        <v>15</v>
      </c>
      <c r="B240" t="s">
        <v>170</v>
      </c>
    </row>
    <row r="241" spans="1:2" x14ac:dyDescent="0.25">
      <c r="A241" t="s">
        <v>171</v>
      </c>
      <c r="B241" t="s">
        <v>116</v>
      </c>
    </row>
    <row r="242" spans="1:2" x14ac:dyDescent="0.25">
      <c r="A242" t="s">
        <v>117</v>
      </c>
      <c r="B242" t="s">
        <v>118</v>
      </c>
    </row>
    <row r="243" spans="1:2" x14ac:dyDescent="0.25">
      <c r="A243" t="s">
        <v>119</v>
      </c>
      <c r="B243" t="s">
        <v>121</v>
      </c>
    </row>
    <row r="244" spans="1:2" x14ac:dyDescent="0.25">
      <c r="A244" t="s">
        <v>122</v>
      </c>
      <c r="B244" t="s">
        <v>123</v>
      </c>
    </row>
    <row r="245" spans="1:2" x14ac:dyDescent="0.25">
      <c r="A245" t="s">
        <v>176</v>
      </c>
      <c r="B245" t="s">
        <v>35</v>
      </c>
    </row>
    <row r="246" spans="1:2" x14ac:dyDescent="0.25">
      <c r="A246" t="s">
        <v>126</v>
      </c>
      <c r="B246" t="s">
        <v>127</v>
      </c>
    </row>
    <row r="247" spans="1:2" x14ac:dyDescent="0.25">
      <c r="A247" t="s">
        <v>130</v>
      </c>
      <c r="B247" t="s">
        <v>38</v>
      </c>
    </row>
    <row r="248" spans="1:2" x14ac:dyDescent="0.25">
      <c r="A248" t="s">
        <v>39</v>
      </c>
      <c r="B248" t="s">
        <v>132</v>
      </c>
    </row>
    <row r="249" spans="1:2" x14ac:dyDescent="0.25">
      <c r="A249" t="s">
        <v>133</v>
      </c>
      <c r="B249" t="s">
        <v>134</v>
      </c>
    </row>
    <row r="250" spans="1:2" x14ac:dyDescent="0.25">
      <c r="A250" t="s">
        <v>69</v>
      </c>
      <c r="B250" t="s">
        <v>70</v>
      </c>
    </row>
    <row r="251" spans="1:2" x14ac:dyDescent="0.25">
      <c r="A251" t="s">
        <v>71</v>
      </c>
      <c r="B251" t="s">
        <v>72</v>
      </c>
    </row>
    <row r="252" spans="1:2" x14ac:dyDescent="0.25">
      <c r="A252" t="s">
        <v>141</v>
      </c>
      <c r="B252" t="s">
        <v>142</v>
      </c>
    </row>
    <row r="253" spans="1:2" x14ac:dyDescent="0.25">
      <c r="A253" t="s">
        <v>143</v>
      </c>
      <c r="B253" t="s">
        <v>144</v>
      </c>
    </row>
    <row r="254" spans="1:2" x14ac:dyDescent="0.25">
      <c r="A254" t="s">
        <v>145</v>
      </c>
      <c r="B254" t="s">
        <v>47</v>
      </c>
    </row>
    <row r="255" spans="1:2" x14ac:dyDescent="0.25">
      <c r="A255" t="s">
        <v>386</v>
      </c>
      <c r="B255" t="s">
        <v>387</v>
      </c>
    </row>
    <row r="256" spans="1:2" x14ac:dyDescent="0.25">
      <c r="A256" t="s">
        <v>30</v>
      </c>
      <c r="B256" t="s">
        <v>149</v>
      </c>
    </row>
    <row r="257" spans="1:2" x14ac:dyDescent="0.25">
      <c r="A257" t="s">
        <v>33</v>
      </c>
      <c r="B257" t="s">
        <v>34</v>
      </c>
    </row>
    <row r="258" spans="1:2" x14ac:dyDescent="0.25">
      <c r="A258" t="s">
        <v>153</v>
      </c>
      <c r="B258" t="s">
        <v>154</v>
      </c>
    </row>
    <row r="259" spans="1:2" x14ac:dyDescent="0.25">
      <c r="A259" t="s">
        <v>155</v>
      </c>
      <c r="B259" t="s">
        <v>156</v>
      </c>
    </row>
    <row r="260" spans="1:2" x14ac:dyDescent="0.25">
      <c r="A260" t="s">
        <v>157</v>
      </c>
      <c r="B260" t="s">
        <v>150</v>
      </c>
    </row>
    <row r="261" spans="1:2" x14ac:dyDescent="0.25">
      <c r="A261" t="s">
        <v>3</v>
      </c>
      <c r="B261" t="s">
        <v>409</v>
      </c>
    </row>
    <row r="262" spans="1:2" x14ac:dyDescent="0.25">
      <c r="A262" t="s">
        <v>78</v>
      </c>
      <c r="B262" t="s">
        <v>79</v>
      </c>
    </row>
    <row r="263" spans="1:2" x14ac:dyDescent="0.25">
      <c r="A263" t="s">
        <v>80</v>
      </c>
      <c r="B263" t="s">
        <v>81</v>
      </c>
    </row>
    <row r="264" spans="1:2" x14ac:dyDescent="0.25">
      <c r="A264" t="s">
        <v>82</v>
      </c>
      <c r="B264" t="s">
        <v>83</v>
      </c>
    </row>
    <row r="265" spans="1:2" x14ac:dyDescent="0.25">
      <c r="A265" t="s">
        <v>84</v>
      </c>
      <c r="B265" t="s">
        <v>85</v>
      </c>
    </row>
    <row r="266" spans="1:2" x14ac:dyDescent="0.25">
      <c r="A266" t="s">
        <v>86</v>
      </c>
      <c r="B266" t="s">
        <v>213</v>
      </c>
    </row>
    <row r="267" spans="1:2" x14ac:dyDescent="0.25">
      <c r="A267" t="s">
        <v>29</v>
      </c>
      <c r="B267" t="s">
        <v>89</v>
      </c>
    </row>
    <row r="268" spans="1:2" x14ac:dyDescent="0.25">
      <c r="A268" t="s">
        <v>90</v>
      </c>
      <c r="B268" t="s">
        <v>0</v>
      </c>
    </row>
    <row r="269" spans="1:2" x14ac:dyDescent="0.25">
      <c r="A269" t="s">
        <v>95</v>
      </c>
      <c r="B269" t="s">
        <v>96</v>
      </c>
    </row>
    <row r="270" spans="1:2" x14ac:dyDescent="0.25">
      <c r="A270" t="s">
        <v>2</v>
      </c>
      <c r="B270" t="s">
        <v>103</v>
      </c>
    </row>
    <row r="271" spans="1:2" x14ac:dyDescent="0.25">
      <c r="A271" t="s">
        <v>7</v>
      </c>
      <c r="B271" t="s">
        <v>8</v>
      </c>
    </row>
    <row r="273" spans="1:2" x14ac:dyDescent="0.25">
      <c r="A273" t="s">
        <v>9</v>
      </c>
      <c r="B273" t="s">
        <v>162</v>
      </c>
    </row>
    <row r="274" spans="1:2" x14ac:dyDescent="0.25">
      <c r="A274" t="s">
        <v>163</v>
      </c>
      <c r="B274" t="s">
        <v>113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442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154</v>
      </c>
      <c r="AE2" t="s">
        <v>1299</v>
      </c>
      <c r="AF2">
        <v>4</v>
      </c>
      <c r="AH2" s="1" t="s">
        <v>656</v>
      </c>
      <c r="AK2">
        <v>515</v>
      </c>
      <c r="AL2">
        <v>223</v>
      </c>
      <c r="AM2" t="s">
        <v>4156</v>
      </c>
      <c r="AN2">
        <v>5</v>
      </c>
      <c r="AP2" s="1" t="s">
        <v>657</v>
      </c>
      <c r="AS2">
        <v>546</v>
      </c>
      <c r="AT2">
        <v>306</v>
      </c>
      <c r="AU2" t="s">
        <v>4157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507</v>
      </c>
      <c r="BJ2">
        <v>191</v>
      </c>
      <c r="BK2" t="s">
        <v>4158</v>
      </c>
      <c r="BL2">
        <v>5</v>
      </c>
      <c r="BN2" s="1" t="s">
        <v>659</v>
      </c>
      <c r="BQ2">
        <v>523</v>
      </c>
      <c r="BR2">
        <v>293</v>
      </c>
      <c r="BS2" t="s">
        <v>4159</v>
      </c>
      <c r="BT2">
        <v>5</v>
      </c>
      <c r="BV2" s="1" t="s">
        <v>660</v>
      </c>
      <c r="BY2">
        <v>523</v>
      </c>
      <c r="BZ2">
        <v>195</v>
      </c>
      <c r="CA2" t="s">
        <v>4160</v>
      </c>
      <c r="CB2">
        <v>5</v>
      </c>
      <c r="CD2" s="1" t="s">
        <v>661</v>
      </c>
      <c r="CG2">
        <v>512</v>
      </c>
      <c r="CH2">
        <v>203</v>
      </c>
      <c r="CI2" t="s">
        <v>4161</v>
      </c>
      <c r="CJ2">
        <v>5</v>
      </c>
      <c r="CL2" s="1" t="s">
        <v>662</v>
      </c>
      <c r="CO2">
        <v>523</v>
      </c>
      <c r="CP2">
        <v>263</v>
      </c>
      <c r="CQ2" t="s">
        <v>4162</v>
      </c>
      <c r="CR2">
        <v>5</v>
      </c>
      <c r="CT2" s="1" t="s">
        <v>663</v>
      </c>
      <c r="CW2">
        <v>516</v>
      </c>
      <c r="CX2">
        <v>298</v>
      </c>
      <c r="CY2" t="s">
        <v>4163</v>
      </c>
      <c r="CZ2">
        <v>4</v>
      </c>
    </row>
    <row r="3" spans="1:104" x14ac:dyDescent="0.25">
      <c r="W3" t="str">
        <f>dbCorrelationTitle</f>
        <v>Korrelasjon</v>
      </c>
      <c r="Z3">
        <v>1</v>
      </c>
      <c r="AA3">
        <v>412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412</v>
      </c>
      <c r="AB4">
        <v>30</v>
      </c>
      <c r="AC4">
        <v>88</v>
      </c>
      <c r="AE4" t="s">
        <v>4164</v>
      </c>
      <c r="AH4">
        <v>2</v>
      </c>
      <c r="AI4">
        <v>412</v>
      </c>
      <c r="AJ4">
        <v>30</v>
      </c>
      <c r="AK4">
        <v>90</v>
      </c>
      <c r="AM4" t="s">
        <v>4164</v>
      </c>
      <c r="AP4">
        <v>2</v>
      </c>
      <c r="AQ4">
        <v>443</v>
      </c>
      <c r="AR4">
        <v>31</v>
      </c>
      <c r="AS4">
        <v>90</v>
      </c>
      <c r="AU4" t="s">
        <v>4164</v>
      </c>
      <c r="AX4">
        <v>2</v>
      </c>
      <c r="AY4">
        <v>418</v>
      </c>
      <c r="AZ4">
        <v>33</v>
      </c>
      <c r="BA4">
        <v>104</v>
      </c>
      <c r="BC4" t="s">
        <v>4164</v>
      </c>
      <c r="BF4">
        <v>2</v>
      </c>
      <c r="BG4">
        <v>407</v>
      </c>
      <c r="BH4">
        <v>30</v>
      </c>
      <c r="BI4">
        <v>90</v>
      </c>
      <c r="BK4" t="s">
        <v>4164</v>
      </c>
      <c r="BN4">
        <v>2</v>
      </c>
      <c r="BO4">
        <v>407</v>
      </c>
      <c r="BP4">
        <v>30</v>
      </c>
      <c r="BQ4">
        <v>90</v>
      </c>
      <c r="BS4" t="s">
        <v>4164</v>
      </c>
      <c r="BV4">
        <v>2</v>
      </c>
      <c r="BW4">
        <v>407</v>
      </c>
      <c r="BX4">
        <v>30</v>
      </c>
      <c r="BY4">
        <v>90</v>
      </c>
      <c r="CA4" t="s">
        <v>4164</v>
      </c>
      <c r="CD4">
        <v>2</v>
      </c>
      <c r="CE4">
        <v>407</v>
      </c>
      <c r="CF4">
        <v>30</v>
      </c>
      <c r="CG4">
        <v>90</v>
      </c>
      <c r="CI4" t="s">
        <v>4164</v>
      </c>
      <c r="CL4">
        <v>2</v>
      </c>
      <c r="CM4">
        <v>407</v>
      </c>
      <c r="CN4">
        <v>30</v>
      </c>
      <c r="CO4">
        <v>90</v>
      </c>
      <c r="CQ4" t="s">
        <v>4164</v>
      </c>
      <c r="CT4">
        <v>2</v>
      </c>
      <c r="CU4">
        <v>410</v>
      </c>
      <c r="CV4">
        <v>31</v>
      </c>
      <c r="CW4">
        <v>90</v>
      </c>
      <c r="CY4" t="s">
        <v>4164</v>
      </c>
    </row>
    <row r="5" spans="1:104" x14ac:dyDescent="0.25">
      <c r="T5">
        <v>0</v>
      </c>
      <c r="U5" t="str">
        <f>dbAnova1Title</f>
        <v>Variansanalyse: en faktor</v>
      </c>
      <c r="V5">
        <v>0</v>
      </c>
      <c r="W5" t="str">
        <f>dbAnova1Title</f>
        <v>Variansanalyse: en faktor</v>
      </c>
      <c r="X5" t="s">
        <v>447</v>
      </c>
      <c r="Y5" s="1" t="s">
        <v>656</v>
      </c>
      <c r="Z5">
        <v>5</v>
      </c>
      <c r="AA5">
        <v>19</v>
      </c>
      <c r="AB5">
        <v>6</v>
      </c>
      <c r="AE5" t="s">
        <v>4165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4166</v>
      </c>
      <c r="AP5">
        <v>14</v>
      </c>
      <c r="AQ5">
        <v>7</v>
      </c>
      <c r="AR5">
        <v>4</v>
      </c>
      <c r="AS5">
        <v>417</v>
      </c>
      <c r="AT5">
        <v>115</v>
      </c>
      <c r="AU5" t="s">
        <v>4166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4167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4166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4166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4166</v>
      </c>
      <c r="CD5">
        <v>14</v>
      </c>
      <c r="CE5">
        <v>8</v>
      </c>
      <c r="CF5">
        <v>3</v>
      </c>
      <c r="CG5">
        <v>385</v>
      </c>
      <c r="CH5">
        <v>108</v>
      </c>
      <c r="CI5" t="s">
        <v>4166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4166</v>
      </c>
      <c r="CT5">
        <v>5</v>
      </c>
      <c r="CU5">
        <v>17</v>
      </c>
      <c r="CV5">
        <v>12</v>
      </c>
      <c r="CY5" t="s">
        <v>4168</v>
      </c>
    </row>
    <row r="6" spans="1:104" x14ac:dyDescent="0.25">
      <c r="T6">
        <v>1</v>
      </c>
      <c r="U6" t="str">
        <f>dbAnova2Title</f>
        <v>Variansanalyse: To-faktor med tilbakelegging</v>
      </c>
      <c r="V6">
        <v>1</v>
      </c>
      <c r="W6" t="str">
        <f>dbAnova2Title</f>
        <v>Variansanalyse: To-faktor med tilbakelegging</v>
      </c>
      <c r="X6" t="s">
        <v>614</v>
      </c>
      <c r="Y6" s="1" t="s">
        <v>664</v>
      </c>
      <c r="Z6">
        <v>15</v>
      </c>
      <c r="AA6">
        <v>18</v>
      </c>
      <c r="AB6">
        <v>22</v>
      </c>
      <c r="AC6">
        <v>377</v>
      </c>
      <c r="AD6">
        <v>120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4169</v>
      </c>
      <c r="AP6">
        <v>5</v>
      </c>
      <c r="AQ6">
        <v>24</v>
      </c>
      <c r="AR6">
        <v>22</v>
      </c>
      <c r="AU6" t="s">
        <v>4170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4169</v>
      </c>
      <c r="BN6">
        <v>5</v>
      </c>
      <c r="BO6">
        <v>18</v>
      </c>
      <c r="BP6">
        <v>19</v>
      </c>
      <c r="BS6" t="s">
        <v>4169</v>
      </c>
      <c r="BV6">
        <v>5</v>
      </c>
      <c r="BW6">
        <v>18</v>
      </c>
      <c r="BX6">
        <v>19</v>
      </c>
      <c r="CA6" t="s">
        <v>4169</v>
      </c>
      <c r="CD6">
        <v>5</v>
      </c>
      <c r="CE6">
        <v>18</v>
      </c>
      <c r="CF6">
        <v>19</v>
      </c>
      <c r="CI6" t="s">
        <v>4171</v>
      </c>
      <c r="CL6">
        <v>5</v>
      </c>
      <c r="CM6">
        <v>18</v>
      </c>
      <c r="CN6">
        <v>19</v>
      </c>
      <c r="CQ6" t="s">
        <v>4169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Variansanalyse: To-faktor uten tilbakelegging</v>
      </c>
      <c r="V7">
        <v>2</v>
      </c>
      <c r="W7" t="str">
        <f>dbAnova3Title</f>
        <v>Variansanalyse: To-faktor uten tilbakelegging</v>
      </c>
      <c r="X7" t="s">
        <v>315</v>
      </c>
      <c r="Y7" s="1" t="s">
        <v>665</v>
      </c>
      <c r="Z7">
        <v>24</v>
      </c>
      <c r="AA7">
        <v>412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197</v>
      </c>
      <c r="AR7">
        <v>20</v>
      </c>
      <c r="AS7">
        <v>180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4172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Korrelasjon</v>
      </c>
      <c r="V8">
        <v>3</v>
      </c>
      <c r="W8" t="str">
        <f>dbCorrelationTitle</f>
        <v>Korrelasjon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4173</v>
      </c>
      <c r="AP8">
        <v>5</v>
      </c>
      <c r="AQ8">
        <v>24</v>
      </c>
      <c r="AR8">
        <v>48</v>
      </c>
      <c r="AU8" t="s">
        <v>4174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4173</v>
      </c>
      <c r="BN8">
        <v>5</v>
      </c>
      <c r="BO8">
        <v>18</v>
      </c>
      <c r="BP8">
        <v>44</v>
      </c>
      <c r="BS8" t="s">
        <v>4173</v>
      </c>
      <c r="BV8">
        <v>5</v>
      </c>
      <c r="BW8">
        <v>17</v>
      </c>
      <c r="BX8">
        <v>40</v>
      </c>
      <c r="CA8" t="s">
        <v>4175</v>
      </c>
      <c r="CD8">
        <v>5</v>
      </c>
      <c r="CE8">
        <v>18</v>
      </c>
      <c r="CF8">
        <v>41</v>
      </c>
      <c r="CI8" t="s">
        <v>4176</v>
      </c>
      <c r="CL8">
        <v>13</v>
      </c>
      <c r="CM8">
        <v>18</v>
      </c>
      <c r="CN8">
        <v>39</v>
      </c>
      <c r="CQ8" t="s">
        <v>1321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Kovarians</v>
      </c>
      <c r="V9">
        <v>4</v>
      </c>
      <c r="W9" t="str">
        <f>dbCovarianceTitle</f>
        <v>Kovarians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197</v>
      </c>
      <c r="AR9">
        <v>46</v>
      </c>
      <c r="AS9">
        <v>180</v>
      </c>
      <c r="AV9" t="s">
        <v>316</v>
      </c>
      <c r="AX9">
        <v>12</v>
      </c>
      <c r="AZ9">
        <v>110</v>
      </c>
      <c r="BC9" t="s">
        <v>4177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4178</v>
      </c>
      <c r="CT9">
        <v>5</v>
      </c>
      <c r="CU9">
        <v>17</v>
      </c>
      <c r="CV9">
        <v>63</v>
      </c>
      <c r="CY9" t="s">
        <v>1324</v>
      </c>
    </row>
    <row r="10" spans="1:104" x14ac:dyDescent="0.25">
      <c r="A10" t="s">
        <v>505</v>
      </c>
      <c r="B10" t="s">
        <v>1325</v>
      </c>
      <c r="T10">
        <v>5</v>
      </c>
      <c r="U10" t="str">
        <f>dbDescripTitle</f>
        <v>Deskriptiv statistikk</v>
      </c>
      <c r="V10">
        <v>5</v>
      </c>
      <c r="W10" t="str">
        <f>dbDescripTitle</f>
        <v>Deskriptiv statistikk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1326</v>
      </c>
      <c r="AP10">
        <v>13</v>
      </c>
      <c r="AQ10">
        <v>25</v>
      </c>
      <c r="AR10">
        <v>75</v>
      </c>
      <c r="AU10" t="s">
        <v>1321</v>
      </c>
      <c r="AV10" t="b">
        <v>0</v>
      </c>
      <c r="AX10">
        <v>12</v>
      </c>
      <c r="AZ10">
        <v>130</v>
      </c>
      <c r="BC10" t="s">
        <v>4179</v>
      </c>
      <c r="BF10">
        <v>12</v>
      </c>
      <c r="BG10">
        <v>220</v>
      </c>
      <c r="BH10">
        <v>40</v>
      </c>
      <c r="BK10" t="s">
        <v>1326</v>
      </c>
      <c r="BN10">
        <v>12</v>
      </c>
      <c r="BO10">
        <v>220</v>
      </c>
      <c r="BP10">
        <v>40</v>
      </c>
      <c r="BS10" t="s">
        <v>1326</v>
      </c>
      <c r="BV10">
        <v>13</v>
      </c>
      <c r="BW10">
        <v>17</v>
      </c>
      <c r="BX10">
        <v>60</v>
      </c>
      <c r="CA10" t="s">
        <v>1321</v>
      </c>
      <c r="CB10" t="b">
        <v>0</v>
      </c>
      <c r="CD10">
        <v>13</v>
      </c>
      <c r="CE10">
        <v>18</v>
      </c>
      <c r="CF10">
        <v>60</v>
      </c>
      <c r="CI10" t="s">
        <v>1321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4180</v>
      </c>
      <c r="T11">
        <v>6</v>
      </c>
      <c r="U11" t="str">
        <f>dbExponentTitle</f>
        <v>Eksponentiell glatting</v>
      </c>
      <c r="V11">
        <v>6</v>
      </c>
      <c r="W11" t="str">
        <f>dbExponentTitle</f>
        <v>Eksponentiell glatting</v>
      </c>
      <c r="X11" t="s">
        <v>452</v>
      </c>
      <c r="Y11" s="1" t="s">
        <v>660</v>
      </c>
      <c r="AH11">
        <v>12</v>
      </c>
      <c r="AM11" t="s">
        <v>4181</v>
      </c>
      <c r="AP11">
        <v>13</v>
      </c>
      <c r="AQ11">
        <v>197</v>
      </c>
      <c r="AR11">
        <v>75</v>
      </c>
      <c r="AU11" t="s">
        <v>4182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4181</v>
      </c>
      <c r="BN11">
        <v>12</v>
      </c>
      <c r="BS11" t="s">
        <v>4181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4167</v>
      </c>
      <c r="CD11">
        <v>5</v>
      </c>
      <c r="CE11">
        <v>18</v>
      </c>
      <c r="CF11">
        <v>86</v>
      </c>
      <c r="CI11" t="s">
        <v>4183</v>
      </c>
      <c r="CL11">
        <v>12</v>
      </c>
      <c r="CM11">
        <v>18</v>
      </c>
      <c r="CN11">
        <v>82</v>
      </c>
      <c r="CQ11" t="s">
        <v>1332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1333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 To utvalg for varianser</v>
      </c>
      <c r="V12">
        <v>7</v>
      </c>
      <c r="W12" t="str">
        <f>dbFTestTitle</f>
        <v>F-Test To utvalg for varianser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4180</v>
      </c>
      <c r="AN12" t="b">
        <v>0</v>
      </c>
      <c r="AP12">
        <v>113</v>
      </c>
      <c r="AQ12">
        <v>25</v>
      </c>
      <c r="AR12">
        <v>93</v>
      </c>
      <c r="AU12" t="s">
        <v>4184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4180</v>
      </c>
      <c r="BL12" t="b">
        <v>0</v>
      </c>
      <c r="BN12">
        <v>13</v>
      </c>
      <c r="BO12">
        <v>18</v>
      </c>
      <c r="BP12">
        <v>75</v>
      </c>
      <c r="BS12" t="s">
        <v>4180</v>
      </c>
      <c r="BT12" t="b">
        <v>0</v>
      </c>
      <c r="BV12">
        <v>5</v>
      </c>
      <c r="CB12">
        <v>1</v>
      </c>
      <c r="CD12">
        <v>8</v>
      </c>
      <c r="CE12">
        <v>64</v>
      </c>
      <c r="CF12">
        <v>84</v>
      </c>
      <c r="CG12">
        <v>68</v>
      </c>
      <c r="CJ12">
        <v>0.05</v>
      </c>
      <c r="CL12">
        <v>12</v>
      </c>
      <c r="CN12">
        <v>125</v>
      </c>
      <c r="CQ12" t="s">
        <v>4185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Fourier-analyse</v>
      </c>
      <c r="V13">
        <v>8</v>
      </c>
      <c r="W13" t="str">
        <f>dbFourierTitle</f>
        <v>Fourier-analyse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4183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4167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4167</v>
      </c>
      <c r="BV13">
        <v>5</v>
      </c>
      <c r="BW13">
        <v>17</v>
      </c>
      <c r="BX13">
        <v>99</v>
      </c>
      <c r="CA13" t="s">
        <v>4186</v>
      </c>
      <c r="CD13">
        <v>14</v>
      </c>
      <c r="CE13">
        <v>7</v>
      </c>
      <c r="CF13">
        <v>116</v>
      </c>
      <c r="CG13">
        <v>385</v>
      </c>
      <c r="CH13">
        <v>81</v>
      </c>
      <c r="CI13" t="s">
        <v>4167</v>
      </c>
      <c r="CL13">
        <v>5</v>
      </c>
      <c r="CM13">
        <v>42</v>
      </c>
      <c r="CN13">
        <v>103</v>
      </c>
      <c r="CQ13" t="s">
        <v>1338</v>
      </c>
      <c r="CT13">
        <v>5</v>
      </c>
    </row>
    <row r="14" spans="1:104" x14ac:dyDescent="0.25">
      <c r="A14" t="s">
        <v>404</v>
      </c>
      <c r="B14" t="s">
        <v>4187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4188</v>
      </c>
      <c r="T15">
        <v>10</v>
      </c>
      <c r="U15" t="str">
        <f>dbMovingTitle</f>
        <v>Bevegelig gjennomsnitt</v>
      </c>
      <c r="V15">
        <v>10</v>
      </c>
      <c r="W15" t="str">
        <f>dbMovingTitle</f>
        <v>Bevegelig gjennomsnitt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4167</v>
      </c>
      <c r="AP15">
        <v>14</v>
      </c>
      <c r="AQ15">
        <v>7</v>
      </c>
      <c r="AR15">
        <v>124</v>
      </c>
      <c r="AS15">
        <v>417</v>
      </c>
      <c r="AT15">
        <v>174</v>
      </c>
      <c r="AU15" t="s">
        <v>4167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4186</v>
      </c>
      <c r="BN15">
        <v>12</v>
      </c>
      <c r="BO15">
        <v>18</v>
      </c>
      <c r="BP15">
        <v>127</v>
      </c>
      <c r="BS15" t="s">
        <v>4186</v>
      </c>
      <c r="BV15">
        <v>205</v>
      </c>
      <c r="BW15">
        <v>17</v>
      </c>
      <c r="BX15">
        <v>119</v>
      </c>
      <c r="CA15" t="s">
        <v>4177</v>
      </c>
      <c r="CD15">
        <v>12</v>
      </c>
      <c r="CE15">
        <v>17</v>
      </c>
      <c r="CF15">
        <v>132</v>
      </c>
      <c r="CI15" t="s">
        <v>4186</v>
      </c>
      <c r="CL15">
        <v>5</v>
      </c>
      <c r="CM15">
        <v>42</v>
      </c>
      <c r="CN15">
        <v>146</v>
      </c>
      <c r="CQ15" t="s">
        <v>4189</v>
      </c>
      <c r="CT15">
        <v>5</v>
      </c>
    </row>
    <row r="16" spans="1:104" x14ac:dyDescent="0.25">
      <c r="A16" t="s">
        <v>526</v>
      </c>
      <c r="B16" t="s">
        <v>4190</v>
      </c>
      <c r="T16">
        <v>11</v>
      </c>
      <c r="U16" t="str">
        <f>dbRandomTitle</f>
        <v>Generering av tilfeldige tall</v>
      </c>
      <c r="V16">
        <v>11</v>
      </c>
      <c r="W16" t="str">
        <f>dbRandomTitle</f>
        <v>Generering av tilfeldige tall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4177</v>
      </c>
      <c r="BN16">
        <v>12</v>
      </c>
      <c r="BP16">
        <v>147</v>
      </c>
      <c r="BS16" t="s">
        <v>4177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154</v>
      </c>
      <c r="CI16" t="s">
        <v>4177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1343</v>
      </c>
      <c r="T17">
        <v>12</v>
      </c>
      <c r="U17" t="str">
        <f>dbRankPerTitle</f>
        <v>Rangering og persentil</v>
      </c>
      <c r="V17">
        <v>12</v>
      </c>
      <c r="W17" t="str">
        <f>dbRankPerTitle</f>
        <v>Rangering og persentil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4186</v>
      </c>
      <c r="AP17">
        <v>12</v>
      </c>
      <c r="AQ17">
        <v>24</v>
      </c>
      <c r="AR17">
        <v>142</v>
      </c>
      <c r="AU17" t="s">
        <v>4186</v>
      </c>
      <c r="BF17">
        <v>12</v>
      </c>
      <c r="BH17">
        <v>160</v>
      </c>
      <c r="BK17" t="s">
        <v>4179</v>
      </c>
      <c r="BN17">
        <v>12</v>
      </c>
      <c r="BP17">
        <v>167</v>
      </c>
      <c r="BS17" t="s">
        <v>4179</v>
      </c>
      <c r="BV17">
        <v>205</v>
      </c>
      <c r="BW17">
        <v>17</v>
      </c>
      <c r="BX17">
        <v>139</v>
      </c>
      <c r="CA17" t="s">
        <v>4179</v>
      </c>
      <c r="CD17">
        <v>12</v>
      </c>
      <c r="CF17">
        <v>175</v>
      </c>
      <c r="CI17" t="s">
        <v>4179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4167</v>
      </c>
      <c r="CT17">
        <v>5</v>
      </c>
    </row>
    <row r="18" spans="1:104" x14ac:dyDescent="0.25">
      <c r="A18" t="s">
        <v>531</v>
      </c>
      <c r="B18" t="s">
        <v>4191</v>
      </c>
      <c r="T18">
        <v>13</v>
      </c>
      <c r="U18" t="str">
        <f>dbRegressionTitle</f>
        <v>Regresjon</v>
      </c>
      <c r="V18">
        <v>13</v>
      </c>
      <c r="W18" t="str">
        <f>dbRegressionTitle</f>
        <v>Regresjon</v>
      </c>
      <c r="X18" t="s">
        <v>448</v>
      </c>
      <c r="Y18" s="1" t="s">
        <v>657</v>
      </c>
      <c r="AH18">
        <v>12</v>
      </c>
      <c r="AJ18">
        <v>169</v>
      </c>
      <c r="AM18" t="s">
        <v>4177</v>
      </c>
      <c r="AP18">
        <v>12</v>
      </c>
      <c r="AR18">
        <v>162</v>
      </c>
      <c r="AU18" t="s">
        <v>4177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4192</v>
      </c>
      <c r="CB18" t="b">
        <v>0</v>
      </c>
      <c r="CD18">
        <v>210</v>
      </c>
      <c r="CE18">
        <v>219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4193</v>
      </c>
      <c r="T19">
        <v>14</v>
      </c>
      <c r="U19" t="str">
        <f>dbSamplingTitle</f>
        <v>Utvalg</v>
      </c>
      <c r="V19">
        <v>14</v>
      </c>
      <c r="W19" t="str">
        <f>dbSamplingTitle</f>
        <v>Utvalg</v>
      </c>
      <c r="X19" t="s">
        <v>585</v>
      </c>
      <c r="Y19" s="1" t="s">
        <v>662</v>
      </c>
      <c r="AH19">
        <v>12</v>
      </c>
      <c r="AJ19">
        <v>189</v>
      </c>
      <c r="AM19" t="s">
        <v>4179</v>
      </c>
      <c r="AP19">
        <v>12</v>
      </c>
      <c r="AR19">
        <v>182</v>
      </c>
      <c r="AU19" t="s">
        <v>4179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4194</v>
      </c>
      <c r="CB19" t="b">
        <v>0</v>
      </c>
      <c r="CD19">
        <v>6</v>
      </c>
      <c r="CE19">
        <v>219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4186</v>
      </c>
      <c r="CT19">
        <v>5</v>
      </c>
    </row>
    <row r="20" spans="1:104" x14ac:dyDescent="0.25">
      <c r="A20" t="s">
        <v>343</v>
      </c>
      <c r="B20" t="s">
        <v>1299</v>
      </c>
      <c r="T20">
        <v>15</v>
      </c>
      <c r="U20" t="str">
        <f>dbTTest1Title</f>
        <v>T-Test: Gjennomsnitt for to parvise utvalg</v>
      </c>
      <c r="V20">
        <v>15</v>
      </c>
      <c r="W20" t="str">
        <f>dbTTest1Title</f>
        <v>T-Test: Gjennomsnitt for to parvise utvalg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180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4195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4177</v>
      </c>
      <c r="CT20">
        <v>5</v>
      </c>
    </row>
    <row r="21" spans="1:104" x14ac:dyDescent="0.25">
      <c r="A21" t="s">
        <v>346</v>
      </c>
      <c r="B21" t="s">
        <v>4196</v>
      </c>
      <c r="T21">
        <v>16</v>
      </c>
      <c r="U21" t="str">
        <f>dbTTest2Title</f>
        <v>T-Test: To utvalg med antatt like varianser</v>
      </c>
      <c r="V21">
        <v>16</v>
      </c>
      <c r="W21" t="str">
        <f>dbTTest2Title</f>
        <v>T-Test: To utvalg med antatt like varianser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180</v>
      </c>
      <c r="BN21">
        <v>113</v>
      </c>
      <c r="BO21">
        <v>18</v>
      </c>
      <c r="BP21">
        <v>209</v>
      </c>
      <c r="BS21" t="s">
        <v>4197</v>
      </c>
      <c r="BT21" t="b">
        <v>0</v>
      </c>
      <c r="CL21">
        <v>12</v>
      </c>
      <c r="CN21">
        <v>230</v>
      </c>
      <c r="CQ21" t="s">
        <v>4179</v>
      </c>
      <c r="CT21">
        <v>5</v>
      </c>
    </row>
    <row r="22" spans="1:104" x14ac:dyDescent="0.25">
      <c r="A22" t="s">
        <v>440</v>
      </c>
      <c r="B22" t="s">
        <v>4198</v>
      </c>
      <c r="T22">
        <v>17</v>
      </c>
      <c r="U22" t="str">
        <f>dbTTest3Title</f>
        <v>T-Test: To utvalg med antatt ulike varianser</v>
      </c>
      <c r="V22">
        <v>17</v>
      </c>
      <c r="W22" t="str">
        <f>dbTTest3Title</f>
        <v>T-Test: To utvalg med antatt ulike varianser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402</v>
      </c>
      <c r="AT22">
        <v>53</v>
      </c>
      <c r="AU22" t="s">
        <v>4199</v>
      </c>
      <c r="BF22" t="s">
        <v>483</v>
      </c>
      <c r="BN22">
        <v>208</v>
      </c>
      <c r="BO22">
        <v>252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4200</v>
      </c>
    </row>
    <row r="23" spans="1:104" x14ac:dyDescent="0.25">
      <c r="A23" t="s">
        <v>443</v>
      </c>
      <c r="B23" t="s">
        <v>4201</v>
      </c>
      <c r="T23">
        <v>18</v>
      </c>
      <c r="U23" t="str">
        <f>dbZTestTitle</f>
        <v>Z-Test: Gjennomsnitt for to utvalg</v>
      </c>
      <c r="V23">
        <v>18</v>
      </c>
      <c r="W23" t="str">
        <f>dbZTestTitle</f>
        <v>Z-Test: Gjennomsnitt for to utvalg</v>
      </c>
      <c r="X23" t="s">
        <v>357</v>
      </c>
      <c r="Y23" s="1" t="s">
        <v>674</v>
      </c>
      <c r="AP23">
        <v>13</v>
      </c>
      <c r="AR23">
        <v>216</v>
      </c>
      <c r="AU23" t="s">
        <v>4202</v>
      </c>
      <c r="AV23" t="b">
        <v>0</v>
      </c>
      <c r="BF23" s="1" t="s">
        <v>666</v>
      </c>
      <c r="BI23">
        <v>505</v>
      </c>
      <c r="BJ23">
        <v>191</v>
      </c>
      <c r="BK23" t="s">
        <v>1355</v>
      </c>
      <c r="BL23">
        <v>5</v>
      </c>
      <c r="BN23">
        <v>5</v>
      </c>
      <c r="BO23">
        <v>312</v>
      </c>
      <c r="BP23">
        <v>210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4203</v>
      </c>
      <c r="X24" t="s">
        <v>551</v>
      </c>
      <c r="AP24">
        <v>13</v>
      </c>
      <c r="AR24">
        <v>231</v>
      </c>
      <c r="AU24" t="s">
        <v>4204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4205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4206</v>
      </c>
    </row>
    <row r="25" spans="1:104" x14ac:dyDescent="0.25">
      <c r="A25" t="s">
        <v>552</v>
      </c>
      <c r="B25" t="s">
        <v>4207</v>
      </c>
      <c r="X25" t="s">
        <v>554</v>
      </c>
      <c r="AH25" t="s">
        <v>614</v>
      </c>
      <c r="AP25">
        <v>13</v>
      </c>
      <c r="AQ25">
        <v>236</v>
      </c>
      <c r="AR25">
        <v>216</v>
      </c>
      <c r="AU25" t="s">
        <v>4208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4164</v>
      </c>
      <c r="BN25">
        <v>207</v>
      </c>
      <c r="BO25">
        <v>208</v>
      </c>
      <c r="BP25">
        <v>227</v>
      </c>
      <c r="BQ25">
        <v>100</v>
      </c>
      <c r="BT25">
        <v>1</v>
      </c>
      <c r="CD25" s="1" t="s">
        <v>671</v>
      </c>
      <c r="CG25">
        <v>536</v>
      </c>
      <c r="CH25">
        <v>225</v>
      </c>
      <c r="CI25" t="s">
        <v>4209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1363</v>
      </c>
      <c r="X26" t="s">
        <v>376</v>
      </c>
      <c r="AH26" s="1" t="s">
        <v>664</v>
      </c>
      <c r="AK26">
        <v>509</v>
      </c>
      <c r="AL26">
        <v>203</v>
      </c>
      <c r="AM26" t="s">
        <v>4201</v>
      </c>
      <c r="AN26">
        <v>5</v>
      </c>
      <c r="AP26">
        <v>13</v>
      </c>
      <c r="AR26">
        <v>231</v>
      </c>
      <c r="AU26" t="s">
        <v>4210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4166</v>
      </c>
      <c r="BN26">
        <v>113</v>
      </c>
      <c r="BO26">
        <v>18</v>
      </c>
      <c r="BP26">
        <v>247</v>
      </c>
      <c r="BS26" t="s">
        <v>4211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4167</v>
      </c>
    </row>
    <row r="27" spans="1:104" x14ac:dyDescent="0.25">
      <c r="A27" t="s">
        <v>377</v>
      </c>
      <c r="B27" t="s">
        <v>4212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402</v>
      </c>
      <c r="AT27">
        <v>35</v>
      </c>
      <c r="AU27" t="s">
        <v>4213</v>
      </c>
      <c r="BF27">
        <v>5</v>
      </c>
      <c r="BG27">
        <v>18</v>
      </c>
      <c r="BH27">
        <v>19</v>
      </c>
      <c r="BK27" t="s">
        <v>4169</v>
      </c>
      <c r="BN27">
        <v>207</v>
      </c>
      <c r="BO27">
        <v>208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4164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381</v>
      </c>
      <c r="X28" t="s">
        <v>382</v>
      </c>
      <c r="AH28">
        <v>2</v>
      </c>
      <c r="AI28">
        <v>407</v>
      </c>
      <c r="AJ28">
        <v>32</v>
      </c>
      <c r="AK28">
        <v>90</v>
      </c>
      <c r="AM28" t="s">
        <v>4164</v>
      </c>
      <c r="AP28">
        <v>13</v>
      </c>
      <c r="AR28">
        <v>272</v>
      </c>
      <c r="AU28" t="s">
        <v>4214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4166</v>
      </c>
      <c r="CT28">
        <v>12</v>
      </c>
      <c r="CU28">
        <v>17</v>
      </c>
      <c r="CV28">
        <v>225</v>
      </c>
      <c r="CY28" t="s">
        <v>4186</v>
      </c>
    </row>
    <row r="29" spans="1:104" x14ac:dyDescent="0.25">
      <c r="A29" t="s">
        <v>383</v>
      </c>
      <c r="B29" t="s">
        <v>4215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91</v>
      </c>
      <c r="AM29" t="s">
        <v>4166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4173</v>
      </c>
      <c r="CD29">
        <v>5</v>
      </c>
      <c r="CE29">
        <v>17</v>
      </c>
      <c r="CF29">
        <v>18</v>
      </c>
      <c r="CI29" t="s">
        <v>4171</v>
      </c>
      <c r="CT29">
        <v>12</v>
      </c>
      <c r="CV29">
        <v>245</v>
      </c>
      <c r="CY29" t="s">
        <v>4177</v>
      </c>
    </row>
    <row r="30" spans="1:104" x14ac:dyDescent="0.25">
      <c r="A30" t="s">
        <v>600</v>
      </c>
      <c r="B30" t="s">
        <v>1370</v>
      </c>
      <c r="X30" t="s">
        <v>332</v>
      </c>
      <c r="AH30">
        <v>5</v>
      </c>
      <c r="AI30">
        <v>20</v>
      </c>
      <c r="AJ30">
        <v>19</v>
      </c>
      <c r="AM30" t="s">
        <v>4169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4179</v>
      </c>
    </row>
    <row r="31" spans="1:104" x14ac:dyDescent="0.25">
      <c r="A31" t="s">
        <v>602</v>
      </c>
      <c r="B31" t="s">
        <v>4196</v>
      </c>
      <c r="X31" t="s">
        <v>263</v>
      </c>
      <c r="AH31">
        <v>10</v>
      </c>
      <c r="AI31">
        <v>208</v>
      </c>
      <c r="AJ31">
        <v>20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1326</v>
      </c>
      <c r="CD31">
        <v>5</v>
      </c>
      <c r="CE31">
        <v>17</v>
      </c>
      <c r="CF31">
        <v>41</v>
      </c>
      <c r="CI31" t="s">
        <v>4176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4216</v>
      </c>
      <c r="AH32">
        <v>5</v>
      </c>
      <c r="AI32">
        <v>20</v>
      </c>
      <c r="AJ32">
        <v>45</v>
      </c>
      <c r="AM32" t="s">
        <v>4217</v>
      </c>
      <c r="BF32">
        <v>12</v>
      </c>
      <c r="BK32" t="s">
        <v>4181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1374</v>
      </c>
      <c r="AH33">
        <v>7</v>
      </c>
      <c r="AI33">
        <v>208</v>
      </c>
      <c r="AJ33">
        <v>43</v>
      </c>
      <c r="AK33">
        <v>68</v>
      </c>
      <c r="BF33">
        <v>13</v>
      </c>
      <c r="BG33">
        <v>18</v>
      </c>
      <c r="BH33">
        <v>75</v>
      </c>
      <c r="BK33" t="s">
        <v>4180</v>
      </c>
      <c r="BL33" t="b">
        <v>0</v>
      </c>
      <c r="CD33">
        <v>5</v>
      </c>
      <c r="CE33">
        <v>17</v>
      </c>
      <c r="CF33">
        <v>70</v>
      </c>
      <c r="CI33" t="s">
        <v>4218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1376</v>
      </c>
      <c r="AH34">
        <v>5</v>
      </c>
      <c r="AI34">
        <v>20</v>
      </c>
      <c r="AJ34">
        <v>68</v>
      </c>
      <c r="AM34" t="s">
        <v>4183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4167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4219</v>
      </c>
      <c r="AH35">
        <v>8</v>
      </c>
      <c r="AI35">
        <v>208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1321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101</v>
      </c>
      <c r="AK36">
        <v>382</v>
      </c>
      <c r="AL36">
        <v>82</v>
      </c>
      <c r="AM36" t="s">
        <v>4167</v>
      </c>
      <c r="BF36">
        <v>12</v>
      </c>
      <c r="BG36">
        <v>18</v>
      </c>
      <c r="BH36">
        <v>120</v>
      </c>
      <c r="BK36" t="s">
        <v>4186</v>
      </c>
      <c r="CD36">
        <v>5</v>
      </c>
      <c r="CE36">
        <v>17</v>
      </c>
      <c r="CF36">
        <v>114</v>
      </c>
      <c r="CI36" t="s">
        <v>4183</v>
      </c>
      <c r="CT36">
        <v>5</v>
      </c>
      <c r="CZ36" t="s">
        <v>551</v>
      </c>
    </row>
    <row r="37" spans="1:104" x14ac:dyDescent="0.25">
      <c r="A37" t="s">
        <v>473</v>
      </c>
      <c r="B37" t="s">
        <v>4220</v>
      </c>
      <c r="AH37">
        <v>111</v>
      </c>
      <c r="AN37">
        <v>2</v>
      </c>
      <c r="BF37">
        <v>12</v>
      </c>
      <c r="BH37">
        <v>140</v>
      </c>
      <c r="BK37" t="s">
        <v>4177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4221</v>
      </c>
      <c r="AH38">
        <v>12</v>
      </c>
      <c r="AI38">
        <v>12</v>
      </c>
      <c r="AJ38">
        <v>120</v>
      </c>
      <c r="AM38" t="s">
        <v>4186</v>
      </c>
      <c r="BF38">
        <v>12</v>
      </c>
      <c r="BH38">
        <v>160</v>
      </c>
      <c r="BK38" t="s">
        <v>4179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4167</v>
      </c>
      <c r="CT38">
        <v>5</v>
      </c>
    </row>
    <row r="39" spans="1:104" x14ac:dyDescent="0.25">
      <c r="A39" t="s">
        <v>488</v>
      </c>
      <c r="B39" t="s">
        <v>4222</v>
      </c>
      <c r="AH39">
        <v>12</v>
      </c>
      <c r="AJ39">
        <v>138</v>
      </c>
      <c r="AM39" t="s">
        <v>4177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4223</v>
      </c>
      <c r="AH40">
        <v>12</v>
      </c>
      <c r="AJ40">
        <v>157</v>
      </c>
      <c r="AM40" t="s">
        <v>4224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4186</v>
      </c>
      <c r="CT40">
        <v>5</v>
      </c>
    </row>
    <row r="41" spans="1:104" x14ac:dyDescent="0.25">
      <c r="A41" t="s">
        <v>492</v>
      </c>
      <c r="B41" t="s">
        <v>4225</v>
      </c>
      <c r="AH41">
        <v>210</v>
      </c>
      <c r="AI41">
        <v>208</v>
      </c>
      <c r="AJ41">
        <v>117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4177</v>
      </c>
      <c r="CT41">
        <v>5</v>
      </c>
    </row>
    <row r="42" spans="1:104" x14ac:dyDescent="0.25">
      <c r="A42" t="s">
        <v>494</v>
      </c>
      <c r="B42" t="s">
        <v>4162</v>
      </c>
      <c r="AH42">
        <v>6</v>
      </c>
      <c r="AI42">
        <v>208</v>
      </c>
      <c r="AJ42">
        <v>137</v>
      </c>
      <c r="AK42">
        <v>160</v>
      </c>
      <c r="CD42">
        <v>12</v>
      </c>
      <c r="CF42">
        <v>196</v>
      </c>
      <c r="CI42" t="s">
        <v>4179</v>
      </c>
      <c r="CT42">
        <v>5</v>
      </c>
    </row>
    <row r="43" spans="1:104" x14ac:dyDescent="0.25">
      <c r="A43" t="s">
        <v>496</v>
      </c>
      <c r="B43" t="s">
        <v>1382</v>
      </c>
      <c r="AH43">
        <v>24</v>
      </c>
      <c r="AI43">
        <v>407</v>
      </c>
      <c r="AJ43">
        <v>63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4226</v>
      </c>
      <c r="BF44" s="1" t="s">
        <v>670</v>
      </c>
      <c r="BI44">
        <v>523</v>
      </c>
      <c r="BJ44">
        <v>191</v>
      </c>
      <c r="BK44" t="s">
        <v>4227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4228</v>
      </c>
    </row>
    <row r="45" spans="1:104" x14ac:dyDescent="0.25">
      <c r="A45" t="s">
        <v>422</v>
      </c>
      <c r="B45" t="s">
        <v>4229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4230</v>
      </c>
      <c r="BF46">
        <v>2</v>
      </c>
      <c r="BG46">
        <v>407</v>
      </c>
      <c r="BH46">
        <v>30</v>
      </c>
      <c r="BI46">
        <v>90</v>
      </c>
      <c r="BK46" t="s">
        <v>4164</v>
      </c>
      <c r="CT46">
        <v>5</v>
      </c>
      <c r="CU46">
        <v>184</v>
      </c>
      <c r="CV46">
        <v>114</v>
      </c>
      <c r="CY46" t="s">
        <v>4231</v>
      </c>
    </row>
    <row r="47" spans="1:104" x14ac:dyDescent="0.25">
      <c r="A47" t="s">
        <v>427</v>
      </c>
      <c r="B47" t="s">
        <v>1389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4166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4232</v>
      </c>
      <c r="AH48" s="1" t="s">
        <v>665</v>
      </c>
      <c r="AK48">
        <v>512</v>
      </c>
      <c r="AL48">
        <v>182</v>
      </c>
      <c r="AM48" t="s">
        <v>4203</v>
      </c>
      <c r="AN48">
        <v>5</v>
      </c>
      <c r="BF48">
        <v>5</v>
      </c>
      <c r="BG48">
        <v>18</v>
      </c>
      <c r="BH48">
        <v>19</v>
      </c>
      <c r="BK48" t="s">
        <v>4169</v>
      </c>
    </row>
    <row r="49" spans="1:104" x14ac:dyDescent="0.25">
      <c r="A49" t="s">
        <v>431</v>
      </c>
      <c r="B49" t="s">
        <v>4233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4215</v>
      </c>
      <c r="AH50">
        <v>2</v>
      </c>
      <c r="AI50">
        <v>407</v>
      </c>
      <c r="AJ50">
        <v>30</v>
      </c>
      <c r="AK50">
        <v>90</v>
      </c>
      <c r="AM50" t="s">
        <v>4164</v>
      </c>
      <c r="BF50">
        <v>5</v>
      </c>
      <c r="BG50">
        <v>18</v>
      </c>
      <c r="BH50">
        <v>44</v>
      </c>
      <c r="BK50" t="s">
        <v>4173</v>
      </c>
      <c r="CD50" s="1" t="s">
        <v>672</v>
      </c>
      <c r="CG50">
        <v>550</v>
      </c>
      <c r="CH50">
        <v>232</v>
      </c>
      <c r="CI50" t="s">
        <v>4234</v>
      </c>
      <c r="CJ50">
        <v>5</v>
      </c>
      <c r="CT50">
        <v>5</v>
      </c>
      <c r="CU50">
        <v>17</v>
      </c>
      <c r="CV50">
        <v>101</v>
      </c>
      <c r="CY50" t="s">
        <v>1393</v>
      </c>
      <c r="CZ50" t="s">
        <v>599</v>
      </c>
    </row>
    <row r="51" spans="1:104" x14ac:dyDescent="0.25">
      <c r="A51" t="s">
        <v>439</v>
      </c>
      <c r="B51" t="s">
        <v>4235</v>
      </c>
      <c r="AH51">
        <v>14</v>
      </c>
      <c r="AI51">
        <v>8</v>
      </c>
      <c r="AJ51">
        <v>3</v>
      </c>
      <c r="AK51">
        <v>385</v>
      </c>
      <c r="AL51">
        <v>85</v>
      </c>
      <c r="AM51" t="s">
        <v>4166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50</v>
      </c>
      <c r="CV51">
        <v>99</v>
      </c>
      <c r="CW51">
        <v>60</v>
      </c>
    </row>
    <row r="52" spans="1:104" x14ac:dyDescent="0.25">
      <c r="A52" t="s">
        <v>419</v>
      </c>
      <c r="B52" t="s">
        <v>420</v>
      </c>
      <c r="AH52">
        <v>5</v>
      </c>
      <c r="AI52">
        <v>18</v>
      </c>
      <c r="AJ52">
        <v>19</v>
      </c>
      <c r="AM52" t="s">
        <v>4169</v>
      </c>
      <c r="BF52">
        <v>12</v>
      </c>
      <c r="BG52">
        <v>220</v>
      </c>
      <c r="BH52">
        <v>40</v>
      </c>
      <c r="BK52" t="s">
        <v>1326</v>
      </c>
      <c r="CD52">
        <v>2</v>
      </c>
      <c r="CE52">
        <v>440</v>
      </c>
      <c r="CF52">
        <v>30</v>
      </c>
      <c r="CG52">
        <v>90</v>
      </c>
      <c r="CI52" t="s">
        <v>4164</v>
      </c>
      <c r="CT52">
        <v>5</v>
      </c>
      <c r="CU52">
        <v>120</v>
      </c>
      <c r="CV52">
        <v>101</v>
      </c>
      <c r="CY52" t="s">
        <v>1395</v>
      </c>
    </row>
    <row r="53" spans="1:104" x14ac:dyDescent="0.25">
      <c r="A53" t="s">
        <v>338</v>
      </c>
      <c r="B53" t="s">
        <v>1084</v>
      </c>
      <c r="AH53">
        <v>10</v>
      </c>
      <c r="AI53">
        <v>207</v>
      </c>
      <c r="AJ53">
        <v>18</v>
      </c>
      <c r="AK53">
        <v>160</v>
      </c>
      <c r="AN53" t="s">
        <v>316</v>
      </c>
      <c r="BF53">
        <v>12</v>
      </c>
      <c r="BK53" t="s">
        <v>4181</v>
      </c>
      <c r="CD53">
        <v>14</v>
      </c>
      <c r="CE53">
        <v>8</v>
      </c>
      <c r="CF53">
        <v>3</v>
      </c>
      <c r="CG53">
        <v>405</v>
      </c>
      <c r="CH53">
        <v>136</v>
      </c>
      <c r="CI53" t="s">
        <v>4166</v>
      </c>
      <c r="CT53">
        <v>8</v>
      </c>
      <c r="CU53">
        <v>146</v>
      </c>
      <c r="CV53">
        <v>99</v>
      </c>
      <c r="CW53">
        <v>60</v>
      </c>
    </row>
    <row r="54" spans="1:104" x14ac:dyDescent="0.25">
      <c r="A54" t="s">
        <v>340</v>
      </c>
      <c r="B54" t="s">
        <v>4236</v>
      </c>
      <c r="AH54">
        <v>13</v>
      </c>
      <c r="AI54">
        <v>18</v>
      </c>
      <c r="AJ54">
        <v>37</v>
      </c>
      <c r="AM54" t="s">
        <v>1321</v>
      </c>
      <c r="AN54" t="b">
        <v>0</v>
      </c>
      <c r="BF54">
        <v>13</v>
      </c>
      <c r="BG54">
        <v>18</v>
      </c>
      <c r="BH54">
        <v>75</v>
      </c>
      <c r="BK54" t="s">
        <v>4180</v>
      </c>
      <c r="BL54" t="b">
        <v>0</v>
      </c>
      <c r="CD54">
        <v>5</v>
      </c>
      <c r="CE54">
        <v>17</v>
      </c>
      <c r="CF54">
        <v>18</v>
      </c>
      <c r="CI54" t="s">
        <v>4171</v>
      </c>
      <c r="CT54">
        <v>5</v>
      </c>
      <c r="CU54">
        <v>220</v>
      </c>
      <c r="CV54">
        <v>101</v>
      </c>
      <c r="CY54" t="s">
        <v>4237</v>
      </c>
    </row>
    <row r="55" spans="1:104" x14ac:dyDescent="0.25">
      <c r="A55" t="s">
        <v>177</v>
      </c>
      <c r="B55" t="s">
        <v>4238</v>
      </c>
      <c r="AH55">
        <v>5</v>
      </c>
      <c r="AI55">
        <v>18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4167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300</v>
      </c>
      <c r="CV55">
        <v>99</v>
      </c>
      <c r="CW55">
        <v>60</v>
      </c>
    </row>
    <row r="56" spans="1:104" x14ac:dyDescent="0.25">
      <c r="A56" t="s">
        <v>179</v>
      </c>
      <c r="B56" t="s">
        <v>4239</v>
      </c>
      <c r="AH56">
        <v>8</v>
      </c>
      <c r="AI56">
        <v>60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4176</v>
      </c>
      <c r="CT56">
        <v>5</v>
      </c>
      <c r="CU56">
        <v>17</v>
      </c>
      <c r="CV56">
        <v>131</v>
      </c>
      <c r="CY56" t="s">
        <v>4240</v>
      </c>
    </row>
    <row r="57" spans="1:104" x14ac:dyDescent="0.25">
      <c r="A57" t="s">
        <v>557</v>
      </c>
      <c r="B57" t="s">
        <v>4241</v>
      </c>
      <c r="AH57">
        <v>14</v>
      </c>
      <c r="AI57">
        <v>8</v>
      </c>
      <c r="AJ57">
        <v>91</v>
      </c>
      <c r="AK57">
        <v>386</v>
      </c>
      <c r="AL57">
        <v>83</v>
      </c>
      <c r="AM57" t="s">
        <v>4167</v>
      </c>
      <c r="BF57">
        <v>12</v>
      </c>
      <c r="BG57">
        <v>18</v>
      </c>
      <c r="BH57">
        <v>120</v>
      </c>
      <c r="BK57" t="s">
        <v>4186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160</v>
      </c>
      <c r="CV57">
        <v>129</v>
      </c>
      <c r="CW57">
        <v>60</v>
      </c>
    </row>
    <row r="58" spans="1:104" x14ac:dyDescent="0.25">
      <c r="A58" t="s">
        <v>559</v>
      </c>
      <c r="B58" t="s">
        <v>1402</v>
      </c>
      <c r="AH58">
        <v>111</v>
      </c>
      <c r="AN58">
        <v>2</v>
      </c>
      <c r="BF58">
        <v>12</v>
      </c>
      <c r="BH58">
        <v>140</v>
      </c>
      <c r="BK58" t="s">
        <v>4177</v>
      </c>
      <c r="CD58">
        <v>5</v>
      </c>
      <c r="CE58">
        <v>17</v>
      </c>
      <c r="CF58">
        <v>70</v>
      </c>
      <c r="CI58" t="s">
        <v>4218</v>
      </c>
      <c r="CT58">
        <v>5</v>
      </c>
      <c r="CU58">
        <v>225</v>
      </c>
      <c r="CV58">
        <v>131</v>
      </c>
      <c r="CY58" t="s">
        <v>4242</v>
      </c>
    </row>
    <row r="59" spans="1:104" x14ac:dyDescent="0.25">
      <c r="A59" t="s">
        <v>188</v>
      </c>
      <c r="B59" t="s">
        <v>189</v>
      </c>
      <c r="AH59">
        <v>12</v>
      </c>
      <c r="AI59">
        <v>17</v>
      </c>
      <c r="AJ59">
        <v>109</v>
      </c>
      <c r="AM59" t="s">
        <v>4186</v>
      </c>
      <c r="BF59">
        <v>12</v>
      </c>
      <c r="BH59">
        <v>160</v>
      </c>
      <c r="BK59" t="s">
        <v>4179</v>
      </c>
      <c r="CD59">
        <v>8</v>
      </c>
      <c r="CE59">
        <v>308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4243</v>
      </c>
    </row>
    <row r="60" spans="1:104" x14ac:dyDescent="0.25">
      <c r="A60" t="s">
        <v>564</v>
      </c>
      <c r="B60" t="s">
        <v>1405</v>
      </c>
      <c r="AH60">
        <v>12</v>
      </c>
      <c r="AJ60">
        <v>127</v>
      </c>
      <c r="AM60" t="s">
        <v>4177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89</v>
      </c>
      <c r="CI60" t="s">
        <v>1321</v>
      </c>
      <c r="CJ60" t="b">
        <v>0</v>
      </c>
      <c r="CT60">
        <v>7</v>
      </c>
      <c r="CU60">
        <v>160</v>
      </c>
      <c r="CV60">
        <v>151</v>
      </c>
      <c r="CW60">
        <v>60</v>
      </c>
    </row>
    <row r="61" spans="1:104" x14ac:dyDescent="0.25">
      <c r="A61" t="s">
        <v>566</v>
      </c>
      <c r="B61" t="s">
        <v>4244</v>
      </c>
      <c r="AH61">
        <v>12</v>
      </c>
      <c r="AJ61">
        <v>147</v>
      </c>
      <c r="AM61" t="s">
        <v>4224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4183</v>
      </c>
      <c r="CT61">
        <v>5</v>
      </c>
      <c r="CU61">
        <v>225</v>
      </c>
      <c r="CV61">
        <v>153</v>
      </c>
      <c r="CY61" t="s">
        <v>4242</v>
      </c>
    </row>
    <row r="62" spans="1:104" x14ac:dyDescent="0.25">
      <c r="A62" t="s">
        <v>568</v>
      </c>
      <c r="B62" t="s">
        <v>4245</v>
      </c>
      <c r="AH62">
        <v>210</v>
      </c>
      <c r="AI62">
        <v>208</v>
      </c>
      <c r="AJ62">
        <v>108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4246</v>
      </c>
      <c r="AH63">
        <v>6</v>
      </c>
      <c r="AI63">
        <v>208</v>
      </c>
      <c r="AJ63">
        <v>128</v>
      </c>
      <c r="AK63">
        <v>160</v>
      </c>
      <c r="CD63">
        <v>14</v>
      </c>
      <c r="CE63">
        <v>8</v>
      </c>
      <c r="CF63">
        <v>142</v>
      </c>
      <c r="CG63">
        <v>405</v>
      </c>
      <c r="CH63">
        <v>81</v>
      </c>
      <c r="CI63" t="s">
        <v>4167</v>
      </c>
      <c r="CT63" t="s">
        <v>554</v>
      </c>
    </row>
    <row r="64" spans="1:104" x14ac:dyDescent="0.25">
      <c r="A64" t="s">
        <v>572</v>
      </c>
      <c r="B64" t="s">
        <v>4158</v>
      </c>
      <c r="AH64">
        <v>24</v>
      </c>
      <c r="AI64">
        <v>407</v>
      </c>
      <c r="AJ64">
        <v>63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1355</v>
      </c>
      <c r="CD65">
        <v>12</v>
      </c>
      <c r="CE65">
        <v>17</v>
      </c>
      <c r="CF65">
        <v>158</v>
      </c>
      <c r="CI65" t="s">
        <v>4186</v>
      </c>
      <c r="CT65">
        <v>5</v>
      </c>
    </row>
    <row r="66" spans="1:104" x14ac:dyDescent="0.25">
      <c r="A66" t="s">
        <v>194</v>
      </c>
      <c r="B66" t="s">
        <v>4160</v>
      </c>
      <c r="BF66" t="s">
        <v>334</v>
      </c>
      <c r="CD66">
        <v>12</v>
      </c>
      <c r="CF66">
        <v>178</v>
      </c>
      <c r="CI66" t="s">
        <v>4177</v>
      </c>
      <c r="CT66">
        <v>5</v>
      </c>
    </row>
    <row r="67" spans="1:104" x14ac:dyDescent="0.25">
      <c r="A67" t="s">
        <v>195</v>
      </c>
      <c r="B67" t="s">
        <v>4247</v>
      </c>
      <c r="BF67" s="1" t="s">
        <v>667</v>
      </c>
      <c r="BI67">
        <v>523</v>
      </c>
      <c r="BJ67">
        <v>181</v>
      </c>
      <c r="BK67" t="s">
        <v>1410</v>
      </c>
      <c r="BL67">
        <v>5</v>
      </c>
      <c r="CD67">
        <v>12</v>
      </c>
      <c r="CF67">
        <v>198</v>
      </c>
      <c r="CI67" t="s">
        <v>4179</v>
      </c>
      <c r="CT67">
        <v>5</v>
      </c>
    </row>
    <row r="68" spans="1:104" x14ac:dyDescent="0.25">
      <c r="A68" t="s">
        <v>576</v>
      </c>
      <c r="B68" t="s">
        <v>1411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157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1412</v>
      </c>
      <c r="AH69" s="1" t="s">
        <v>669</v>
      </c>
      <c r="AK69">
        <v>523</v>
      </c>
      <c r="AL69">
        <v>205</v>
      </c>
      <c r="AM69" t="s">
        <v>4247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4164</v>
      </c>
      <c r="CD69">
        <v>6</v>
      </c>
      <c r="CE69">
        <v>220</v>
      </c>
      <c r="CF69">
        <v>177</v>
      </c>
      <c r="CG69">
        <v>177</v>
      </c>
      <c r="CT69">
        <v>5</v>
      </c>
    </row>
    <row r="70" spans="1:104" x14ac:dyDescent="0.25">
      <c r="A70" t="s">
        <v>580</v>
      </c>
      <c r="B70" t="s">
        <v>1413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4166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4248</v>
      </c>
      <c r="AH71">
        <v>2</v>
      </c>
      <c r="AI71">
        <v>407</v>
      </c>
      <c r="AJ71">
        <v>30</v>
      </c>
      <c r="AK71">
        <v>90</v>
      </c>
      <c r="AM71" t="s">
        <v>4164</v>
      </c>
      <c r="BF71">
        <v>5</v>
      </c>
      <c r="BG71">
        <v>18</v>
      </c>
      <c r="BH71">
        <v>19</v>
      </c>
      <c r="BK71" t="s">
        <v>4169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4166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4249</v>
      </c>
    </row>
    <row r="73" spans="1:104" x14ac:dyDescent="0.25">
      <c r="A73" t="s">
        <v>203</v>
      </c>
      <c r="B73" t="s">
        <v>4250</v>
      </c>
      <c r="AH73">
        <v>5</v>
      </c>
      <c r="AI73">
        <v>18</v>
      </c>
      <c r="AJ73">
        <v>19</v>
      </c>
      <c r="AM73" t="s">
        <v>4169</v>
      </c>
      <c r="BF73">
        <v>13</v>
      </c>
      <c r="BG73">
        <v>18</v>
      </c>
      <c r="BH73">
        <v>40</v>
      </c>
      <c r="BK73" t="s">
        <v>4180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4251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4167</v>
      </c>
      <c r="CD74" t="s">
        <v>441</v>
      </c>
      <c r="CT74">
        <v>5</v>
      </c>
      <c r="CU74">
        <v>24</v>
      </c>
      <c r="CV74">
        <v>134</v>
      </c>
      <c r="CY74" t="s">
        <v>4252</v>
      </c>
    </row>
    <row r="75" spans="1:104" x14ac:dyDescent="0.25">
      <c r="A75" t="s">
        <v>207</v>
      </c>
      <c r="B75" t="s">
        <v>1419</v>
      </c>
      <c r="AH75">
        <v>13</v>
      </c>
      <c r="AI75">
        <v>18</v>
      </c>
      <c r="AJ75">
        <v>41</v>
      </c>
      <c r="AM75" t="s">
        <v>4180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213</v>
      </c>
      <c r="CI75" t="s">
        <v>4253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4254</v>
      </c>
      <c r="AH76">
        <v>5</v>
      </c>
      <c r="AI76">
        <v>18</v>
      </c>
      <c r="AJ76">
        <v>69</v>
      </c>
      <c r="AM76" t="s">
        <v>4255</v>
      </c>
      <c r="BF76">
        <v>12</v>
      </c>
      <c r="BG76">
        <v>18</v>
      </c>
      <c r="BH76">
        <v>86</v>
      </c>
      <c r="BK76" t="s">
        <v>4186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223</v>
      </c>
      <c r="AJ77">
        <v>67</v>
      </c>
      <c r="AK77">
        <v>69</v>
      </c>
      <c r="BF77">
        <v>12</v>
      </c>
      <c r="BH77">
        <v>106</v>
      </c>
      <c r="BK77" t="s">
        <v>4177</v>
      </c>
      <c r="CD77">
        <v>2</v>
      </c>
      <c r="CE77">
        <v>440</v>
      </c>
      <c r="CF77">
        <v>30</v>
      </c>
      <c r="CG77">
        <v>90</v>
      </c>
      <c r="CI77" t="s">
        <v>4164</v>
      </c>
      <c r="CT77" t="s">
        <v>376</v>
      </c>
    </row>
    <row r="78" spans="1:104" x14ac:dyDescent="0.25">
      <c r="A78" t="s">
        <v>219</v>
      </c>
      <c r="B78" t="s">
        <v>4256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4167</v>
      </c>
      <c r="BF78">
        <v>12</v>
      </c>
      <c r="BH78">
        <v>126</v>
      </c>
      <c r="BK78" t="s">
        <v>4179</v>
      </c>
      <c r="CD78">
        <v>14</v>
      </c>
      <c r="CE78">
        <v>8</v>
      </c>
      <c r="CF78">
        <v>3</v>
      </c>
      <c r="CG78">
        <v>405</v>
      </c>
      <c r="CH78">
        <v>123</v>
      </c>
      <c r="CI78" t="s">
        <v>4166</v>
      </c>
      <c r="CT78">
        <v>5</v>
      </c>
      <c r="CZ78" t="s">
        <v>376</v>
      </c>
    </row>
    <row r="79" spans="1:104" x14ac:dyDescent="0.25">
      <c r="A79" t="s">
        <v>220</v>
      </c>
      <c r="B79" t="s">
        <v>4257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4171</v>
      </c>
      <c r="CT79">
        <v>5</v>
      </c>
    </row>
    <row r="80" spans="1:104" x14ac:dyDescent="0.25">
      <c r="A80" t="s">
        <v>221</v>
      </c>
      <c r="B80" t="s">
        <v>4209</v>
      </c>
      <c r="AH80">
        <v>5</v>
      </c>
      <c r="AI80">
        <v>18</v>
      </c>
      <c r="AJ80">
        <v>112</v>
      </c>
      <c r="AM80" t="s">
        <v>4186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179</v>
      </c>
      <c r="CT80">
        <v>5</v>
      </c>
    </row>
    <row r="81" spans="1:104" x14ac:dyDescent="0.25">
      <c r="A81" t="s">
        <v>604</v>
      </c>
      <c r="B81" t="s">
        <v>4258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1424</v>
      </c>
      <c r="BL81" t="b">
        <v>0</v>
      </c>
      <c r="CD81">
        <v>5</v>
      </c>
      <c r="CE81">
        <v>17</v>
      </c>
      <c r="CF81">
        <v>41</v>
      </c>
      <c r="CI81" t="s">
        <v>4176</v>
      </c>
      <c r="CT81">
        <v>5</v>
      </c>
    </row>
    <row r="82" spans="1:104" x14ac:dyDescent="0.25">
      <c r="A82" t="s">
        <v>606</v>
      </c>
      <c r="B82" t="s">
        <v>4259</v>
      </c>
      <c r="AH82">
        <v>205</v>
      </c>
      <c r="AI82">
        <v>18</v>
      </c>
      <c r="AJ82">
        <v>132</v>
      </c>
      <c r="AM82" t="s">
        <v>4177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4260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18</v>
      </c>
      <c r="CF83">
        <v>65</v>
      </c>
      <c r="CI83" t="s">
        <v>4218</v>
      </c>
      <c r="CT83">
        <v>5</v>
      </c>
    </row>
    <row r="84" spans="1:104" x14ac:dyDescent="0.25">
      <c r="A84" t="s">
        <v>303</v>
      </c>
      <c r="B84" t="s">
        <v>4261</v>
      </c>
      <c r="AH84">
        <v>205</v>
      </c>
      <c r="AI84">
        <v>18</v>
      </c>
      <c r="AJ84">
        <v>152</v>
      </c>
      <c r="AM84" t="s">
        <v>4179</v>
      </c>
      <c r="CD84">
        <v>8</v>
      </c>
      <c r="CE84">
        <v>312</v>
      </c>
      <c r="CF84">
        <v>61</v>
      </c>
      <c r="CG84">
        <v>86</v>
      </c>
      <c r="CT84">
        <v>5</v>
      </c>
    </row>
    <row r="85" spans="1:104" x14ac:dyDescent="0.25">
      <c r="A85" t="s">
        <v>467</v>
      </c>
      <c r="B85" t="s">
        <v>4262</v>
      </c>
      <c r="AH85">
        <v>13</v>
      </c>
      <c r="AI85">
        <v>18</v>
      </c>
      <c r="AJ85">
        <v>175</v>
      </c>
      <c r="AM85" t="s">
        <v>4263</v>
      </c>
      <c r="AN85" t="b">
        <v>0</v>
      </c>
      <c r="CD85">
        <v>13</v>
      </c>
      <c r="CE85">
        <v>18</v>
      </c>
      <c r="CF85">
        <v>83</v>
      </c>
      <c r="CI85" t="s">
        <v>1321</v>
      </c>
      <c r="CJ85" t="b">
        <v>0</v>
      </c>
      <c r="CT85">
        <v>5</v>
      </c>
    </row>
    <row r="86" spans="1:104" x14ac:dyDescent="0.25">
      <c r="A86" t="s">
        <v>228</v>
      </c>
      <c r="B86" t="s">
        <v>4264</v>
      </c>
      <c r="AH86">
        <v>13</v>
      </c>
      <c r="AI86">
        <v>222</v>
      </c>
      <c r="AJ86">
        <v>175</v>
      </c>
      <c r="AM86" t="s">
        <v>4194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106</v>
      </c>
      <c r="CI86" t="s">
        <v>4183</v>
      </c>
      <c r="CT86">
        <v>5</v>
      </c>
    </row>
    <row r="87" spans="1:104" x14ac:dyDescent="0.25">
      <c r="A87" t="s">
        <v>231</v>
      </c>
      <c r="B87" t="s">
        <v>4265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62</v>
      </c>
      <c r="CF87">
        <v>102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4266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131</v>
      </c>
      <c r="CG88">
        <v>405</v>
      </c>
      <c r="CH88">
        <v>81</v>
      </c>
      <c r="CI88" t="s">
        <v>4167</v>
      </c>
      <c r="CT88">
        <v>5</v>
      </c>
      <c r="CU88">
        <v>26</v>
      </c>
      <c r="CV88">
        <v>108</v>
      </c>
      <c r="CY88" t="s">
        <v>4267</v>
      </c>
    </row>
    <row r="89" spans="1:104" x14ac:dyDescent="0.25">
      <c r="A89" t="s">
        <v>299</v>
      </c>
      <c r="B89" t="s">
        <v>4268</v>
      </c>
      <c r="BF89">
        <v>2</v>
      </c>
      <c r="BG89">
        <v>407</v>
      </c>
      <c r="BH89">
        <v>30</v>
      </c>
      <c r="BI89">
        <v>90</v>
      </c>
      <c r="BK89" t="s">
        <v>4164</v>
      </c>
      <c r="CD89">
        <v>111</v>
      </c>
      <c r="CJ89">
        <v>2</v>
      </c>
      <c r="CT89">
        <v>8</v>
      </c>
      <c r="CU89">
        <v>111</v>
      </c>
      <c r="CV89">
        <v>104</v>
      </c>
      <c r="CW89">
        <v>55</v>
      </c>
    </row>
    <row r="90" spans="1:104" x14ac:dyDescent="0.25">
      <c r="A90" t="s">
        <v>235</v>
      </c>
      <c r="B90" t="s">
        <v>4269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4166</v>
      </c>
      <c r="CD90">
        <v>12</v>
      </c>
      <c r="CE90">
        <v>17</v>
      </c>
      <c r="CF90">
        <v>147</v>
      </c>
      <c r="CI90" t="s">
        <v>4186</v>
      </c>
    </row>
    <row r="91" spans="1:104" x14ac:dyDescent="0.25">
      <c r="A91" t="s">
        <v>237</v>
      </c>
      <c r="B91" t="s">
        <v>4270</v>
      </c>
      <c r="BF91">
        <v>5</v>
      </c>
      <c r="BG91">
        <v>18</v>
      </c>
      <c r="BH91">
        <v>19</v>
      </c>
      <c r="BK91" t="s">
        <v>4169</v>
      </c>
      <c r="CD91">
        <v>12</v>
      </c>
      <c r="CF91">
        <v>167</v>
      </c>
      <c r="CI91" t="s">
        <v>4177</v>
      </c>
      <c r="CT91" t="s">
        <v>379</v>
      </c>
    </row>
    <row r="92" spans="1:104" x14ac:dyDescent="0.25">
      <c r="A92" t="s">
        <v>239</v>
      </c>
      <c r="B92" t="s">
        <v>4271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187</v>
      </c>
      <c r="CI92" t="s">
        <v>4179</v>
      </c>
      <c r="CT92">
        <v>5</v>
      </c>
      <c r="CZ92" t="s">
        <v>379</v>
      </c>
    </row>
    <row r="93" spans="1:104" x14ac:dyDescent="0.25">
      <c r="A93" t="s">
        <v>485</v>
      </c>
      <c r="B93" t="s">
        <v>1438</v>
      </c>
      <c r="BF93">
        <v>5</v>
      </c>
      <c r="BG93">
        <v>18</v>
      </c>
      <c r="BH93">
        <v>43</v>
      </c>
      <c r="BK93" t="s">
        <v>4272</v>
      </c>
      <c r="CD93">
        <v>210</v>
      </c>
      <c r="CE93">
        <v>220</v>
      </c>
      <c r="CF93">
        <v>145</v>
      </c>
      <c r="CG93">
        <v>177</v>
      </c>
      <c r="CT93">
        <v>5</v>
      </c>
    </row>
    <row r="94" spans="1:104" x14ac:dyDescent="0.25">
      <c r="A94" t="s">
        <v>242</v>
      </c>
      <c r="B94" t="s">
        <v>1440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167</v>
      </c>
      <c r="CG94">
        <v>177</v>
      </c>
      <c r="CT94">
        <v>5</v>
      </c>
    </row>
    <row r="95" spans="1:104" x14ac:dyDescent="0.25">
      <c r="A95" t="s">
        <v>244</v>
      </c>
      <c r="B95" t="s">
        <v>4273</v>
      </c>
      <c r="BF95">
        <v>13</v>
      </c>
      <c r="BG95">
        <v>18</v>
      </c>
      <c r="BH95">
        <v>66</v>
      </c>
      <c r="BK95" t="s">
        <v>1321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4274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4167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4275</v>
      </c>
      <c r="BF98">
        <v>12</v>
      </c>
      <c r="BG98">
        <v>18</v>
      </c>
      <c r="BH98">
        <v>112</v>
      </c>
      <c r="BK98" t="s">
        <v>4186</v>
      </c>
      <c r="CT98">
        <v>5</v>
      </c>
    </row>
    <row r="99" spans="1:104" x14ac:dyDescent="0.25">
      <c r="A99" t="s">
        <v>252</v>
      </c>
      <c r="B99" t="s">
        <v>4276</v>
      </c>
      <c r="BF99">
        <v>12</v>
      </c>
      <c r="BH99">
        <v>132</v>
      </c>
      <c r="BK99" t="s">
        <v>4177</v>
      </c>
      <c r="CD99" t="s">
        <v>357</v>
      </c>
      <c r="CT99">
        <v>5</v>
      </c>
    </row>
    <row r="100" spans="1:104" x14ac:dyDescent="0.25">
      <c r="A100" t="s">
        <v>511</v>
      </c>
      <c r="B100" t="s">
        <v>4277</v>
      </c>
      <c r="BF100">
        <v>12</v>
      </c>
      <c r="BH100">
        <v>152</v>
      </c>
      <c r="BK100" t="s">
        <v>4179</v>
      </c>
      <c r="CD100" s="1" t="s">
        <v>674</v>
      </c>
      <c r="CG100">
        <v>560</v>
      </c>
      <c r="CH100">
        <v>286</v>
      </c>
      <c r="CI100" t="s">
        <v>4273</v>
      </c>
      <c r="CJ100">
        <v>5</v>
      </c>
      <c r="CT100">
        <v>5</v>
      </c>
      <c r="CU100">
        <v>23</v>
      </c>
      <c r="CV100">
        <v>131</v>
      </c>
      <c r="CY100" t="s">
        <v>4278</v>
      </c>
    </row>
    <row r="101" spans="1:104" x14ac:dyDescent="0.25">
      <c r="A101" t="s">
        <v>513</v>
      </c>
      <c r="B101" t="s">
        <v>4279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450</v>
      </c>
      <c r="CF101">
        <v>7</v>
      </c>
      <c r="CG101">
        <v>90</v>
      </c>
      <c r="CI101" t="s">
        <v>390</v>
      </c>
      <c r="CT101">
        <v>7</v>
      </c>
      <c r="CU101">
        <v>137</v>
      </c>
      <c r="CV101">
        <v>131</v>
      </c>
      <c r="CW101">
        <v>53</v>
      </c>
    </row>
    <row r="102" spans="1:104" x14ac:dyDescent="0.25">
      <c r="A102" t="s">
        <v>515</v>
      </c>
      <c r="B102" t="s">
        <v>4280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450</v>
      </c>
      <c r="CF102">
        <v>30</v>
      </c>
      <c r="CG102">
        <v>90</v>
      </c>
      <c r="CI102" t="s">
        <v>4164</v>
      </c>
      <c r="CT102">
        <v>5</v>
      </c>
      <c r="CU102">
        <v>25</v>
      </c>
      <c r="CV102">
        <v>108</v>
      </c>
      <c r="CY102" t="s">
        <v>4267</v>
      </c>
    </row>
    <row r="103" spans="1:104" x14ac:dyDescent="0.25">
      <c r="A103" t="s">
        <v>516</v>
      </c>
      <c r="B103" t="s">
        <v>4281</v>
      </c>
      <c r="BF103">
        <v>13</v>
      </c>
      <c r="BG103">
        <v>18</v>
      </c>
      <c r="BH103">
        <v>174</v>
      </c>
      <c r="BK103" t="s">
        <v>4282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190</v>
      </c>
      <c r="CI103" t="s">
        <v>4166</v>
      </c>
      <c r="CT103">
        <v>8</v>
      </c>
      <c r="CU103">
        <v>135</v>
      </c>
      <c r="CV103">
        <v>108</v>
      </c>
      <c r="CW103">
        <v>55</v>
      </c>
    </row>
    <row r="104" spans="1:104" x14ac:dyDescent="0.25">
      <c r="A104" t="s">
        <v>519</v>
      </c>
      <c r="B104" t="s">
        <v>4283</v>
      </c>
      <c r="BF104">
        <v>13</v>
      </c>
      <c r="BK104" t="s">
        <v>4284</v>
      </c>
      <c r="BL104" t="b">
        <v>0</v>
      </c>
      <c r="CD104">
        <v>5</v>
      </c>
      <c r="CE104">
        <v>17</v>
      </c>
      <c r="CF104">
        <v>18</v>
      </c>
      <c r="CI104" t="s">
        <v>4171</v>
      </c>
    </row>
    <row r="105" spans="1:104" x14ac:dyDescent="0.25">
      <c r="A105" t="s">
        <v>534</v>
      </c>
      <c r="B105" t="s">
        <v>1451</v>
      </c>
      <c r="BF105">
        <v>13</v>
      </c>
      <c r="BK105" t="s">
        <v>4192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4285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4176</v>
      </c>
      <c r="CT106">
        <v>5</v>
      </c>
      <c r="CZ106" t="s">
        <v>382</v>
      </c>
    </row>
    <row r="107" spans="1:104" x14ac:dyDescent="0.25">
      <c r="A107" t="s">
        <v>538</v>
      </c>
      <c r="B107" t="s">
        <v>4163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260</v>
      </c>
      <c r="CD108">
        <v>5</v>
      </c>
      <c r="CE108">
        <v>16</v>
      </c>
      <c r="CF108">
        <v>69</v>
      </c>
      <c r="CI108" t="s">
        <v>4218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17</v>
      </c>
      <c r="CF110">
        <v>94</v>
      </c>
      <c r="CI110" t="s">
        <v>4286</v>
      </c>
      <c r="CT110">
        <v>5</v>
      </c>
    </row>
    <row r="111" spans="1:104" x14ac:dyDescent="0.25">
      <c r="A111" t="s">
        <v>434</v>
      </c>
      <c r="B111" t="s">
        <v>4287</v>
      </c>
      <c r="CD111">
        <v>8</v>
      </c>
      <c r="CE111">
        <v>260</v>
      </c>
      <c r="CF111">
        <v>92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120</v>
      </c>
      <c r="CI112" t="s">
        <v>4288</v>
      </c>
      <c r="CT112">
        <v>5</v>
      </c>
    </row>
    <row r="113" spans="1:104" x14ac:dyDescent="0.25">
      <c r="A113" t="s">
        <v>539</v>
      </c>
      <c r="B113" t="s">
        <v>4289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1457</v>
      </c>
      <c r="CD114">
        <v>13</v>
      </c>
      <c r="CE114">
        <v>17</v>
      </c>
      <c r="CF114">
        <v>142</v>
      </c>
      <c r="CI114" t="s">
        <v>1321</v>
      </c>
      <c r="CJ114" t="b">
        <v>0</v>
      </c>
      <c r="CT114">
        <v>5</v>
      </c>
    </row>
    <row r="115" spans="1:104" x14ac:dyDescent="0.25">
      <c r="A115" t="s">
        <v>543</v>
      </c>
      <c r="B115" t="s">
        <v>4157</v>
      </c>
      <c r="CD115">
        <v>5</v>
      </c>
      <c r="CE115">
        <v>17</v>
      </c>
      <c r="CF115">
        <v>166</v>
      </c>
      <c r="CI115" t="s">
        <v>4183</v>
      </c>
      <c r="CT115">
        <v>5</v>
      </c>
    </row>
    <row r="116" spans="1:104" x14ac:dyDescent="0.25">
      <c r="A116" t="s">
        <v>544</v>
      </c>
      <c r="B116" t="s">
        <v>4290</v>
      </c>
      <c r="CD116">
        <v>8</v>
      </c>
      <c r="CE116">
        <v>72</v>
      </c>
      <c r="CF116">
        <v>165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4291</v>
      </c>
      <c r="CD117">
        <v>14</v>
      </c>
      <c r="CE117">
        <v>8</v>
      </c>
      <c r="CF117">
        <v>199</v>
      </c>
      <c r="CG117">
        <v>422</v>
      </c>
      <c r="CH117">
        <v>81</v>
      </c>
      <c r="CI117" t="s">
        <v>4167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4292</v>
      </c>
      <c r="CD118">
        <v>111</v>
      </c>
      <c r="CJ118">
        <v>2</v>
      </c>
    </row>
    <row r="119" spans="1:104" x14ac:dyDescent="0.25">
      <c r="A119" t="s">
        <v>562</v>
      </c>
      <c r="B119" t="s">
        <v>4293</v>
      </c>
      <c r="CD119">
        <v>12</v>
      </c>
      <c r="CE119">
        <v>17</v>
      </c>
      <c r="CF119">
        <v>215</v>
      </c>
      <c r="CI119" t="s">
        <v>4186</v>
      </c>
      <c r="CT119" t="s">
        <v>332</v>
      </c>
    </row>
    <row r="120" spans="1:104" x14ac:dyDescent="0.25">
      <c r="A120" t="s">
        <v>366</v>
      </c>
      <c r="B120" t="s">
        <v>4294</v>
      </c>
      <c r="CD120">
        <v>12</v>
      </c>
      <c r="CF120">
        <v>235</v>
      </c>
      <c r="CI120" t="s">
        <v>4177</v>
      </c>
      <c r="CT120">
        <v>5</v>
      </c>
      <c r="CZ120" t="s">
        <v>332</v>
      </c>
    </row>
    <row r="121" spans="1:104" x14ac:dyDescent="0.25">
      <c r="A121" t="s">
        <v>368</v>
      </c>
      <c r="B121" t="s">
        <v>4295</v>
      </c>
      <c r="CD121">
        <v>12</v>
      </c>
      <c r="CF121">
        <v>255</v>
      </c>
      <c r="CI121" t="s">
        <v>4179</v>
      </c>
      <c r="CT121">
        <v>5</v>
      </c>
    </row>
    <row r="122" spans="1:104" x14ac:dyDescent="0.25">
      <c r="A122" t="s">
        <v>370</v>
      </c>
      <c r="B122" t="s">
        <v>4296</v>
      </c>
      <c r="CD122">
        <v>210</v>
      </c>
      <c r="CE122">
        <v>222</v>
      </c>
      <c r="CF122">
        <v>214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234</v>
      </c>
      <c r="CG123">
        <v>192</v>
      </c>
      <c r="CT123">
        <v>5</v>
      </c>
    </row>
    <row r="124" spans="1:104" x14ac:dyDescent="0.25">
      <c r="A124" t="s">
        <v>294</v>
      </c>
      <c r="B124" t="s">
        <v>4297</v>
      </c>
      <c r="CD124">
        <v>24</v>
      </c>
      <c r="CE124">
        <v>450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4298</v>
      </c>
      <c r="CT125">
        <v>5</v>
      </c>
    </row>
    <row r="126" spans="1:104" x14ac:dyDescent="0.25">
      <c r="A126" t="s">
        <v>590</v>
      </c>
      <c r="B126" t="s">
        <v>4299</v>
      </c>
      <c r="CT126">
        <v>5</v>
      </c>
    </row>
    <row r="127" spans="1:104" x14ac:dyDescent="0.25">
      <c r="A127" t="s">
        <v>592</v>
      </c>
      <c r="B127" t="s">
        <v>4300</v>
      </c>
      <c r="CT127">
        <v>5</v>
      </c>
    </row>
    <row r="128" spans="1:104" x14ac:dyDescent="0.25">
      <c r="A128" t="s">
        <v>594</v>
      </c>
      <c r="B128" t="s">
        <v>4301</v>
      </c>
      <c r="CT128">
        <v>5</v>
      </c>
    </row>
    <row r="129" spans="1:104" x14ac:dyDescent="0.25">
      <c r="A129" t="s">
        <v>596</v>
      </c>
      <c r="B129" t="s">
        <v>1351</v>
      </c>
      <c r="CT129">
        <v>5</v>
      </c>
    </row>
    <row r="130" spans="1:104" x14ac:dyDescent="0.25">
      <c r="A130" t="s">
        <v>277</v>
      </c>
      <c r="B130" t="s">
        <v>4302</v>
      </c>
      <c r="CT130">
        <v>5</v>
      </c>
      <c r="CU130">
        <v>23</v>
      </c>
      <c r="CV130">
        <v>107</v>
      </c>
      <c r="CY130" t="s">
        <v>4303</v>
      </c>
    </row>
    <row r="131" spans="1:104" x14ac:dyDescent="0.25">
      <c r="A131" t="s">
        <v>279</v>
      </c>
      <c r="B131" t="s">
        <v>4304</v>
      </c>
      <c r="CT131">
        <v>10</v>
      </c>
      <c r="CU131">
        <v>21</v>
      </c>
      <c r="CV131">
        <v>123</v>
      </c>
      <c r="CW131">
        <v>331</v>
      </c>
      <c r="CZ131" t="s">
        <v>316</v>
      </c>
    </row>
    <row r="132" spans="1:104" x14ac:dyDescent="0.25">
      <c r="A132" t="s">
        <v>281</v>
      </c>
      <c r="B132" t="s">
        <v>1471</v>
      </c>
    </row>
    <row r="133" spans="1:104" x14ac:dyDescent="0.25">
      <c r="A133" t="s">
        <v>283</v>
      </c>
      <c r="B133" t="s">
        <v>4305</v>
      </c>
    </row>
    <row r="134" spans="1:104" x14ac:dyDescent="0.25">
      <c r="A134" t="s">
        <v>285</v>
      </c>
      <c r="B134" t="s">
        <v>4306</v>
      </c>
      <c r="CT134" t="s">
        <v>287</v>
      </c>
    </row>
    <row r="135" spans="1:104" x14ac:dyDescent="0.25">
      <c r="A135" t="s">
        <v>288</v>
      </c>
      <c r="B135" t="s">
        <v>4307</v>
      </c>
      <c r="CT135" t="s">
        <v>507</v>
      </c>
    </row>
    <row r="136" spans="1:104" x14ac:dyDescent="0.25">
      <c r="A136" t="s">
        <v>290</v>
      </c>
      <c r="B136" t="s">
        <v>1475</v>
      </c>
      <c r="CT136" t="str">
        <f>mg01s.RandUniform</f>
        <v>Uniform</v>
      </c>
      <c r="CU136" t="s">
        <v>551</v>
      </c>
    </row>
    <row r="137" spans="1:104" x14ac:dyDescent="0.25">
      <c r="A137" t="s">
        <v>292</v>
      </c>
      <c r="B137" t="s">
        <v>4308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4309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4310</v>
      </c>
      <c r="CT139" t="str">
        <f>mg01s.RandBinomial</f>
        <v>Binomisk</v>
      </c>
      <c r="CU139" t="s">
        <v>379</v>
      </c>
    </row>
    <row r="140" spans="1:104" x14ac:dyDescent="0.25">
      <c r="A140" t="s">
        <v>613</v>
      </c>
      <c r="B140" t="s">
        <v>4311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4312</v>
      </c>
      <c r="CT141" t="str">
        <f>mg01s.RandPatterned</f>
        <v>Etter mønster</v>
      </c>
      <c r="CU141" t="s">
        <v>599</v>
      </c>
    </row>
    <row r="142" spans="1:104" x14ac:dyDescent="0.25">
      <c r="A142" t="s">
        <v>92</v>
      </c>
      <c r="B142" t="s">
        <v>4162</v>
      </c>
      <c r="CT142" t="str">
        <f>mg01s.RandDiscrete</f>
        <v>Diskret</v>
      </c>
      <c r="CU142" t="s">
        <v>332</v>
      </c>
    </row>
    <row r="143" spans="1:104" x14ac:dyDescent="0.25">
      <c r="A143" t="s">
        <v>304</v>
      </c>
      <c r="B143" t="s">
        <v>4313</v>
      </c>
    </row>
    <row r="144" spans="1:104" x14ac:dyDescent="0.25">
      <c r="A144" t="s">
        <v>306</v>
      </c>
      <c r="B144" t="s">
        <v>4314</v>
      </c>
    </row>
    <row r="145" spans="1:2" x14ac:dyDescent="0.25">
      <c r="A145" t="s">
        <v>98</v>
      </c>
      <c r="B145" t="s">
        <v>4315</v>
      </c>
    </row>
    <row r="146" spans="1:2" x14ac:dyDescent="0.25">
      <c r="A146" t="s">
        <v>311</v>
      </c>
      <c r="B146" t="s">
        <v>4316</v>
      </c>
    </row>
    <row r="147" spans="1:2" x14ac:dyDescent="0.25">
      <c r="A147" t="s">
        <v>313</v>
      </c>
      <c r="B147" t="s">
        <v>4317</v>
      </c>
    </row>
    <row r="148" spans="1:2" x14ac:dyDescent="0.25">
      <c r="A148" t="s">
        <v>102</v>
      </c>
      <c r="B148" t="s">
        <v>4318</v>
      </c>
    </row>
    <row r="149" spans="1:2" x14ac:dyDescent="0.25">
      <c r="A149" t="s">
        <v>319</v>
      </c>
      <c r="B149" t="s">
        <v>4319</v>
      </c>
    </row>
    <row r="150" spans="1:2" x14ac:dyDescent="0.25">
      <c r="A150" t="s">
        <v>105</v>
      </c>
      <c r="B150" t="s">
        <v>4320</v>
      </c>
    </row>
    <row r="151" spans="1:2" x14ac:dyDescent="0.25">
      <c r="A151" t="s">
        <v>323</v>
      </c>
      <c r="B151" t="s">
        <v>4321</v>
      </c>
    </row>
    <row r="152" spans="1:2" x14ac:dyDescent="0.25">
      <c r="A152" t="s">
        <v>108</v>
      </c>
      <c r="B152" t="s">
        <v>4322</v>
      </c>
    </row>
    <row r="153" spans="1:2" x14ac:dyDescent="0.25">
      <c r="A153" t="s">
        <v>110</v>
      </c>
      <c r="B153" t="s">
        <v>4323</v>
      </c>
    </row>
    <row r="154" spans="1:2" x14ac:dyDescent="0.25">
      <c r="A154" t="s">
        <v>112</v>
      </c>
      <c r="B154" t="s">
        <v>4324</v>
      </c>
    </row>
    <row r="155" spans="1:2" x14ac:dyDescent="0.25">
      <c r="A155" t="s">
        <v>336</v>
      </c>
      <c r="B155" t="s">
        <v>4325</v>
      </c>
    </row>
    <row r="156" spans="1:2" x14ac:dyDescent="0.25">
      <c r="A156" t="s">
        <v>120</v>
      </c>
      <c r="B156" t="s">
        <v>4326</v>
      </c>
    </row>
    <row r="157" spans="1:2" x14ac:dyDescent="0.25">
      <c r="A157" t="s">
        <v>349</v>
      </c>
      <c r="B157" t="s">
        <v>4327</v>
      </c>
    </row>
    <row r="158" spans="1:2" x14ac:dyDescent="0.25">
      <c r="A158" t="s">
        <v>350</v>
      </c>
      <c r="B158" t="s">
        <v>4328</v>
      </c>
    </row>
    <row r="159" spans="1:2" x14ac:dyDescent="0.25">
      <c r="A159" t="s">
        <v>438</v>
      </c>
      <c r="B159" t="s">
        <v>4329</v>
      </c>
    </row>
    <row r="160" spans="1:2" x14ac:dyDescent="0.25">
      <c r="A160" t="s">
        <v>353</v>
      </c>
      <c r="B160" t="s">
        <v>4330</v>
      </c>
    </row>
    <row r="161" spans="1:2" x14ac:dyDescent="0.25">
      <c r="A161" t="s">
        <v>355</v>
      </c>
      <c r="B161" t="s">
        <v>4331</v>
      </c>
    </row>
    <row r="162" spans="1:2" x14ac:dyDescent="0.25">
      <c r="A162" t="s">
        <v>129</v>
      </c>
      <c r="B162" t="s">
        <v>4332</v>
      </c>
    </row>
    <row r="163" spans="1:2" x14ac:dyDescent="0.25">
      <c r="A163" t="s">
        <v>363</v>
      </c>
      <c r="B163" t="s">
        <v>4333</v>
      </c>
    </row>
    <row r="164" spans="1:2" x14ac:dyDescent="0.25">
      <c r="A164" t="s">
        <v>365</v>
      </c>
      <c r="B164" t="s">
        <v>4334</v>
      </c>
    </row>
    <row r="165" spans="1:2" x14ac:dyDescent="0.25">
      <c r="A165" t="s">
        <v>374</v>
      </c>
      <c r="B165" t="s">
        <v>4335</v>
      </c>
    </row>
    <row r="166" spans="1:2" x14ac:dyDescent="0.25">
      <c r="A166" t="s">
        <v>135</v>
      </c>
      <c r="B166" t="s">
        <v>4336</v>
      </c>
    </row>
    <row r="167" spans="1:2" x14ac:dyDescent="0.25">
      <c r="A167" t="s">
        <v>137</v>
      </c>
      <c r="B167" t="s">
        <v>4337</v>
      </c>
    </row>
    <row r="168" spans="1:2" x14ac:dyDescent="0.25">
      <c r="A168" t="s">
        <v>139</v>
      </c>
      <c r="B168" t="s">
        <v>4338</v>
      </c>
    </row>
    <row r="169" spans="1:2" x14ac:dyDescent="0.25">
      <c r="A169" t="s">
        <v>384</v>
      </c>
      <c r="B169" t="s">
        <v>4339</v>
      </c>
    </row>
    <row r="170" spans="1:2" x14ac:dyDescent="0.25">
      <c r="A170" t="s">
        <v>462</v>
      </c>
      <c r="B170" t="s">
        <v>4340</v>
      </c>
    </row>
    <row r="171" spans="1:2" x14ac:dyDescent="0.25">
      <c r="A171" t="s">
        <v>464</v>
      </c>
      <c r="B171" t="s">
        <v>4341</v>
      </c>
    </row>
    <row r="172" spans="1:2" x14ac:dyDescent="0.25">
      <c r="A172" t="s">
        <v>388</v>
      </c>
      <c r="B172" t="s">
        <v>4342</v>
      </c>
    </row>
    <row r="173" spans="1:2" x14ac:dyDescent="0.25">
      <c r="A173" t="s">
        <v>147</v>
      </c>
      <c r="B173" t="s">
        <v>4343</v>
      </c>
    </row>
    <row r="174" spans="1:2" x14ac:dyDescent="0.25">
      <c r="A174" t="s">
        <v>385</v>
      </c>
      <c r="B174" t="s">
        <v>4344</v>
      </c>
    </row>
    <row r="175" spans="1:2" x14ac:dyDescent="0.25">
      <c r="A175" t="s">
        <v>151</v>
      </c>
      <c r="B175" t="s">
        <v>4345</v>
      </c>
    </row>
    <row r="176" spans="1:2" x14ac:dyDescent="0.25">
      <c r="A176" t="s">
        <v>406</v>
      </c>
      <c r="B176" t="s">
        <v>4346</v>
      </c>
    </row>
    <row r="177" spans="1:2" x14ac:dyDescent="0.25">
      <c r="A177" t="s">
        <v>408</v>
      </c>
      <c r="B177" t="s">
        <v>4347</v>
      </c>
    </row>
    <row r="178" spans="1:2" x14ac:dyDescent="0.25">
      <c r="A178" t="s">
        <v>503</v>
      </c>
      <c r="B178" t="s">
        <v>4348</v>
      </c>
    </row>
    <row r="179" spans="1:2" x14ac:dyDescent="0.25">
      <c r="A179" t="s">
        <v>410</v>
      </c>
      <c r="B179" t="s">
        <v>4349</v>
      </c>
    </row>
    <row r="180" spans="1:2" x14ac:dyDescent="0.25">
      <c r="A180" t="s">
        <v>412</v>
      </c>
      <c r="B180" t="s">
        <v>4350</v>
      </c>
    </row>
    <row r="181" spans="1:2" x14ac:dyDescent="0.25">
      <c r="A181" t="s">
        <v>161</v>
      </c>
      <c r="B181" t="s">
        <v>4351</v>
      </c>
    </row>
    <row r="182" spans="1:2" x14ac:dyDescent="0.25">
      <c r="A182" t="s">
        <v>415</v>
      </c>
      <c r="B182" t="s">
        <v>4352</v>
      </c>
    </row>
    <row r="183" spans="1:2" x14ac:dyDescent="0.25">
      <c r="A183" t="s">
        <v>173</v>
      </c>
      <c r="B183" t="s">
        <v>4353</v>
      </c>
    </row>
    <row r="184" spans="1:2" x14ac:dyDescent="0.25">
      <c r="A184" t="s">
        <v>167</v>
      </c>
      <c r="B184" t="s">
        <v>4354</v>
      </c>
    </row>
    <row r="185" spans="1:2" x14ac:dyDescent="0.25">
      <c r="A185" t="s">
        <v>169</v>
      </c>
      <c r="B185" t="s">
        <v>4355</v>
      </c>
    </row>
    <row r="186" spans="1:2" x14ac:dyDescent="0.25">
      <c r="A186" t="s">
        <v>444</v>
      </c>
      <c r="B186" t="s">
        <v>4356</v>
      </c>
    </row>
    <row r="187" spans="1:2" x14ac:dyDescent="0.25">
      <c r="A187" t="s">
        <v>18</v>
      </c>
      <c r="B187" t="s">
        <v>4357</v>
      </c>
    </row>
    <row r="188" spans="1:2" x14ac:dyDescent="0.25">
      <c r="A188" t="s">
        <v>175</v>
      </c>
      <c r="B188" t="s">
        <v>4358</v>
      </c>
    </row>
    <row r="189" spans="1:2" x14ac:dyDescent="0.25">
      <c r="A189" t="s">
        <v>181</v>
      </c>
      <c r="B189" t="s">
        <v>4359</v>
      </c>
    </row>
    <row r="190" spans="1:2" x14ac:dyDescent="0.25">
      <c r="A190" t="s">
        <v>64</v>
      </c>
      <c r="B190" t="s">
        <v>4360</v>
      </c>
    </row>
    <row r="191" spans="1:2" x14ac:dyDescent="0.25">
      <c r="A191" t="s">
        <v>185</v>
      </c>
      <c r="B191" t="s">
        <v>4361</v>
      </c>
    </row>
    <row r="192" spans="1:2" x14ac:dyDescent="0.25">
      <c r="A192" t="s">
        <v>192</v>
      </c>
      <c r="B192" t="s">
        <v>4362</v>
      </c>
    </row>
    <row r="193" spans="1:2" x14ac:dyDescent="0.25">
      <c r="A193" t="s">
        <v>67</v>
      </c>
      <c r="B193" t="s">
        <v>4363</v>
      </c>
    </row>
    <row r="194" spans="1:2" x14ac:dyDescent="0.25">
      <c r="A194" t="s">
        <v>197</v>
      </c>
      <c r="B194" t="s">
        <v>4364</v>
      </c>
    </row>
    <row r="195" spans="1:2" x14ac:dyDescent="0.25">
      <c r="A195" t="s">
        <v>199</v>
      </c>
      <c r="B195" t="s">
        <v>4365</v>
      </c>
    </row>
    <row r="196" spans="1:2" x14ac:dyDescent="0.25">
      <c r="A196" t="s">
        <v>44</v>
      </c>
      <c r="B196" t="s">
        <v>4366</v>
      </c>
    </row>
    <row r="197" spans="1:2" x14ac:dyDescent="0.25">
      <c r="A197" t="s">
        <v>46</v>
      </c>
      <c r="B197" t="s">
        <v>4367</v>
      </c>
    </row>
    <row r="198" spans="1:2" x14ac:dyDescent="0.25">
      <c r="A198" t="s">
        <v>212</v>
      </c>
      <c r="B198" t="s">
        <v>4368</v>
      </c>
    </row>
    <row r="199" spans="1:2" x14ac:dyDescent="0.25">
      <c r="A199" t="s">
        <v>215</v>
      </c>
      <c r="B199" t="s">
        <v>4369</v>
      </c>
    </row>
    <row r="200" spans="1:2" x14ac:dyDescent="0.25">
      <c r="A200" t="s">
        <v>77</v>
      </c>
      <c r="B200" t="s">
        <v>4370</v>
      </c>
    </row>
    <row r="201" spans="1:2" x14ac:dyDescent="0.25">
      <c r="A201" t="s">
        <v>223</v>
      </c>
      <c r="B201" t="s">
        <v>4371</v>
      </c>
    </row>
    <row r="202" spans="1:2" x14ac:dyDescent="0.25">
      <c r="A202" t="s">
        <v>1</v>
      </c>
      <c r="B202" t="s">
        <v>4372</v>
      </c>
    </row>
    <row r="203" spans="1:2" x14ac:dyDescent="0.25">
      <c r="A203" t="s">
        <v>225</v>
      </c>
      <c r="B203" t="s">
        <v>4373</v>
      </c>
    </row>
    <row r="204" spans="1:2" x14ac:dyDescent="0.25">
      <c r="A204" t="s">
        <v>4</v>
      </c>
      <c r="B204" t="s">
        <v>4374</v>
      </c>
    </row>
    <row r="205" spans="1:2" x14ac:dyDescent="0.25">
      <c r="A205" t="s">
        <v>233</v>
      </c>
      <c r="B205" t="s">
        <v>4375</v>
      </c>
    </row>
    <row r="206" spans="1:2" x14ac:dyDescent="0.25">
      <c r="A206" t="s">
        <v>6</v>
      </c>
      <c r="B206" t="s">
        <v>4376</v>
      </c>
    </row>
    <row r="207" spans="1:2" x14ac:dyDescent="0.25">
      <c r="A207" t="s">
        <v>241</v>
      </c>
      <c r="B207" t="s">
        <v>4377</v>
      </c>
    </row>
    <row r="208" spans="1:2" x14ac:dyDescent="0.25">
      <c r="A208" t="s">
        <v>11</v>
      </c>
      <c r="B208" t="s">
        <v>4378</v>
      </c>
    </row>
    <row r="209" spans="1:103" x14ac:dyDescent="0.25">
      <c r="A209" t="s">
        <v>13</v>
      </c>
      <c r="B209" t="s">
        <v>4379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4380</v>
      </c>
    </row>
    <row r="212" spans="1:103" x14ac:dyDescent="0.25">
      <c r="A212" t="s">
        <v>258</v>
      </c>
      <c r="B212" t="s">
        <v>4381</v>
      </c>
    </row>
    <row r="213" spans="1:103" x14ac:dyDescent="0.25">
      <c r="A213" t="s">
        <v>533</v>
      </c>
      <c r="B213" t="s">
        <v>4382</v>
      </c>
      <c r="BS213" t="b">
        <v>1</v>
      </c>
    </row>
    <row r="214" spans="1:103" x14ac:dyDescent="0.25">
      <c r="A214" t="s">
        <v>17</v>
      </c>
      <c r="B214" t="s">
        <v>4383</v>
      </c>
    </row>
    <row r="215" spans="1:103" x14ac:dyDescent="0.25">
      <c r="A215" t="s">
        <v>265</v>
      </c>
      <c r="B215" t="s">
        <v>4384</v>
      </c>
    </row>
    <row r="216" spans="1:103" x14ac:dyDescent="0.25">
      <c r="A216" t="s">
        <v>550</v>
      </c>
      <c r="B216" t="s">
        <v>4385</v>
      </c>
    </row>
    <row r="217" spans="1:103" x14ac:dyDescent="0.25">
      <c r="A217" t="s">
        <v>267</v>
      </c>
      <c r="B217" t="s">
        <v>4386</v>
      </c>
    </row>
    <row r="218" spans="1:103" x14ac:dyDescent="0.25">
      <c r="A218" t="s">
        <v>262</v>
      </c>
      <c r="B218" t="s">
        <v>4387</v>
      </c>
    </row>
    <row r="219" spans="1:103" x14ac:dyDescent="0.25">
      <c r="A219" t="s">
        <v>272</v>
      </c>
      <c r="B219" t="s">
        <v>4388</v>
      </c>
    </row>
    <row r="220" spans="1:103" x14ac:dyDescent="0.25">
      <c r="A220" t="s">
        <v>36</v>
      </c>
      <c r="B220" t="s">
        <v>4389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4390</v>
      </c>
      <c r="AE221" t="b">
        <v>1</v>
      </c>
    </row>
    <row r="222" spans="1:103" x14ac:dyDescent="0.25">
      <c r="A222" t="s">
        <v>269</v>
      </c>
      <c r="B222" t="s">
        <v>4391</v>
      </c>
      <c r="CY222" t="b">
        <v>1</v>
      </c>
    </row>
    <row r="223" spans="1:103" x14ac:dyDescent="0.25">
      <c r="A223" t="s">
        <v>40</v>
      </c>
      <c r="B223" t="s">
        <v>4392</v>
      </c>
    </row>
    <row r="224" spans="1:103" x14ac:dyDescent="0.25">
      <c r="A224" t="s">
        <v>42</v>
      </c>
      <c r="B224" t="s">
        <v>4393</v>
      </c>
      <c r="CI224" t="b">
        <v>1</v>
      </c>
    </row>
    <row r="225" spans="1:2" x14ac:dyDescent="0.25">
      <c r="A225" t="s">
        <v>275</v>
      </c>
      <c r="B225" t="s">
        <v>4394</v>
      </c>
    </row>
    <row r="226" spans="1:2" x14ac:dyDescent="0.25">
      <c r="A226" t="s">
        <v>73</v>
      </c>
      <c r="B226" t="s">
        <v>4395</v>
      </c>
    </row>
    <row r="227" spans="1:2" x14ac:dyDescent="0.25">
      <c r="A227" t="s">
        <v>75</v>
      </c>
      <c r="B227" t="s">
        <v>4396</v>
      </c>
    </row>
    <row r="228" spans="1:2" x14ac:dyDescent="0.25">
      <c r="A228" t="s">
        <v>88</v>
      </c>
      <c r="B228" t="s">
        <v>4397</v>
      </c>
    </row>
    <row r="229" spans="1:2" x14ac:dyDescent="0.25">
      <c r="A229" t="s">
        <v>49</v>
      </c>
      <c r="B229" t="s">
        <v>4398</v>
      </c>
    </row>
    <row r="230" spans="1:2" x14ac:dyDescent="0.25">
      <c r="A230" t="s">
        <v>51</v>
      </c>
      <c r="B230" t="s">
        <v>4399</v>
      </c>
    </row>
    <row r="231" spans="1:2" x14ac:dyDescent="0.25">
      <c r="A231" t="s">
        <v>53</v>
      </c>
      <c r="B231" t="s">
        <v>4400</v>
      </c>
    </row>
    <row r="232" spans="1:2" x14ac:dyDescent="0.25">
      <c r="A232" t="s">
        <v>55</v>
      </c>
      <c r="B232" t="s">
        <v>4401</v>
      </c>
    </row>
    <row r="233" spans="1:2" x14ac:dyDescent="0.25">
      <c r="A233" t="s">
        <v>57</v>
      </c>
      <c r="B233" t="s">
        <v>4402</v>
      </c>
    </row>
    <row r="234" spans="1:2" x14ac:dyDescent="0.25">
      <c r="A234" t="s">
        <v>59</v>
      </c>
      <c r="B234" t="s">
        <v>4403</v>
      </c>
    </row>
    <row r="235" spans="1:2" x14ac:dyDescent="0.25">
      <c r="A235" t="s">
        <v>24</v>
      </c>
      <c r="B235" t="s">
        <v>4404</v>
      </c>
    </row>
    <row r="236" spans="1:2" x14ac:dyDescent="0.25">
      <c r="A236" t="s">
        <v>32</v>
      </c>
      <c r="B236" t="s">
        <v>4405</v>
      </c>
    </row>
    <row r="237" spans="1:2" x14ac:dyDescent="0.25">
      <c r="A237" t="s">
        <v>101</v>
      </c>
      <c r="B237" t="s">
        <v>4406</v>
      </c>
    </row>
    <row r="238" spans="1:2" x14ac:dyDescent="0.25">
      <c r="A238" t="s">
        <v>159</v>
      </c>
      <c r="B238" t="s">
        <v>4407</v>
      </c>
    </row>
    <row r="239" spans="1:2" x14ac:dyDescent="0.25">
      <c r="A239" t="s">
        <v>107</v>
      </c>
      <c r="B239" t="s">
        <v>4408</v>
      </c>
    </row>
    <row r="240" spans="1:2" x14ac:dyDescent="0.25">
      <c r="A240" t="s">
        <v>15</v>
      </c>
      <c r="B240" t="s">
        <v>4409</v>
      </c>
    </row>
    <row r="241" spans="1:2" x14ac:dyDescent="0.25">
      <c r="A241" t="s">
        <v>171</v>
      </c>
      <c r="B241" t="s">
        <v>4410</v>
      </c>
    </row>
    <row r="242" spans="1:2" x14ac:dyDescent="0.25">
      <c r="A242" t="s">
        <v>117</v>
      </c>
      <c r="B242" t="s">
        <v>4411</v>
      </c>
    </row>
    <row r="243" spans="1:2" x14ac:dyDescent="0.25">
      <c r="A243" t="s">
        <v>119</v>
      </c>
      <c r="B243" t="s">
        <v>4412</v>
      </c>
    </row>
    <row r="244" spans="1:2" x14ac:dyDescent="0.25">
      <c r="A244" t="s">
        <v>122</v>
      </c>
      <c r="B244" t="s">
        <v>4413</v>
      </c>
    </row>
    <row r="245" spans="1:2" x14ac:dyDescent="0.25">
      <c r="A245" t="s">
        <v>176</v>
      </c>
      <c r="B245" t="s">
        <v>4414</v>
      </c>
    </row>
    <row r="246" spans="1:2" x14ac:dyDescent="0.25">
      <c r="A246" t="s">
        <v>126</v>
      </c>
      <c r="B246" t="s">
        <v>4415</v>
      </c>
    </row>
    <row r="247" spans="1:2" x14ac:dyDescent="0.25">
      <c r="A247" t="s">
        <v>130</v>
      </c>
      <c r="B247" t="s">
        <v>4416</v>
      </c>
    </row>
    <row r="248" spans="1:2" x14ac:dyDescent="0.25">
      <c r="A248" t="s">
        <v>39</v>
      </c>
      <c r="B248" t="s">
        <v>4417</v>
      </c>
    </row>
    <row r="249" spans="1:2" x14ac:dyDescent="0.25">
      <c r="A249" t="s">
        <v>133</v>
      </c>
      <c r="B249" t="s">
        <v>4418</v>
      </c>
    </row>
    <row r="250" spans="1:2" x14ac:dyDescent="0.25">
      <c r="A250" t="s">
        <v>69</v>
      </c>
      <c r="B250" t="s">
        <v>4419</v>
      </c>
    </row>
    <row r="251" spans="1:2" x14ac:dyDescent="0.25">
      <c r="A251" t="s">
        <v>71</v>
      </c>
      <c r="B251" t="s">
        <v>4420</v>
      </c>
    </row>
    <row r="252" spans="1:2" x14ac:dyDescent="0.25">
      <c r="A252" t="s">
        <v>141</v>
      </c>
      <c r="B252" t="s">
        <v>4421</v>
      </c>
    </row>
    <row r="253" spans="1:2" x14ac:dyDescent="0.25">
      <c r="A253" t="s">
        <v>143</v>
      </c>
      <c r="B253" t="s">
        <v>4422</v>
      </c>
    </row>
    <row r="254" spans="1:2" x14ac:dyDescent="0.25">
      <c r="A254" t="s">
        <v>145</v>
      </c>
      <c r="B254" t="s">
        <v>4423</v>
      </c>
    </row>
    <row r="255" spans="1:2" x14ac:dyDescent="0.25">
      <c r="A255" t="s">
        <v>386</v>
      </c>
      <c r="B255" t="s">
        <v>4424</v>
      </c>
    </row>
    <row r="256" spans="1:2" x14ac:dyDescent="0.25">
      <c r="A256" t="s">
        <v>30</v>
      </c>
      <c r="B256" t="s">
        <v>4425</v>
      </c>
    </row>
    <row r="257" spans="1:2" x14ac:dyDescent="0.25">
      <c r="A257" t="s">
        <v>33</v>
      </c>
      <c r="B257" t="s">
        <v>4426</v>
      </c>
    </row>
    <row r="258" spans="1:2" x14ac:dyDescent="0.25">
      <c r="A258" t="s">
        <v>153</v>
      </c>
      <c r="B258" t="s">
        <v>4427</v>
      </c>
    </row>
    <row r="259" spans="1:2" x14ac:dyDescent="0.25">
      <c r="A259" t="s">
        <v>155</v>
      </c>
      <c r="B259" t="s">
        <v>4428</v>
      </c>
    </row>
    <row r="260" spans="1:2" x14ac:dyDescent="0.25">
      <c r="A260" t="s">
        <v>157</v>
      </c>
      <c r="B260" t="s">
        <v>4429</v>
      </c>
    </row>
    <row r="261" spans="1:2" x14ac:dyDescent="0.25">
      <c r="A261" t="s">
        <v>3</v>
      </c>
      <c r="B261" t="s">
        <v>4430</v>
      </c>
    </row>
    <row r="262" spans="1:2" x14ac:dyDescent="0.25">
      <c r="A262" t="s">
        <v>78</v>
      </c>
      <c r="B262" t="s">
        <v>4431</v>
      </c>
    </row>
    <row r="263" spans="1:2" x14ac:dyDescent="0.25">
      <c r="A263" t="s">
        <v>80</v>
      </c>
      <c r="B263" t="s">
        <v>4432</v>
      </c>
    </row>
    <row r="264" spans="1:2" x14ac:dyDescent="0.25">
      <c r="A264" t="s">
        <v>82</v>
      </c>
      <c r="B264" t="s">
        <v>4433</v>
      </c>
    </row>
    <row r="265" spans="1:2" x14ac:dyDescent="0.25">
      <c r="A265" t="s">
        <v>84</v>
      </c>
      <c r="B265" t="s">
        <v>4434</v>
      </c>
    </row>
    <row r="266" spans="1:2" x14ac:dyDescent="0.25">
      <c r="A266" t="s">
        <v>86</v>
      </c>
      <c r="B266" t="s">
        <v>4435</v>
      </c>
    </row>
    <row r="267" spans="1:2" x14ac:dyDescent="0.25">
      <c r="A267" t="s">
        <v>29</v>
      </c>
      <c r="B267" t="s">
        <v>4436</v>
      </c>
    </row>
    <row r="268" spans="1:2" x14ac:dyDescent="0.25">
      <c r="A268" t="s">
        <v>90</v>
      </c>
      <c r="B268" t="s">
        <v>4437</v>
      </c>
    </row>
    <row r="269" spans="1:2" x14ac:dyDescent="0.25">
      <c r="A269" t="s">
        <v>95</v>
      </c>
      <c r="B269" t="s">
        <v>4438</v>
      </c>
    </row>
    <row r="270" spans="1:2" x14ac:dyDescent="0.25">
      <c r="A270" t="s">
        <v>2</v>
      </c>
      <c r="B270" t="s">
        <v>4439</v>
      </c>
    </row>
    <row r="271" spans="1:2" x14ac:dyDescent="0.25">
      <c r="A271" t="s">
        <v>7</v>
      </c>
      <c r="B271" t="s">
        <v>4440</v>
      </c>
    </row>
    <row r="273" spans="1:2" x14ac:dyDescent="0.25">
      <c r="A273" t="s">
        <v>9</v>
      </c>
      <c r="B273" t="s">
        <v>4441</v>
      </c>
    </row>
    <row r="274" spans="1:2" x14ac:dyDescent="0.25">
      <c r="A274" t="s">
        <v>163</v>
      </c>
      <c r="B274" t="s">
        <v>4442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1351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610</v>
      </c>
      <c r="AD2">
        <v>152</v>
      </c>
      <c r="AE2" t="s">
        <v>4443</v>
      </c>
      <c r="AF2">
        <v>4</v>
      </c>
      <c r="AH2" s="1" t="s">
        <v>656</v>
      </c>
      <c r="AK2">
        <v>490</v>
      </c>
      <c r="AL2">
        <v>225</v>
      </c>
      <c r="AM2" t="s">
        <v>4444</v>
      </c>
      <c r="AN2">
        <v>5</v>
      </c>
      <c r="AP2" s="1" t="s">
        <v>657</v>
      </c>
      <c r="AS2">
        <v>530</v>
      </c>
      <c r="AT2">
        <v>298</v>
      </c>
      <c r="AU2" t="s">
        <v>4445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470</v>
      </c>
      <c r="BJ2">
        <v>198</v>
      </c>
      <c r="BK2" t="s">
        <v>4446</v>
      </c>
      <c r="BL2">
        <v>5</v>
      </c>
      <c r="BN2" s="1" t="s">
        <v>659</v>
      </c>
      <c r="BQ2">
        <v>523</v>
      </c>
      <c r="BR2">
        <v>293</v>
      </c>
      <c r="BS2" t="s">
        <v>4447</v>
      </c>
      <c r="BT2">
        <v>5</v>
      </c>
      <c r="BV2" s="1" t="s">
        <v>660</v>
      </c>
      <c r="BY2">
        <v>490</v>
      </c>
      <c r="BZ2">
        <v>197</v>
      </c>
      <c r="CA2" t="s">
        <v>4448</v>
      </c>
      <c r="CB2">
        <v>5</v>
      </c>
      <c r="CD2" s="1" t="s">
        <v>661</v>
      </c>
      <c r="CG2">
        <v>480</v>
      </c>
      <c r="CH2">
        <v>193</v>
      </c>
      <c r="CI2" t="s">
        <v>4449</v>
      </c>
      <c r="CJ2">
        <v>5</v>
      </c>
      <c r="CL2" s="1" t="s">
        <v>662</v>
      </c>
      <c r="CO2">
        <v>518</v>
      </c>
      <c r="CP2">
        <v>253</v>
      </c>
      <c r="CQ2" t="s">
        <v>4450</v>
      </c>
      <c r="CR2">
        <v>5</v>
      </c>
      <c r="CT2" s="1" t="s">
        <v>663</v>
      </c>
      <c r="CW2">
        <v>520</v>
      </c>
      <c r="CX2">
        <v>280</v>
      </c>
      <c r="CY2" t="s">
        <v>4451</v>
      </c>
      <c r="CZ2">
        <v>4</v>
      </c>
    </row>
    <row r="3" spans="1:104" x14ac:dyDescent="0.25">
      <c r="W3" t="str">
        <f>dbCorrelationTitle</f>
        <v>Correlatie</v>
      </c>
      <c r="Z3">
        <v>1</v>
      </c>
      <c r="AA3">
        <v>500</v>
      </c>
      <c r="AB3">
        <v>22</v>
      </c>
      <c r="AC3">
        <v>100</v>
      </c>
      <c r="AE3" t="s">
        <v>390</v>
      </c>
      <c r="AH3">
        <v>1</v>
      </c>
      <c r="AI3">
        <v>380</v>
      </c>
      <c r="AJ3">
        <v>12</v>
      </c>
      <c r="AK3">
        <v>100</v>
      </c>
      <c r="AM3" t="s">
        <v>390</v>
      </c>
      <c r="AP3">
        <v>1</v>
      </c>
      <c r="AQ3">
        <v>420</v>
      </c>
      <c r="AR3">
        <v>12</v>
      </c>
      <c r="AS3">
        <v>100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360</v>
      </c>
      <c r="BH3">
        <v>12</v>
      </c>
      <c r="BI3">
        <v>100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380</v>
      </c>
      <c r="BX3">
        <v>12</v>
      </c>
      <c r="BY3">
        <v>100</v>
      </c>
      <c r="CA3" t="s">
        <v>390</v>
      </c>
      <c r="CD3">
        <v>1</v>
      </c>
      <c r="CE3">
        <v>370</v>
      </c>
      <c r="CF3">
        <v>8</v>
      </c>
      <c r="CG3">
        <v>100</v>
      </c>
      <c r="CI3" t="s">
        <v>390</v>
      </c>
      <c r="CL3">
        <v>1</v>
      </c>
      <c r="CM3">
        <v>402</v>
      </c>
      <c r="CN3">
        <v>12</v>
      </c>
      <c r="CO3">
        <v>100</v>
      </c>
      <c r="CQ3" t="s">
        <v>390</v>
      </c>
      <c r="CT3">
        <v>1</v>
      </c>
      <c r="CU3">
        <v>410</v>
      </c>
      <c r="CV3">
        <v>5</v>
      </c>
      <c r="CW3">
        <v>100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500</v>
      </c>
      <c r="AB4">
        <v>47</v>
      </c>
      <c r="AC4">
        <v>100</v>
      </c>
      <c r="AE4" t="s">
        <v>4452</v>
      </c>
      <c r="AH4">
        <v>2</v>
      </c>
      <c r="AI4">
        <v>380</v>
      </c>
      <c r="AJ4">
        <v>36</v>
      </c>
      <c r="AK4">
        <v>100</v>
      </c>
      <c r="AM4" t="s">
        <v>4452</v>
      </c>
      <c r="AP4">
        <v>2</v>
      </c>
      <c r="AQ4">
        <v>420</v>
      </c>
      <c r="AR4">
        <v>36</v>
      </c>
      <c r="AS4">
        <v>100</v>
      </c>
      <c r="AU4" t="s">
        <v>4452</v>
      </c>
      <c r="AX4">
        <v>2</v>
      </c>
      <c r="AY4">
        <v>418</v>
      </c>
      <c r="AZ4">
        <v>33</v>
      </c>
      <c r="BA4">
        <v>104</v>
      </c>
      <c r="BC4" t="s">
        <v>397</v>
      </c>
      <c r="BF4">
        <v>2</v>
      </c>
      <c r="BG4">
        <v>360</v>
      </c>
      <c r="BH4">
        <v>36</v>
      </c>
      <c r="BI4">
        <v>100</v>
      </c>
      <c r="BK4" t="s">
        <v>4452</v>
      </c>
      <c r="BN4">
        <v>2</v>
      </c>
      <c r="BO4">
        <v>407</v>
      </c>
      <c r="BP4">
        <v>30</v>
      </c>
      <c r="BQ4">
        <v>90</v>
      </c>
      <c r="BS4" t="s">
        <v>4452</v>
      </c>
      <c r="BV4">
        <v>2</v>
      </c>
      <c r="BW4">
        <v>380</v>
      </c>
      <c r="BX4">
        <v>36</v>
      </c>
      <c r="BY4">
        <v>100</v>
      </c>
      <c r="CA4" t="s">
        <v>4452</v>
      </c>
      <c r="CD4">
        <v>2</v>
      </c>
      <c r="CE4">
        <v>370</v>
      </c>
      <c r="CF4">
        <v>32</v>
      </c>
      <c r="CG4">
        <v>100</v>
      </c>
      <c r="CI4" t="s">
        <v>4452</v>
      </c>
      <c r="CL4">
        <v>2</v>
      </c>
      <c r="CM4">
        <v>402</v>
      </c>
      <c r="CN4">
        <v>36</v>
      </c>
      <c r="CO4">
        <v>100</v>
      </c>
      <c r="CQ4" t="s">
        <v>4452</v>
      </c>
      <c r="CT4">
        <v>2</v>
      </c>
      <c r="CU4">
        <v>410</v>
      </c>
      <c r="CV4">
        <v>29</v>
      </c>
      <c r="CW4">
        <v>100</v>
      </c>
      <c r="CY4" t="s">
        <v>4452</v>
      </c>
    </row>
    <row r="5" spans="1:104" x14ac:dyDescent="0.25">
      <c r="T5">
        <v>0</v>
      </c>
      <c r="U5" t="str">
        <f>dbAnova1Title</f>
        <v>Unifactoriële variantie-analyse</v>
      </c>
      <c r="V5">
        <v>0</v>
      </c>
      <c r="W5" t="str">
        <f>dbAnova1Title</f>
        <v>Unifactoriële variantie-analyse</v>
      </c>
      <c r="X5" t="s">
        <v>447</v>
      </c>
      <c r="Y5" s="1" t="s">
        <v>656</v>
      </c>
      <c r="Z5">
        <v>5</v>
      </c>
      <c r="AA5">
        <v>12</v>
      </c>
      <c r="AB5">
        <v>6</v>
      </c>
      <c r="AE5" t="s">
        <v>4453</v>
      </c>
      <c r="AH5">
        <v>14</v>
      </c>
      <c r="AI5">
        <v>10</v>
      </c>
      <c r="AJ5">
        <v>6</v>
      </c>
      <c r="AK5">
        <v>360</v>
      </c>
      <c r="AL5">
        <v>114</v>
      </c>
      <c r="AM5" t="s">
        <v>4454</v>
      </c>
      <c r="AP5">
        <v>14</v>
      </c>
      <c r="AQ5">
        <v>10</v>
      </c>
      <c r="AR5">
        <v>8</v>
      </c>
      <c r="AS5">
        <v>400</v>
      </c>
      <c r="AT5">
        <v>102</v>
      </c>
      <c r="AU5" t="s">
        <v>4454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622</v>
      </c>
      <c r="BF5">
        <v>14</v>
      </c>
      <c r="BG5">
        <v>10</v>
      </c>
      <c r="BH5">
        <v>6</v>
      </c>
      <c r="BI5">
        <v>340</v>
      </c>
      <c r="BJ5">
        <v>92</v>
      </c>
      <c r="BK5" t="s">
        <v>4454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4454</v>
      </c>
      <c r="BV5">
        <v>14</v>
      </c>
      <c r="BW5">
        <v>10</v>
      </c>
      <c r="BX5">
        <v>6</v>
      </c>
      <c r="BY5">
        <v>360</v>
      </c>
      <c r="BZ5">
        <v>75</v>
      </c>
      <c r="CA5" t="s">
        <v>4454</v>
      </c>
      <c r="CD5">
        <v>14</v>
      </c>
      <c r="CE5">
        <v>10</v>
      </c>
      <c r="CF5">
        <v>3</v>
      </c>
      <c r="CG5">
        <v>350</v>
      </c>
      <c r="CH5">
        <v>95</v>
      </c>
      <c r="CI5" t="s">
        <v>4454</v>
      </c>
      <c r="CL5">
        <v>14</v>
      </c>
      <c r="CM5">
        <v>10</v>
      </c>
      <c r="CN5">
        <v>6</v>
      </c>
      <c r="CO5">
        <v>375</v>
      </c>
      <c r="CP5">
        <v>52</v>
      </c>
      <c r="CQ5" t="s">
        <v>4454</v>
      </c>
      <c r="CT5">
        <v>5</v>
      </c>
      <c r="CU5">
        <v>10</v>
      </c>
      <c r="CV5">
        <v>8</v>
      </c>
      <c r="CY5" t="s">
        <v>4455</v>
      </c>
    </row>
    <row r="6" spans="1:104" x14ac:dyDescent="0.25">
      <c r="T6">
        <v>1</v>
      </c>
      <c r="U6" t="str">
        <f>dbAnova2Title</f>
        <v>Multifactoriële variantie-analyse met herhaling</v>
      </c>
      <c r="V6">
        <v>1</v>
      </c>
      <c r="W6" t="str">
        <f>dbAnova2Title</f>
        <v>Multifactoriële variantie-analyse met herhaling</v>
      </c>
      <c r="X6" t="s">
        <v>614</v>
      </c>
      <c r="Y6" s="1" t="s">
        <v>664</v>
      </c>
      <c r="Z6">
        <v>15</v>
      </c>
      <c r="AA6">
        <v>10</v>
      </c>
      <c r="AB6">
        <v>22</v>
      </c>
      <c r="AC6">
        <v>480</v>
      </c>
      <c r="AD6">
        <v>120</v>
      </c>
      <c r="AE6" t="s">
        <v>394</v>
      </c>
      <c r="AF6">
        <v>12</v>
      </c>
      <c r="AH6">
        <v>5</v>
      </c>
      <c r="AI6">
        <v>18</v>
      </c>
      <c r="AJ6">
        <v>23</v>
      </c>
      <c r="AM6" t="s">
        <v>4456</v>
      </c>
      <c r="AP6">
        <v>5</v>
      </c>
      <c r="AQ6">
        <v>18</v>
      </c>
      <c r="AR6">
        <v>20</v>
      </c>
      <c r="AU6" t="s">
        <v>4457</v>
      </c>
      <c r="AX6">
        <v>111</v>
      </c>
      <c r="BD6">
        <v>1</v>
      </c>
      <c r="BF6">
        <v>5</v>
      </c>
      <c r="BG6">
        <v>18</v>
      </c>
      <c r="BH6">
        <v>20</v>
      </c>
      <c r="BK6" t="s">
        <v>4456</v>
      </c>
      <c r="BN6">
        <v>5</v>
      </c>
      <c r="BO6">
        <v>18</v>
      </c>
      <c r="BP6">
        <v>19</v>
      </c>
      <c r="BS6" t="s">
        <v>4456</v>
      </c>
      <c r="BV6">
        <v>5</v>
      </c>
      <c r="BW6">
        <v>18</v>
      </c>
      <c r="BX6">
        <v>20</v>
      </c>
      <c r="CA6" t="s">
        <v>4456</v>
      </c>
      <c r="CD6">
        <v>5</v>
      </c>
      <c r="CE6">
        <v>18</v>
      </c>
      <c r="CF6">
        <v>18</v>
      </c>
      <c r="CI6" t="s">
        <v>4458</v>
      </c>
      <c r="CL6">
        <v>5</v>
      </c>
      <c r="CM6">
        <v>18</v>
      </c>
      <c r="CN6">
        <v>20</v>
      </c>
      <c r="CQ6" t="s">
        <v>4456</v>
      </c>
      <c r="CT6">
        <v>7</v>
      </c>
      <c r="CU6">
        <v>204</v>
      </c>
      <c r="CV6">
        <v>6</v>
      </c>
      <c r="CW6">
        <v>185</v>
      </c>
    </row>
    <row r="7" spans="1:104" x14ac:dyDescent="0.25">
      <c r="T7">
        <v>2</v>
      </c>
      <c r="U7" t="str">
        <f>dbAnova3Title</f>
        <v>Multifactoriële variantie-analyse zonder herhaling</v>
      </c>
      <c r="V7">
        <v>2</v>
      </c>
      <c r="W7" t="str">
        <f>dbAnova3Title</f>
        <v>Multifactoriële variantie-analyse zonder herhaling</v>
      </c>
      <c r="X7" t="s">
        <v>315</v>
      </c>
      <c r="Y7" s="1" t="s">
        <v>665</v>
      </c>
      <c r="Z7">
        <v>24</v>
      </c>
      <c r="AA7">
        <v>500</v>
      </c>
      <c r="AB7">
        <v>85</v>
      </c>
      <c r="AC7">
        <v>100</v>
      </c>
      <c r="AH7">
        <v>10</v>
      </c>
      <c r="AI7">
        <v>170</v>
      </c>
      <c r="AJ7">
        <v>21</v>
      </c>
      <c r="AK7">
        <v>190</v>
      </c>
      <c r="AN7" t="s">
        <v>316</v>
      </c>
      <c r="AP7">
        <v>10</v>
      </c>
      <c r="AQ7">
        <v>170</v>
      </c>
      <c r="AR7">
        <v>18</v>
      </c>
      <c r="AS7">
        <v>230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170</v>
      </c>
      <c r="BH7">
        <v>19</v>
      </c>
      <c r="BI7">
        <v>170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170</v>
      </c>
      <c r="BX7">
        <v>18</v>
      </c>
      <c r="BY7">
        <v>190</v>
      </c>
      <c r="CB7" t="s">
        <v>316</v>
      </c>
      <c r="CD7">
        <v>10</v>
      </c>
      <c r="CE7">
        <v>182</v>
      </c>
      <c r="CF7">
        <v>16</v>
      </c>
      <c r="CG7">
        <v>170</v>
      </c>
      <c r="CL7">
        <v>10</v>
      </c>
      <c r="CM7">
        <v>210</v>
      </c>
      <c r="CN7">
        <v>18</v>
      </c>
      <c r="CO7">
        <v>160</v>
      </c>
      <c r="CR7" t="s">
        <v>316</v>
      </c>
      <c r="CT7">
        <v>5</v>
      </c>
      <c r="CU7">
        <v>10</v>
      </c>
      <c r="CV7">
        <v>28</v>
      </c>
      <c r="CY7" t="s">
        <v>4459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Correlatie</v>
      </c>
      <c r="V8">
        <v>3</v>
      </c>
      <c r="W8" t="str">
        <f>dbCorrelationTitle</f>
        <v>Correlatie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4460</v>
      </c>
      <c r="AP8">
        <v>5</v>
      </c>
      <c r="AQ8">
        <v>18</v>
      </c>
      <c r="AR8">
        <v>44</v>
      </c>
      <c r="AU8" t="s">
        <v>4461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45</v>
      </c>
      <c r="BK8" t="s">
        <v>4460</v>
      </c>
      <c r="BN8">
        <v>5</v>
      </c>
      <c r="BO8">
        <v>18</v>
      </c>
      <c r="BP8">
        <v>44</v>
      </c>
      <c r="BS8" t="s">
        <v>4460</v>
      </c>
      <c r="BV8">
        <v>5</v>
      </c>
      <c r="BW8">
        <v>18</v>
      </c>
      <c r="BX8">
        <v>42</v>
      </c>
      <c r="CA8" t="s">
        <v>4462</v>
      </c>
      <c r="CD8">
        <v>5</v>
      </c>
      <c r="CE8">
        <v>18</v>
      </c>
      <c r="CF8">
        <v>38</v>
      </c>
      <c r="CI8" t="s">
        <v>4463</v>
      </c>
      <c r="CL8">
        <v>13</v>
      </c>
      <c r="CM8">
        <v>16</v>
      </c>
      <c r="CN8">
        <v>38</v>
      </c>
      <c r="CQ8" t="s">
        <v>480</v>
      </c>
      <c r="CR8" t="b">
        <v>0</v>
      </c>
      <c r="CT8">
        <v>7</v>
      </c>
      <c r="CU8">
        <v>204</v>
      </c>
      <c r="CV8">
        <v>28</v>
      </c>
      <c r="CW8">
        <v>185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Covariantie</v>
      </c>
      <c r="V9">
        <v>4</v>
      </c>
      <c r="W9" t="str">
        <f>dbCovarianceTitle</f>
        <v>Covariantie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170</v>
      </c>
      <c r="AR9">
        <v>41</v>
      </c>
      <c r="AS9">
        <v>230</v>
      </c>
      <c r="AV9" t="s">
        <v>316</v>
      </c>
      <c r="AX9">
        <v>12</v>
      </c>
      <c r="AZ9">
        <v>110</v>
      </c>
      <c r="BC9" t="s">
        <v>624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170</v>
      </c>
      <c r="BX9">
        <v>40</v>
      </c>
      <c r="BY9">
        <v>60</v>
      </c>
      <c r="CD9">
        <v>10</v>
      </c>
      <c r="CE9">
        <v>182</v>
      </c>
      <c r="CF9">
        <v>37</v>
      </c>
      <c r="CG9">
        <v>170</v>
      </c>
      <c r="CL9">
        <v>14</v>
      </c>
      <c r="CM9">
        <v>10</v>
      </c>
      <c r="CN9">
        <v>64</v>
      </c>
      <c r="CO9">
        <v>375</v>
      </c>
      <c r="CP9">
        <v>91</v>
      </c>
      <c r="CQ9" t="s">
        <v>4464</v>
      </c>
      <c r="CT9">
        <v>5</v>
      </c>
      <c r="CU9">
        <v>10</v>
      </c>
      <c r="CV9">
        <v>50</v>
      </c>
      <c r="CY9" t="s">
        <v>4465</v>
      </c>
    </row>
    <row r="10" spans="1:104" x14ac:dyDescent="0.25">
      <c r="A10" t="s">
        <v>505</v>
      </c>
      <c r="B10" t="s">
        <v>4466</v>
      </c>
      <c r="T10">
        <v>5</v>
      </c>
      <c r="U10" t="str">
        <f>dbDescripTitle</f>
        <v>Beschrijvende statistiek</v>
      </c>
      <c r="V10">
        <v>5</v>
      </c>
      <c r="W10" t="str">
        <f>dbDescripTitle</f>
        <v>Beschrijvende statistiek</v>
      </c>
      <c r="X10" t="s">
        <v>451</v>
      </c>
      <c r="Y10" s="1" t="s">
        <v>659</v>
      </c>
      <c r="AH10">
        <v>12</v>
      </c>
      <c r="AI10">
        <v>170</v>
      </c>
      <c r="AJ10">
        <v>44</v>
      </c>
      <c r="AM10" t="s">
        <v>4467</v>
      </c>
      <c r="AP10">
        <v>13</v>
      </c>
      <c r="AQ10">
        <v>16</v>
      </c>
      <c r="AR10">
        <v>64</v>
      </c>
      <c r="AU10" t="s">
        <v>480</v>
      </c>
      <c r="AV10" t="b">
        <v>0</v>
      </c>
      <c r="AX10">
        <v>12</v>
      </c>
      <c r="AZ10">
        <v>130</v>
      </c>
      <c r="BC10" t="s">
        <v>625</v>
      </c>
      <c r="BF10">
        <v>12</v>
      </c>
      <c r="BG10">
        <v>170</v>
      </c>
      <c r="BH10">
        <v>45</v>
      </c>
      <c r="BK10" t="s">
        <v>4467</v>
      </c>
      <c r="BN10">
        <v>12</v>
      </c>
      <c r="BO10">
        <v>220</v>
      </c>
      <c r="BP10">
        <v>40</v>
      </c>
      <c r="BS10" t="s">
        <v>4467</v>
      </c>
      <c r="BV10">
        <v>13</v>
      </c>
      <c r="BW10">
        <v>16</v>
      </c>
      <c r="BX10">
        <v>60</v>
      </c>
      <c r="CA10" t="s">
        <v>480</v>
      </c>
      <c r="CB10" t="b">
        <v>0</v>
      </c>
      <c r="CD10">
        <v>13</v>
      </c>
      <c r="CE10">
        <v>16</v>
      </c>
      <c r="CF10">
        <v>54</v>
      </c>
      <c r="CI10" t="s">
        <v>480</v>
      </c>
      <c r="CJ10" t="b">
        <v>0</v>
      </c>
      <c r="CL10">
        <v>111</v>
      </c>
      <c r="CR10">
        <v>2</v>
      </c>
      <c r="CT10">
        <v>121</v>
      </c>
      <c r="CU10">
        <v>136</v>
      </c>
      <c r="CV10">
        <v>51</v>
      </c>
      <c r="CW10">
        <v>255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4468</v>
      </c>
      <c r="T11">
        <v>6</v>
      </c>
      <c r="U11" t="str">
        <f>dbExponentTitle</f>
        <v>Exponentiële demping</v>
      </c>
      <c r="V11">
        <v>6</v>
      </c>
      <c r="W11" t="str">
        <f>dbExponentTitle</f>
        <v>Exponentiële demping</v>
      </c>
      <c r="X11" t="s">
        <v>452</v>
      </c>
      <c r="Y11" s="1" t="s">
        <v>660</v>
      </c>
      <c r="AH11">
        <v>12</v>
      </c>
      <c r="AM11" t="s">
        <v>4469</v>
      </c>
      <c r="AP11">
        <v>13</v>
      </c>
      <c r="AQ11">
        <v>229</v>
      </c>
      <c r="AR11">
        <v>64</v>
      </c>
      <c r="AU11" t="s">
        <v>4470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4469</v>
      </c>
      <c r="BN11">
        <v>12</v>
      </c>
      <c r="BS11" t="s">
        <v>4469</v>
      </c>
      <c r="BV11">
        <v>14</v>
      </c>
      <c r="BW11">
        <v>10</v>
      </c>
      <c r="BX11">
        <v>90</v>
      </c>
      <c r="BY11">
        <v>360</v>
      </c>
      <c r="BZ11">
        <v>96</v>
      </c>
      <c r="CA11" t="s">
        <v>4471</v>
      </c>
      <c r="CD11">
        <v>5</v>
      </c>
      <c r="CE11">
        <v>18</v>
      </c>
      <c r="CF11">
        <v>76</v>
      </c>
      <c r="CI11" t="s">
        <v>1019</v>
      </c>
      <c r="CL11">
        <v>12</v>
      </c>
      <c r="CM11">
        <v>16</v>
      </c>
      <c r="CN11">
        <v>79</v>
      </c>
      <c r="CQ11" t="s">
        <v>4472</v>
      </c>
      <c r="CT11">
        <v>14</v>
      </c>
      <c r="CU11">
        <v>10</v>
      </c>
      <c r="CV11">
        <v>70</v>
      </c>
      <c r="CW11">
        <v>381</v>
      </c>
      <c r="CX11">
        <v>100</v>
      </c>
      <c r="CY11" t="s">
        <v>651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F-toets voor twee steekproeven</v>
      </c>
      <c r="V12">
        <v>7</v>
      </c>
      <c r="W12" t="str">
        <f>dbFTestTitle</f>
        <v>F-toets voor twee steekproeven</v>
      </c>
      <c r="X12" t="s">
        <v>584</v>
      </c>
      <c r="Y12" s="1" t="s">
        <v>661</v>
      </c>
      <c r="AH12">
        <v>13</v>
      </c>
      <c r="AI12">
        <v>18</v>
      </c>
      <c r="AJ12">
        <v>78</v>
      </c>
      <c r="AM12" t="s">
        <v>4468</v>
      </c>
      <c r="AN12" t="b">
        <v>0</v>
      </c>
      <c r="AP12">
        <v>113</v>
      </c>
      <c r="AQ12">
        <v>16</v>
      </c>
      <c r="AR12">
        <v>84</v>
      </c>
      <c r="AU12" t="s">
        <v>4473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18</v>
      </c>
      <c r="BH12">
        <v>78</v>
      </c>
      <c r="BK12" t="s">
        <v>4468</v>
      </c>
      <c r="BL12" t="b">
        <v>0</v>
      </c>
      <c r="BN12">
        <v>13</v>
      </c>
      <c r="BO12">
        <v>18</v>
      </c>
      <c r="BP12">
        <v>75</v>
      </c>
      <c r="BS12" t="s">
        <v>4468</v>
      </c>
      <c r="BT12" t="b">
        <v>0</v>
      </c>
      <c r="BV12">
        <v>5</v>
      </c>
      <c r="CB12">
        <v>1</v>
      </c>
      <c r="CD12">
        <v>8</v>
      </c>
      <c r="CE12">
        <v>57</v>
      </c>
      <c r="CF12">
        <v>73</v>
      </c>
      <c r="CG12">
        <v>63</v>
      </c>
      <c r="CJ12">
        <v>0.05</v>
      </c>
      <c r="CL12">
        <v>12</v>
      </c>
      <c r="CN12">
        <v>111</v>
      </c>
      <c r="CQ12" t="s">
        <v>4474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Fourier-analyse</v>
      </c>
      <c r="V13">
        <v>8</v>
      </c>
      <c r="W13" t="str">
        <f>dbFourierTitle</f>
        <v>Fourier-analyse</v>
      </c>
      <c r="X13" t="s">
        <v>334</v>
      </c>
      <c r="Y13" s="1" t="s">
        <v>667</v>
      </c>
      <c r="AH13">
        <v>5</v>
      </c>
      <c r="AI13">
        <v>18</v>
      </c>
      <c r="AJ13">
        <v>100</v>
      </c>
      <c r="AM13" t="s">
        <v>1019</v>
      </c>
      <c r="AP13">
        <v>208</v>
      </c>
      <c r="AQ13">
        <v>229</v>
      </c>
      <c r="AR13">
        <v>84</v>
      </c>
      <c r="AS13">
        <v>47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10</v>
      </c>
      <c r="BH13">
        <v>110</v>
      </c>
      <c r="BI13">
        <v>340</v>
      </c>
      <c r="BJ13">
        <v>81</v>
      </c>
      <c r="BK13" t="s">
        <v>4471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4475</v>
      </c>
      <c r="BV13">
        <v>5</v>
      </c>
      <c r="BW13">
        <v>18</v>
      </c>
      <c r="BX13">
        <v>106</v>
      </c>
      <c r="CA13" t="s">
        <v>4476</v>
      </c>
      <c r="CD13">
        <v>14</v>
      </c>
      <c r="CE13">
        <v>10</v>
      </c>
      <c r="CF13">
        <v>106</v>
      </c>
      <c r="CG13">
        <v>350</v>
      </c>
      <c r="CH13">
        <v>80</v>
      </c>
      <c r="CI13" t="s">
        <v>4471</v>
      </c>
      <c r="CL13">
        <v>5</v>
      </c>
      <c r="CM13">
        <v>40</v>
      </c>
      <c r="CN13">
        <v>98</v>
      </c>
      <c r="CQ13" t="s">
        <v>1338</v>
      </c>
      <c r="CT13">
        <v>5</v>
      </c>
    </row>
    <row r="14" spans="1:104" x14ac:dyDescent="0.25">
      <c r="A14" t="s">
        <v>404</v>
      </c>
      <c r="B14" t="s">
        <v>4477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67</v>
      </c>
      <c r="AJ14">
        <v>98</v>
      </c>
      <c r="AK14">
        <v>65</v>
      </c>
      <c r="AN14">
        <v>0.05</v>
      </c>
      <c r="AP14">
        <v>5</v>
      </c>
      <c r="AQ14">
        <v>281</v>
      </c>
      <c r="AR14">
        <v>86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170</v>
      </c>
      <c r="BX14">
        <v>105</v>
      </c>
      <c r="BY14">
        <v>190</v>
      </c>
      <c r="CB14" t="s">
        <v>316</v>
      </c>
      <c r="CD14">
        <v>111</v>
      </c>
      <c r="CJ14">
        <v>2</v>
      </c>
      <c r="CL14">
        <v>207</v>
      </c>
      <c r="CM14">
        <v>210</v>
      </c>
      <c r="CN14">
        <v>96</v>
      </c>
      <c r="CO14">
        <v>128</v>
      </c>
      <c r="CT14">
        <v>5</v>
      </c>
    </row>
    <row r="15" spans="1:104" x14ac:dyDescent="0.25">
      <c r="A15" t="s">
        <v>522</v>
      </c>
      <c r="B15" t="s">
        <v>4479</v>
      </c>
      <c r="T15">
        <v>10</v>
      </c>
      <c r="U15" t="str">
        <f>dbMovingTitle</f>
        <v>Zwevend gemiddelde</v>
      </c>
      <c r="V15">
        <v>10</v>
      </c>
      <c r="W15" t="str">
        <f>dbMovingTitle</f>
        <v>Zwevend gemiddelde</v>
      </c>
      <c r="X15" t="s">
        <v>524</v>
      </c>
      <c r="Y15" s="1" t="s">
        <v>669</v>
      </c>
      <c r="AH15">
        <v>14</v>
      </c>
      <c r="AI15">
        <v>10</v>
      </c>
      <c r="AJ15">
        <v>129</v>
      </c>
      <c r="AK15">
        <v>360</v>
      </c>
      <c r="AL15">
        <v>85</v>
      </c>
      <c r="AM15" t="s">
        <v>4471</v>
      </c>
      <c r="AP15">
        <v>14</v>
      </c>
      <c r="AQ15">
        <v>10</v>
      </c>
      <c r="AR15">
        <v>118</v>
      </c>
      <c r="AS15">
        <v>400</v>
      </c>
      <c r="AT15">
        <v>170</v>
      </c>
      <c r="AU15" t="s">
        <v>4471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16</v>
      </c>
      <c r="BH15">
        <v>127</v>
      </c>
      <c r="BK15" t="s">
        <v>4476</v>
      </c>
      <c r="BN15">
        <v>12</v>
      </c>
      <c r="BO15">
        <v>18</v>
      </c>
      <c r="BP15">
        <v>127</v>
      </c>
      <c r="BS15" t="s">
        <v>4480</v>
      </c>
      <c r="BV15">
        <v>205</v>
      </c>
      <c r="BW15">
        <v>18</v>
      </c>
      <c r="BX15">
        <v>127</v>
      </c>
      <c r="CA15" t="s">
        <v>4478</v>
      </c>
      <c r="CD15">
        <v>12</v>
      </c>
      <c r="CE15">
        <v>16</v>
      </c>
      <c r="CF15">
        <v>122</v>
      </c>
      <c r="CI15" t="s">
        <v>4476</v>
      </c>
      <c r="CL15">
        <v>5</v>
      </c>
      <c r="CM15">
        <v>40</v>
      </c>
      <c r="CN15">
        <v>129</v>
      </c>
      <c r="CQ15" t="s">
        <v>4482</v>
      </c>
      <c r="CT15">
        <v>5</v>
      </c>
    </row>
    <row r="16" spans="1:104" x14ac:dyDescent="0.25">
      <c r="A16" t="s">
        <v>526</v>
      </c>
      <c r="B16" t="s">
        <v>4483</v>
      </c>
      <c r="T16">
        <v>11</v>
      </c>
      <c r="U16" t="str">
        <f>dbRandomTitle</f>
        <v>Aselecte getallen</v>
      </c>
      <c r="V16">
        <v>11</v>
      </c>
      <c r="W16" t="str">
        <f>dbRandomTitle</f>
        <v>Aselecte getallen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148</v>
      </c>
      <c r="BK16" t="s">
        <v>4478</v>
      </c>
      <c r="BN16">
        <v>12</v>
      </c>
      <c r="BP16">
        <v>147</v>
      </c>
      <c r="BS16" t="s">
        <v>4484</v>
      </c>
      <c r="BV16">
        <v>206</v>
      </c>
      <c r="BW16">
        <v>170</v>
      </c>
      <c r="BX16">
        <v>127</v>
      </c>
      <c r="BY16">
        <v>192</v>
      </c>
      <c r="CD16">
        <v>12</v>
      </c>
      <c r="CF16">
        <v>143</v>
      </c>
      <c r="CI16" t="s">
        <v>4478</v>
      </c>
      <c r="CL16">
        <v>7</v>
      </c>
      <c r="CM16">
        <v>210</v>
      </c>
      <c r="CN16">
        <v>126</v>
      </c>
      <c r="CO16">
        <v>128</v>
      </c>
      <c r="CT16">
        <v>5</v>
      </c>
    </row>
    <row r="17" spans="1:104" x14ac:dyDescent="0.25">
      <c r="A17" t="s">
        <v>528</v>
      </c>
      <c r="B17" t="s">
        <v>4485</v>
      </c>
      <c r="T17">
        <v>12</v>
      </c>
      <c r="U17" t="str">
        <f>dbRankPerTitle</f>
        <v>Rang en percentiel</v>
      </c>
      <c r="V17">
        <v>12</v>
      </c>
      <c r="W17" t="str">
        <f>dbRankPerTitle</f>
        <v>Rang en percentiel</v>
      </c>
      <c r="X17" t="s">
        <v>530</v>
      </c>
      <c r="Y17" s="1" t="s">
        <v>670</v>
      </c>
      <c r="AH17">
        <v>12</v>
      </c>
      <c r="AI17">
        <v>19</v>
      </c>
      <c r="AJ17">
        <v>147</v>
      </c>
      <c r="AM17" t="s">
        <v>4476</v>
      </c>
      <c r="AP17">
        <v>12</v>
      </c>
      <c r="AQ17">
        <v>16</v>
      </c>
      <c r="AR17">
        <v>132</v>
      </c>
      <c r="AU17" t="s">
        <v>4476</v>
      </c>
      <c r="BF17">
        <v>12</v>
      </c>
      <c r="BH17">
        <v>168</v>
      </c>
      <c r="BK17" t="s">
        <v>4481</v>
      </c>
      <c r="BN17">
        <v>12</v>
      </c>
      <c r="BP17">
        <v>167</v>
      </c>
      <c r="BS17" t="s">
        <v>4481</v>
      </c>
      <c r="BV17">
        <v>205</v>
      </c>
      <c r="BW17">
        <v>18</v>
      </c>
      <c r="BX17">
        <v>148</v>
      </c>
      <c r="CA17" t="s">
        <v>4481</v>
      </c>
      <c r="CD17">
        <v>12</v>
      </c>
      <c r="CF17">
        <v>162</v>
      </c>
      <c r="CI17" t="s">
        <v>4481</v>
      </c>
      <c r="CL17">
        <v>14</v>
      </c>
      <c r="CM17">
        <v>11</v>
      </c>
      <c r="CN17">
        <v>161</v>
      </c>
      <c r="CO17">
        <v>375</v>
      </c>
      <c r="CP17">
        <v>84</v>
      </c>
      <c r="CQ17" t="s">
        <v>4471</v>
      </c>
      <c r="CT17">
        <v>5</v>
      </c>
    </row>
    <row r="18" spans="1:104" x14ac:dyDescent="0.25">
      <c r="A18" t="s">
        <v>531</v>
      </c>
      <c r="B18" t="s">
        <v>4486</v>
      </c>
      <c r="T18">
        <v>13</v>
      </c>
      <c r="U18" t="str">
        <f>dbRegressionTitle</f>
        <v>Regressie</v>
      </c>
      <c r="V18">
        <v>13</v>
      </c>
      <c r="W18" t="str">
        <f>dbRegressionTitle</f>
        <v>Regressie</v>
      </c>
      <c r="X18" t="s">
        <v>448</v>
      </c>
      <c r="Y18" s="1" t="s">
        <v>657</v>
      </c>
      <c r="AH18">
        <v>12</v>
      </c>
      <c r="AJ18">
        <v>169</v>
      </c>
      <c r="AM18" t="s">
        <v>4478</v>
      </c>
      <c r="AP18">
        <v>12</v>
      </c>
      <c r="AR18">
        <v>152</v>
      </c>
      <c r="AU18" t="s">
        <v>4478</v>
      </c>
      <c r="BF18">
        <v>210</v>
      </c>
      <c r="BG18">
        <v>170</v>
      </c>
      <c r="BH18">
        <v>127</v>
      </c>
      <c r="BI18">
        <v>170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16</v>
      </c>
      <c r="BX18">
        <v>165</v>
      </c>
      <c r="CA18" t="s">
        <v>4487</v>
      </c>
      <c r="CB18" t="b">
        <v>0</v>
      </c>
      <c r="CD18">
        <v>210</v>
      </c>
      <c r="CE18">
        <v>182</v>
      </c>
      <c r="CF18">
        <v>121</v>
      </c>
      <c r="CG18">
        <v>170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4488</v>
      </c>
      <c r="T19">
        <v>14</v>
      </c>
      <c r="U19" t="str">
        <f>dbSamplingTitle</f>
        <v>Steekproef</v>
      </c>
      <c r="V19">
        <v>14</v>
      </c>
      <c r="W19" t="str">
        <f>dbSamplingTitle</f>
        <v>Steekproef</v>
      </c>
      <c r="X19" t="s">
        <v>585</v>
      </c>
      <c r="Y19" s="1" t="s">
        <v>662</v>
      </c>
      <c r="AH19">
        <v>12</v>
      </c>
      <c r="AJ19">
        <v>191</v>
      </c>
      <c r="AM19" t="s">
        <v>4481</v>
      </c>
      <c r="AP19">
        <v>12</v>
      </c>
      <c r="AR19">
        <v>172</v>
      </c>
      <c r="AU19" t="s">
        <v>4481</v>
      </c>
      <c r="BF19">
        <v>6</v>
      </c>
      <c r="BG19">
        <v>170</v>
      </c>
      <c r="BH19">
        <v>148</v>
      </c>
      <c r="BI19">
        <v>170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170</v>
      </c>
      <c r="BX19">
        <v>165</v>
      </c>
      <c r="CA19" t="s">
        <v>4489</v>
      </c>
      <c r="CB19" t="b">
        <v>0</v>
      </c>
      <c r="CD19">
        <v>6</v>
      </c>
      <c r="CE19">
        <v>182</v>
      </c>
      <c r="CF19">
        <v>143</v>
      </c>
      <c r="CG19">
        <v>170</v>
      </c>
      <c r="CL19">
        <v>12</v>
      </c>
      <c r="CM19">
        <v>16</v>
      </c>
      <c r="CN19">
        <v>177</v>
      </c>
      <c r="CQ19" t="s">
        <v>4476</v>
      </c>
      <c r="CT19">
        <v>5</v>
      </c>
    </row>
    <row r="20" spans="1:104" x14ac:dyDescent="0.25">
      <c r="A20" t="s">
        <v>343</v>
      </c>
      <c r="B20" t="s">
        <v>4443</v>
      </c>
      <c r="T20">
        <v>15</v>
      </c>
      <c r="U20" t="str">
        <f>dbTTest1Title</f>
        <v>T-toets: twee gepaarde steekproeven voor gemiddelden</v>
      </c>
      <c r="V20">
        <v>15</v>
      </c>
      <c r="W20" t="str">
        <f>dbTTest1Title</f>
        <v>T-toets: twee gepaarde steekproeven voor gemiddelden</v>
      </c>
      <c r="X20" t="s">
        <v>344</v>
      </c>
      <c r="Y20" s="1" t="s">
        <v>671</v>
      </c>
      <c r="AH20">
        <v>210</v>
      </c>
      <c r="AI20">
        <v>170</v>
      </c>
      <c r="AJ20">
        <v>147</v>
      </c>
      <c r="AK20">
        <v>190</v>
      </c>
      <c r="AN20" t="s">
        <v>316</v>
      </c>
      <c r="AP20">
        <v>210</v>
      </c>
      <c r="AQ20">
        <v>170</v>
      </c>
      <c r="AR20">
        <v>130</v>
      </c>
      <c r="AS20">
        <v>230</v>
      </c>
      <c r="AV20" t="s">
        <v>316</v>
      </c>
      <c r="BF20">
        <v>24</v>
      </c>
      <c r="BG20">
        <v>360</v>
      </c>
      <c r="BH20">
        <v>60</v>
      </c>
      <c r="BI20">
        <v>100</v>
      </c>
      <c r="BN20">
        <v>13</v>
      </c>
      <c r="BO20">
        <v>18</v>
      </c>
      <c r="BP20">
        <v>189</v>
      </c>
      <c r="BS20" t="s">
        <v>4490</v>
      </c>
      <c r="BT20" t="b">
        <v>0</v>
      </c>
      <c r="BV20">
        <v>24</v>
      </c>
      <c r="BW20">
        <v>380</v>
      </c>
      <c r="BX20">
        <v>60</v>
      </c>
      <c r="BY20">
        <v>100</v>
      </c>
      <c r="CD20">
        <v>24</v>
      </c>
      <c r="CE20">
        <v>370</v>
      </c>
      <c r="CF20">
        <v>56</v>
      </c>
      <c r="CG20">
        <v>100</v>
      </c>
      <c r="CL20">
        <v>12</v>
      </c>
      <c r="CN20">
        <v>198</v>
      </c>
      <c r="CQ20" t="s">
        <v>4478</v>
      </c>
      <c r="CT20">
        <v>5</v>
      </c>
    </row>
    <row r="21" spans="1:104" x14ac:dyDescent="0.25">
      <c r="A21" t="s">
        <v>346</v>
      </c>
      <c r="B21" t="s">
        <v>4491</v>
      </c>
      <c r="T21">
        <v>16</v>
      </c>
      <c r="U21" t="str">
        <f>dbTTest2Title</f>
        <v>T-toets: twee gepaarde steekproeven met gelijke varianties</v>
      </c>
      <c r="V21">
        <v>16</v>
      </c>
      <c r="W21" t="str">
        <f>dbTTest2Title</f>
        <v>T-toets: twee gepaarde steekproeven met gelijke varianties</v>
      </c>
      <c r="X21" t="s">
        <v>445</v>
      </c>
      <c r="Y21" s="1" t="s">
        <v>672</v>
      </c>
      <c r="AH21">
        <v>6</v>
      </c>
      <c r="AI21">
        <v>170</v>
      </c>
      <c r="AJ21">
        <v>169</v>
      </c>
      <c r="AK21">
        <v>190</v>
      </c>
      <c r="AP21">
        <v>6</v>
      </c>
      <c r="AQ21">
        <v>170</v>
      </c>
      <c r="AR21">
        <v>152</v>
      </c>
      <c r="AS21">
        <v>230</v>
      </c>
      <c r="BN21">
        <v>113</v>
      </c>
      <c r="BO21">
        <v>18</v>
      </c>
      <c r="BP21">
        <v>209</v>
      </c>
      <c r="BS21" t="s">
        <v>4492</v>
      </c>
      <c r="BT21" t="b">
        <v>0</v>
      </c>
      <c r="CL21">
        <v>12</v>
      </c>
      <c r="CN21">
        <v>220</v>
      </c>
      <c r="CQ21" t="s">
        <v>4481</v>
      </c>
      <c r="CT21">
        <v>5</v>
      </c>
    </row>
    <row r="22" spans="1:104" x14ac:dyDescent="0.25">
      <c r="A22" t="s">
        <v>440</v>
      </c>
      <c r="B22" t="s">
        <v>4444</v>
      </c>
      <c r="T22">
        <v>17</v>
      </c>
      <c r="U22" t="str">
        <f>dbTTest3Title</f>
        <v>T-toets: twee steekproeven met ongelijke varianties</v>
      </c>
      <c r="V22">
        <v>17</v>
      </c>
      <c r="W22" t="str">
        <f>dbTTest3Title</f>
        <v>T-toets: twee steekproeven met ongelijke varianties</v>
      </c>
      <c r="X22" t="s">
        <v>441</v>
      </c>
      <c r="Y22" s="1" t="s">
        <v>673</v>
      </c>
      <c r="AH22">
        <v>24</v>
      </c>
      <c r="AI22">
        <v>380</v>
      </c>
      <c r="AJ22">
        <v>60</v>
      </c>
      <c r="AK22">
        <v>100</v>
      </c>
      <c r="AP22">
        <v>14</v>
      </c>
      <c r="AQ22">
        <v>20</v>
      </c>
      <c r="AR22">
        <v>189</v>
      </c>
      <c r="AS22">
        <v>384</v>
      </c>
      <c r="AT22">
        <v>55</v>
      </c>
      <c r="AU22" t="s">
        <v>4493</v>
      </c>
      <c r="BF22" t="s">
        <v>483</v>
      </c>
      <c r="BN22">
        <v>208</v>
      </c>
      <c r="BO22">
        <v>278</v>
      </c>
      <c r="BP22">
        <v>207</v>
      </c>
      <c r="BQ22">
        <v>54</v>
      </c>
      <c r="BT22">
        <v>95</v>
      </c>
      <c r="CL22">
        <v>210</v>
      </c>
      <c r="CM22">
        <v>210</v>
      </c>
      <c r="CN22">
        <v>177</v>
      </c>
      <c r="CO22">
        <v>160</v>
      </c>
      <c r="CR22" t="s">
        <v>316</v>
      </c>
      <c r="CT22">
        <v>5</v>
      </c>
      <c r="CU22">
        <v>20</v>
      </c>
      <c r="CV22">
        <v>85</v>
      </c>
      <c r="CY22" t="s">
        <v>4494</v>
      </c>
    </row>
    <row r="23" spans="1:104" x14ac:dyDescent="0.25">
      <c r="A23" t="s">
        <v>443</v>
      </c>
      <c r="B23" t="s">
        <v>4495</v>
      </c>
      <c r="T23">
        <v>18</v>
      </c>
      <c r="U23" t="str">
        <f>dbZTestTitle</f>
        <v>Z-toets: twee steekproeven voor gemiddelden</v>
      </c>
      <c r="V23">
        <v>18</v>
      </c>
      <c r="W23" t="str">
        <f>dbZTestTitle</f>
        <v>Z-toets: twee steekproeven voor gemiddelden</v>
      </c>
      <c r="X23" t="s">
        <v>357</v>
      </c>
      <c r="Y23" s="1" t="s">
        <v>674</v>
      </c>
      <c r="AP23">
        <v>13</v>
      </c>
      <c r="AR23">
        <v>203</v>
      </c>
      <c r="AU23" t="s">
        <v>4496</v>
      </c>
      <c r="AV23" t="b">
        <v>0</v>
      </c>
      <c r="BF23" s="1" t="s">
        <v>666</v>
      </c>
      <c r="BI23">
        <v>470</v>
      </c>
      <c r="BJ23">
        <v>187</v>
      </c>
      <c r="BK23" t="s">
        <v>4497</v>
      </c>
      <c r="BL23">
        <v>5</v>
      </c>
      <c r="BN23">
        <v>5</v>
      </c>
      <c r="BO23">
        <v>342</v>
      </c>
      <c r="BP23">
        <v>210</v>
      </c>
      <c r="BS23" t="s">
        <v>521</v>
      </c>
      <c r="CL23">
        <v>6</v>
      </c>
      <c r="CM23">
        <v>210</v>
      </c>
      <c r="CN23">
        <v>200</v>
      </c>
      <c r="CO23">
        <v>160</v>
      </c>
      <c r="CT23">
        <v>10</v>
      </c>
      <c r="CU23">
        <v>20</v>
      </c>
      <c r="CV23">
        <v>102</v>
      </c>
      <c r="CW23">
        <v>268</v>
      </c>
    </row>
    <row r="24" spans="1:104" x14ac:dyDescent="0.25">
      <c r="A24" t="s">
        <v>360</v>
      </c>
      <c r="B24" t="s">
        <v>4498</v>
      </c>
      <c r="X24" t="s">
        <v>551</v>
      </c>
      <c r="AP24">
        <v>13</v>
      </c>
      <c r="AR24">
        <v>222</v>
      </c>
      <c r="AU24" t="s">
        <v>4499</v>
      </c>
      <c r="AV24" t="b">
        <v>0</v>
      </c>
      <c r="BF24">
        <v>1</v>
      </c>
      <c r="BG24">
        <v>360</v>
      </c>
      <c r="BH24">
        <v>12</v>
      </c>
      <c r="BI24">
        <v>100</v>
      </c>
      <c r="BK24" t="s">
        <v>390</v>
      </c>
      <c r="BN24">
        <v>113</v>
      </c>
      <c r="BO24">
        <v>18</v>
      </c>
      <c r="BP24">
        <v>228</v>
      </c>
      <c r="BS24" t="s">
        <v>4500</v>
      </c>
      <c r="BT24" t="b">
        <v>0</v>
      </c>
      <c r="CD24" t="s">
        <v>344</v>
      </c>
      <c r="CL24">
        <v>24</v>
      </c>
      <c r="CM24">
        <v>402</v>
      </c>
      <c r="CN24">
        <v>60</v>
      </c>
      <c r="CO24">
        <v>100</v>
      </c>
      <c r="CT24">
        <v>5</v>
      </c>
      <c r="CU24">
        <v>15</v>
      </c>
      <c r="CV24">
        <v>177</v>
      </c>
      <c r="CY24" t="s">
        <v>4501</v>
      </c>
    </row>
    <row r="25" spans="1:104" x14ac:dyDescent="0.25">
      <c r="A25" t="s">
        <v>552</v>
      </c>
      <c r="B25" t="s">
        <v>4502</v>
      </c>
      <c r="X25" t="s">
        <v>554</v>
      </c>
      <c r="AH25" t="s">
        <v>614</v>
      </c>
      <c r="AP25">
        <v>13</v>
      </c>
      <c r="AQ25">
        <v>204</v>
      </c>
      <c r="AR25">
        <v>203</v>
      </c>
      <c r="AU25" t="s">
        <v>4503</v>
      </c>
      <c r="AV25" t="b">
        <v>0</v>
      </c>
      <c r="BF25">
        <v>2</v>
      </c>
      <c r="BG25">
        <v>360</v>
      </c>
      <c r="BH25">
        <v>36</v>
      </c>
      <c r="BI25">
        <v>100</v>
      </c>
      <c r="BK25" t="s">
        <v>4452</v>
      </c>
      <c r="BN25">
        <v>207</v>
      </c>
      <c r="BO25">
        <v>278</v>
      </c>
      <c r="BP25">
        <v>226</v>
      </c>
      <c r="BQ25">
        <v>100</v>
      </c>
      <c r="BT25">
        <v>1</v>
      </c>
      <c r="CD25" s="1" t="s">
        <v>671</v>
      </c>
      <c r="CG25">
        <v>530</v>
      </c>
      <c r="CH25">
        <v>220</v>
      </c>
      <c r="CI25" t="s">
        <v>4504</v>
      </c>
      <c r="CJ25">
        <v>5</v>
      </c>
      <c r="CT25">
        <v>7</v>
      </c>
      <c r="CU25">
        <v>205</v>
      </c>
      <c r="CV25">
        <v>176</v>
      </c>
      <c r="CW25">
        <v>175</v>
      </c>
      <c r="CZ25" t="s">
        <v>316</v>
      </c>
    </row>
    <row r="26" spans="1:104" x14ac:dyDescent="0.25">
      <c r="A26" t="s">
        <v>573</v>
      </c>
      <c r="B26" t="s">
        <v>4505</v>
      </c>
      <c r="X26" t="s">
        <v>376</v>
      </c>
      <c r="AH26" s="1" t="s">
        <v>664</v>
      </c>
      <c r="AK26">
        <v>470</v>
      </c>
      <c r="AL26">
        <v>188</v>
      </c>
      <c r="AM26" t="s">
        <v>4495</v>
      </c>
      <c r="AN26">
        <v>5</v>
      </c>
      <c r="AP26">
        <v>13</v>
      </c>
      <c r="AR26">
        <v>222</v>
      </c>
      <c r="AU26" t="s">
        <v>4506</v>
      </c>
      <c r="AV26" t="b">
        <v>0</v>
      </c>
      <c r="BF26">
        <v>14</v>
      </c>
      <c r="BG26">
        <v>10</v>
      </c>
      <c r="BH26">
        <v>6</v>
      </c>
      <c r="BI26">
        <v>340</v>
      </c>
      <c r="BJ26">
        <v>90</v>
      </c>
      <c r="BK26" t="s">
        <v>4454</v>
      </c>
      <c r="BN26">
        <v>113</v>
      </c>
      <c r="BO26">
        <v>18</v>
      </c>
      <c r="BP26">
        <v>247</v>
      </c>
      <c r="BS26" t="s">
        <v>4507</v>
      </c>
      <c r="BT26" t="b">
        <v>0</v>
      </c>
      <c r="CD26">
        <v>1</v>
      </c>
      <c r="CE26">
        <v>420</v>
      </c>
      <c r="CF26">
        <v>12</v>
      </c>
      <c r="CG26">
        <v>100</v>
      </c>
      <c r="CI26" t="s">
        <v>390</v>
      </c>
      <c r="CT26">
        <v>14</v>
      </c>
      <c r="CU26">
        <v>10</v>
      </c>
      <c r="CV26">
        <v>195</v>
      </c>
      <c r="CW26">
        <v>381</v>
      </c>
      <c r="CX26">
        <v>80</v>
      </c>
      <c r="CY26" t="s">
        <v>4471</v>
      </c>
    </row>
    <row r="27" spans="1:104" x14ac:dyDescent="0.25">
      <c r="A27" t="s">
        <v>377</v>
      </c>
      <c r="B27" t="s">
        <v>4508</v>
      </c>
      <c r="X27" t="s">
        <v>379</v>
      </c>
      <c r="AH27">
        <v>1</v>
      </c>
      <c r="AI27">
        <v>360</v>
      </c>
      <c r="AJ27">
        <v>12</v>
      </c>
      <c r="AK27">
        <v>100</v>
      </c>
      <c r="AM27" t="s">
        <v>390</v>
      </c>
      <c r="AP27">
        <v>14</v>
      </c>
      <c r="AQ27">
        <v>20</v>
      </c>
      <c r="AR27">
        <v>246</v>
      </c>
      <c r="AS27">
        <v>384</v>
      </c>
      <c r="AT27">
        <v>37</v>
      </c>
      <c r="AU27" t="s">
        <v>4509</v>
      </c>
      <c r="BF27">
        <v>5</v>
      </c>
      <c r="BG27">
        <v>18</v>
      </c>
      <c r="BH27">
        <v>21</v>
      </c>
      <c r="BK27" t="s">
        <v>4456</v>
      </c>
      <c r="BN27">
        <v>207</v>
      </c>
      <c r="BO27">
        <v>278</v>
      </c>
      <c r="BP27">
        <v>245</v>
      </c>
      <c r="BQ27">
        <v>100</v>
      </c>
      <c r="BT27">
        <v>1</v>
      </c>
      <c r="CD27">
        <v>2</v>
      </c>
      <c r="CE27">
        <v>420</v>
      </c>
      <c r="CF27">
        <v>36</v>
      </c>
      <c r="CG27">
        <v>100</v>
      </c>
      <c r="CI27" t="s">
        <v>4452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4510</v>
      </c>
      <c r="X28" t="s">
        <v>382</v>
      </c>
      <c r="AH28">
        <v>2</v>
      </c>
      <c r="AI28">
        <v>360</v>
      </c>
      <c r="AJ28">
        <v>36</v>
      </c>
      <c r="AK28">
        <v>100</v>
      </c>
      <c r="AM28" t="s">
        <v>4452</v>
      </c>
      <c r="AP28">
        <v>13</v>
      </c>
      <c r="AR28">
        <v>261</v>
      </c>
      <c r="AU28" t="s">
        <v>4511</v>
      </c>
      <c r="AV28" t="b">
        <v>0</v>
      </c>
      <c r="BF28">
        <v>10</v>
      </c>
      <c r="BG28">
        <v>170</v>
      </c>
      <c r="BH28">
        <v>20</v>
      </c>
      <c r="BI28">
        <v>170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10</v>
      </c>
      <c r="CF28">
        <v>6</v>
      </c>
      <c r="CG28">
        <v>400</v>
      </c>
      <c r="CH28">
        <v>116</v>
      </c>
      <c r="CI28" t="s">
        <v>4454</v>
      </c>
      <c r="CT28">
        <v>12</v>
      </c>
      <c r="CU28">
        <v>15</v>
      </c>
      <c r="CV28">
        <v>210</v>
      </c>
      <c r="CY28" t="s">
        <v>4476</v>
      </c>
    </row>
    <row r="29" spans="1:104" x14ac:dyDescent="0.25">
      <c r="A29" t="s">
        <v>383</v>
      </c>
      <c r="B29" t="s">
        <v>4512</v>
      </c>
      <c r="X29" t="s">
        <v>599</v>
      </c>
      <c r="AH29">
        <v>14</v>
      </c>
      <c r="AI29">
        <v>10</v>
      </c>
      <c r="AJ29">
        <v>6</v>
      </c>
      <c r="AK29">
        <v>340</v>
      </c>
      <c r="AL29">
        <v>85</v>
      </c>
      <c r="AM29" t="s">
        <v>4454</v>
      </c>
      <c r="AP29">
        <v>24</v>
      </c>
      <c r="AQ29">
        <v>420</v>
      </c>
      <c r="AR29">
        <v>60</v>
      </c>
      <c r="AS29">
        <v>100</v>
      </c>
      <c r="BF29">
        <v>5</v>
      </c>
      <c r="BG29">
        <v>18</v>
      </c>
      <c r="BH29">
        <v>43</v>
      </c>
      <c r="BK29" t="s">
        <v>4460</v>
      </c>
      <c r="CD29">
        <v>5</v>
      </c>
      <c r="CE29">
        <v>18</v>
      </c>
      <c r="CF29">
        <v>20</v>
      </c>
      <c r="CI29" t="s">
        <v>4458</v>
      </c>
      <c r="CT29">
        <v>12</v>
      </c>
      <c r="CV29">
        <v>232</v>
      </c>
      <c r="CY29" t="s">
        <v>4478</v>
      </c>
    </row>
    <row r="30" spans="1:104" x14ac:dyDescent="0.25">
      <c r="A30" t="s">
        <v>600</v>
      </c>
      <c r="B30" t="s">
        <v>4513</v>
      </c>
      <c r="X30" t="s">
        <v>332</v>
      </c>
      <c r="AH30">
        <v>5</v>
      </c>
      <c r="AI30">
        <v>18</v>
      </c>
      <c r="AJ30">
        <v>24</v>
      </c>
      <c r="AM30" t="s">
        <v>4456</v>
      </c>
      <c r="BF30">
        <v>111</v>
      </c>
      <c r="BL30">
        <v>1</v>
      </c>
      <c r="CD30">
        <v>10</v>
      </c>
      <c r="CE30">
        <v>175</v>
      </c>
      <c r="CF30">
        <v>19</v>
      </c>
      <c r="CG30">
        <v>225</v>
      </c>
      <c r="CJ30" t="s">
        <v>316</v>
      </c>
      <c r="CT30">
        <v>12</v>
      </c>
      <c r="CV30">
        <v>252</v>
      </c>
      <c r="CY30" t="s">
        <v>4481</v>
      </c>
    </row>
    <row r="31" spans="1:104" x14ac:dyDescent="0.25">
      <c r="A31" t="s">
        <v>602</v>
      </c>
      <c r="B31" t="s">
        <v>4491</v>
      </c>
      <c r="X31" t="s">
        <v>263</v>
      </c>
      <c r="AH31">
        <v>10</v>
      </c>
      <c r="AI31">
        <v>170</v>
      </c>
      <c r="AJ31">
        <v>24</v>
      </c>
      <c r="AK31">
        <v>170</v>
      </c>
      <c r="AN31" t="s">
        <v>316</v>
      </c>
      <c r="BF31">
        <v>12</v>
      </c>
      <c r="BG31">
        <v>170</v>
      </c>
      <c r="BH31">
        <v>42</v>
      </c>
      <c r="BK31" t="s">
        <v>4467</v>
      </c>
      <c r="CD31">
        <v>5</v>
      </c>
      <c r="CE31">
        <v>18</v>
      </c>
      <c r="CF31">
        <v>43</v>
      </c>
      <c r="CI31" t="s">
        <v>4463</v>
      </c>
      <c r="CT31">
        <v>210</v>
      </c>
      <c r="CU31">
        <v>205</v>
      </c>
      <c r="CV31">
        <v>210</v>
      </c>
      <c r="CW31">
        <v>175</v>
      </c>
      <c r="CZ31" t="s">
        <v>316</v>
      </c>
    </row>
    <row r="32" spans="1:104" x14ac:dyDescent="0.25">
      <c r="A32" t="s">
        <v>93</v>
      </c>
      <c r="B32" t="s">
        <v>4514</v>
      </c>
      <c r="AH32">
        <v>5</v>
      </c>
      <c r="AI32">
        <v>18</v>
      </c>
      <c r="AJ32">
        <v>48</v>
      </c>
      <c r="AM32" t="s">
        <v>4515</v>
      </c>
      <c r="BF32">
        <v>12</v>
      </c>
      <c r="BK32" t="s">
        <v>4469</v>
      </c>
      <c r="CD32">
        <v>10</v>
      </c>
      <c r="CE32">
        <v>175</v>
      </c>
      <c r="CF32">
        <v>41</v>
      </c>
      <c r="CG32">
        <v>225</v>
      </c>
      <c r="CJ32" t="s">
        <v>316</v>
      </c>
      <c r="CT32">
        <v>6</v>
      </c>
      <c r="CU32">
        <v>205</v>
      </c>
      <c r="CV32">
        <v>232</v>
      </c>
      <c r="CW32">
        <v>175</v>
      </c>
    </row>
    <row r="33" spans="1:104" x14ac:dyDescent="0.25">
      <c r="A33" t="s">
        <v>307</v>
      </c>
      <c r="B33" t="s">
        <v>4516</v>
      </c>
      <c r="AH33">
        <v>7</v>
      </c>
      <c r="AI33">
        <v>224</v>
      </c>
      <c r="AJ33">
        <v>45</v>
      </c>
      <c r="AK33">
        <v>115</v>
      </c>
      <c r="BF33">
        <v>13</v>
      </c>
      <c r="BG33">
        <v>18</v>
      </c>
      <c r="BH33">
        <v>76</v>
      </c>
      <c r="BK33" t="s">
        <v>4468</v>
      </c>
      <c r="BL33" t="b">
        <v>0</v>
      </c>
      <c r="CD33">
        <v>5</v>
      </c>
      <c r="CE33">
        <v>18</v>
      </c>
      <c r="CF33">
        <v>64</v>
      </c>
      <c r="CI33" t="s">
        <v>4517</v>
      </c>
      <c r="CT33">
        <v>24</v>
      </c>
      <c r="CU33">
        <v>410</v>
      </c>
      <c r="CV33">
        <v>53</v>
      </c>
      <c r="CW33">
        <v>100</v>
      </c>
    </row>
    <row r="34" spans="1:104" x14ac:dyDescent="0.25">
      <c r="A34" t="s">
        <v>309</v>
      </c>
      <c r="B34" t="s">
        <v>4518</v>
      </c>
      <c r="AH34">
        <v>5</v>
      </c>
      <c r="AI34">
        <v>18</v>
      </c>
      <c r="AJ34">
        <v>67</v>
      </c>
      <c r="AM34" t="s">
        <v>1019</v>
      </c>
      <c r="BF34">
        <v>14</v>
      </c>
      <c r="BG34">
        <v>10</v>
      </c>
      <c r="BH34">
        <v>102</v>
      </c>
      <c r="BI34">
        <v>340</v>
      </c>
      <c r="BJ34">
        <v>77</v>
      </c>
      <c r="BK34" t="s">
        <v>4471</v>
      </c>
      <c r="CD34">
        <v>8</v>
      </c>
      <c r="CE34">
        <v>315</v>
      </c>
      <c r="CF34">
        <v>62</v>
      </c>
      <c r="CG34">
        <v>85</v>
      </c>
    </row>
    <row r="35" spans="1:104" x14ac:dyDescent="0.25">
      <c r="A35" t="s">
        <v>469</v>
      </c>
      <c r="B35" t="s">
        <v>4519</v>
      </c>
      <c r="AH35">
        <v>8</v>
      </c>
      <c r="AI35">
        <v>224</v>
      </c>
      <c r="AJ35">
        <v>66</v>
      </c>
      <c r="AK35">
        <v>52</v>
      </c>
      <c r="AN35">
        <v>0.05</v>
      </c>
      <c r="BF35">
        <v>111</v>
      </c>
      <c r="BL35">
        <v>2</v>
      </c>
      <c r="CD35">
        <v>13</v>
      </c>
      <c r="CE35">
        <v>16</v>
      </c>
      <c r="CF35">
        <v>80</v>
      </c>
      <c r="CI35" t="s">
        <v>480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10</v>
      </c>
      <c r="AJ36">
        <v>93</v>
      </c>
      <c r="AK36">
        <v>340</v>
      </c>
      <c r="AL36">
        <v>85</v>
      </c>
      <c r="AM36" t="s">
        <v>4471</v>
      </c>
      <c r="BF36">
        <v>12</v>
      </c>
      <c r="BG36">
        <v>16</v>
      </c>
      <c r="BH36">
        <v>120</v>
      </c>
      <c r="BK36" t="s">
        <v>4476</v>
      </c>
      <c r="CD36">
        <v>5</v>
      </c>
      <c r="CE36">
        <v>18</v>
      </c>
      <c r="CF36">
        <v>100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4520</v>
      </c>
      <c r="AH37">
        <v>111</v>
      </c>
      <c r="AN37">
        <v>2</v>
      </c>
      <c r="BF37">
        <v>12</v>
      </c>
      <c r="BH37">
        <v>139</v>
      </c>
      <c r="BK37" t="s">
        <v>4478</v>
      </c>
      <c r="CD37">
        <v>8</v>
      </c>
      <c r="CE37">
        <v>55</v>
      </c>
      <c r="CF37">
        <v>98</v>
      </c>
      <c r="CG37">
        <v>65</v>
      </c>
      <c r="CJ37">
        <v>0.05</v>
      </c>
      <c r="CT37">
        <v>5</v>
      </c>
    </row>
    <row r="38" spans="1:104" x14ac:dyDescent="0.25">
      <c r="A38" t="s">
        <v>413</v>
      </c>
      <c r="B38" t="s">
        <v>4521</v>
      </c>
      <c r="AH38">
        <v>12</v>
      </c>
      <c r="AI38">
        <v>16</v>
      </c>
      <c r="AJ38">
        <v>110</v>
      </c>
      <c r="AM38" t="s">
        <v>4476</v>
      </c>
      <c r="BF38">
        <v>12</v>
      </c>
      <c r="BH38">
        <v>159</v>
      </c>
      <c r="BK38" t="s">
        <v>4481</v>
      </c>
      <c r="CD38">
        <v>14</v>
      </c>
      <c r="CE38">
        <v>10</v>
      </c>
      <c r="CF38">
        <v>131</v>
      </c>
      <c r="CG38">
        <v>400</v>
      </c>
      <c r="CH38">
        <v>78</v>
      </c>
      <c r="CI38" t="s">
        <v>4471</v>
      </c>
      <c r="CT38">
        <v>5</v>
      </c>
    </row>
    <row r="39" spans="1:104" x14ac:dyDescent="0.25">
      <c r="A39" t="s">
        <v>488</v>
      </c>
      <c r="B39" t="s">
        <v>4522</v>
      </c>
      <c r="AH39">
        <v>12</v>
      </c>
      <c r="AJ39">
        <v>132</v>
      </c>
      <c r="AM39" t="s">
        <v>4478</v>
      </c>
      <c r="BF39">
        <v>210</v>
      </c>
      <c r="BG39">
        <v>170</v>
      </c>
      <c r="BH39">
        <v>118</v>
      </c>
      <c r="BI39">
        <v>170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4523</v>
      </c>
      <c r="AH40">
        <v>12</v>
      </c>
      <c r="AJ40">
        <v>153</v>
      </c>
      <c r="AM40" t="s">
        <v>4481</v>
      </c>
      <c r="BF40">
        <v>6</v>
      </c>
      <c r="BG40">
        <v>170</v>
      </c>
      <c r="BH40">
        <v>139</v>
      </c>
      <c r="BI40">
        <v>160</v>
      </c>
      <c r="CD40">
        <v>12</v>
      </c>
      <c r="CE40">
        <v>16</v>
      </c>
      <c r="CF40">
        <v>147</v>
      </c>
      <c r="CI40" t="s">
        <v>4476</v>
      </c>
      <c r="CT40">
        <v>5</v>
      </c>
    </row>
    <row r="41" spans="1:104" x14ac:dyDescent="0.25">
      <c r="A41" t="s">
        <v>492</v>
      </c>
      <c r="B41" t="s">
        <v>4524</v>
      </c>
      <c r="AH41">
        <v>210</v>
      </c>
      <c r="AI41">
        <v>170</v>
      </c>
      <c r="AJ41">
        <v>109</v>
      </c>
      <c r="AK41">
        <v>170</v>
      </c>
      <c r="AN41" t="s">
        <v>316</v>
      </c>
      <c r="BF41">
        <v>24</v>
      </c>
      <c r="BG41">
        <v>360</v>
      </c>
      <c r="BH41">
        <v>60</v>
      </c>
      <c r="BI41">
        <v>100</v>
      </c>
      <c r="CD41">
        <v>12</v>
      </c>
      <c r="CF41">
        <v>166</v>
      </c>
      <c r="CI41" t="s">
        <v>4478</v>
      </c>
      <c r="CT41">
        <v>5</v>
      </c>
    </row>
    <row r="42" spans="1:104" x14ac:dyDescent="0.25">
      <c r="A42" t="s">
        <v>494</v>
      </c>
      <c r="B42" t="s">
        <v>4450</v>
      </c>
      <c r="AH42">
        <v>6</v>
      </c>
      <c r="AI42">
        <v>170</v>
      </c>
      <c r="AJ42">
        <v>131</v>
      </c>
      <c r="AK42">
        <v>170</v>
      </c>
      <c r="CD42">
        <v>12</v>
      </c>
      <c r="CF42">
        <v>187</v>
      </c>
      <c r="CI42" t="s">
        <v>4481</v>
      </c>
      <c r="CT42">
        <v>5</v>
      </c>
    </row>
    <row r="43" spans="1:104" x14ac:dyDescent="0.25">
      <c r="A43" t="s">
        <v>496</v>
      </c>
      <c r="B43" t="s">
        <v>4525</v>
      </c>
      <c r="AH43">
        <v>24</v>
      </c>
      <c r="AI43">
        <v>360</v>
      </c>
      <c r="AJ43">
        <v>60</v>
      </c>
      <c r="AK43">
        <v>100</v>
      </c>
      <c r="BF43" t="s">
        <v>530</v>
      </c>
      <c r="CD43">
        <v>210</v>
      </c>
      <c r="CE43">
        <v>175</v>
      </c>
      <c r="CF43">
        <v>146</v>
      </c>
      <c r="CG43">
        <v>225</v>
      </c>
      <c r="CJ43" t="s">
        <v>316</v>
      </c>
      <c r="CT43">
        <v>5</v>
      </c>
    </row>
    <row r="44" spans="1:104" x14ac:dyDescent="0.25">
      <c r="A44" t="s">
        <v>400</v>
      </c>
      <c r="B44" t="s">
        <v>4526</v>
      </c>
      <c r="BF44" s="1" t="s">
        <v>670</v>
      </c>
      <c r="BI44">
        <v>502</v>
      </c>
      <c r="BJ44">
        <v>182</v>
      </c>
      <c r="BK44" t="s">
        <v>4527</v>
      </c>
      <c r="BL44">
        <v>5</v>
      </c>
      <c r="CD44">
        <v>6</v>
      </c>
      <c r="CE44">
        <v>175</v>
      </c>
      <c r="CF44">
        <v>167</v>
      </c>
      <c r="CG44">
        <v>177</v>
      </c>
      <c r="CT44">
        <v>5</v>
      </c>
      <c r="CU44">
        <v>20</v>
      </c>
      <c r="CV44">
        <v>98</v>
      </c>
      <c r="CY44" t="s">
        <v>4528</v>
      </c>
    </row>
    <row r="45" spans="1:104" x14ac:dyDescent="0.25">
      <c r="A45" t="s">
        <v>422</v>
      </c>
      <c r="B45" t="s">
        <v>4529</v>
      </c>
      <c r="BF45">
        <v>1</v>
      </c>
      <c r="BG45">
        <v>387</v>
      </c>
      <c r="BH45">
        <v>7</v>
      </c>
      <c r="BI45">
        <v>100</v>
      </c>
      <c r="BK45" t="s">
        <v>390</v>
      </c>
      <c r="CD45">
        <v>24</v>
      </c>
      <c r="CE45">
        <v>420</v>
      </c>
      <c r="CF45">
        <v>60</v>
      </c>
      <c r="CG45">
        <v>100</v>
      </c>
      <c r="CT45">
        <v>8</v>
      </c>
      <c r="CU45">
        <v>80</v>
      </c>
      <c r="CV45">
        <v>96</v>
      </c>
      <c r="CW45">
        <v>130</v>
      </c>
      <c r="CZ45">
        <v>0</v>
      </c>
    </row>
    <row r="46" spans="1:104" x14ac:dyDescent="0.25">
      <c r="A46" t="s">
        <v>424</v>
      </c>
      <c r="B46" t="s">
        <v>4530</v>
      </c>
      <c r="BF46">
        <v>2</v>
      </c>
      <c r="BG46">
        <v>387</v>
      </c>
      <c r="BH46">
        <v>31</v>
      </c>
      <c r="BI46">
        <v>100</v>
      </c>
      <c r="BK46" t="s">
        <v>4452</v>
      </c>
      <c r="CT46">
        <v>5</v>
      </c>
      <c r="CU46">
        <v>220</v>
      </c>
      <c r="CV46">
        <v>98</v>
      </c>
      <c r="CY46" t="s">
        <v>4531</v>
      </c>
    </row>
    <row r="47" spans="1:104" x14ac:dyDescent="0.25">
      <c r="A47" t="s">
        <v>427</v>
      </c>
      <c r="B47" t="s">
        <v>4532</v>
      </c>
      <c r="AH47" t="s">
        <v>315</v>
      </c>
      <c r="BF47">
        <v>14</v>
      </c>
      <c r="BG47">
        <v>5</v>
      </c>
      <c r="BH47">
        <v>3</v>
      </c>
      <c r="BI47">
        <v>360</v>
      </c>
      <c r="BJ47">
        <v>90</v>
      </c>
      <c r="BK47" t="s">
        <v>4454</v>
      </c>
      <c r="CT47">
        <v>8</v>
      </c>
      <c r="CU47">
        <v>250</v>
      </c>
      <c r="CV47">
        <v>96</v>
      </c>
      <c r="CW47">
        <v>130</v>
      </c>
      <c r="CZ47">
        <v>1</v>
      </c>
    </row>
    <row r="48" spans="1:104" x14ac:dyDescent="0.25">
      <c r="A48" t="s">
        <v>429</v>
      </c>
      <c r="B48" t="s">
        <v>4533</v>
      </c>
      <c r="AH48" s="1" t="s">
        <v>665</v>
      </c>
      <c r="AK48">
        <v>470</v>
      </c>
      <c r="AL48">
        <v>190</v>
      </c>
      <c r="AM48" t="s">
        <v>4534</v>
      </c>
      <c r="AN48">
        <v>5</v>
      </c>
      <c r="BF48">
        <v>5</v>
      </c>
      <c r="BG48">
        <v>14</v>
      </c>
      <c r="BH48">
        <v>19</v>
      </c>
      <c r="BK48" t="s">
        <v>4456</v>
      </c>
    </row>
    <row r="49" spans="1:104" x14ac:dyDescent="0.25">
      <c r="A49" t="s">
        <v>431</v>
      </c>
      <c r="B49" t="s">
        <v>4447</v>
      </c>
      <c r="AH49">
        <v>1</v>
      </c>
      <c r="AI49">
        <v>360</v>
      </c>
      <c r="AJ49">
        <v>12</v>
      </c>
      <c r="AK49">
        <v>100</v>
      </c>
      <c r="AM49" t="s">
        <v>390</v>
      </c>
      <c r="BF49">
        <v>10</v>
      </c>
      <c r="BG49">
        <v>193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4512</v>
      </c>
      <c r="AH50">
        <v>2</v>
      </c>
      <c r="AI50">
        <v>360</v>
      </c>
      <c r="AJ50">
        <v>36</v>
      </c>
      <c r="AK50">
        <v>100</v>
      </c>
      <c r="AM50" t="s">
        <v>4452</v>
      </c>
      <c r="BF50">
        <v>5</v>
      </c>
      <c r="BG50">
        <v>14</v>
      </c>
      <c r="BH50">
        <v>37</v>
      </c>
      <c r="BK50" t="s">
        <v>4460</v>
      </c>
      <c r="CD50" s="1" t="s">
        <v>672</v>
      </c>
      <c r="CG50">
        <v>545</v>
      </c>
      <c r="CH50">
        <v>215</v>
      </c>
      <c r="CI50" t="s">
        <v>4535</v>
      </c>
      <c r="CJ50">
        <v>5</v>
      </c>
      <c r="CT50">
        <v>5</v>
      </c>
      <c r="CU50">
        <v>20</v>
      </c>
      <c r="CV50">
        <v>88</v>
      </c>
      <c r="CY50" t="s">
        <v>4536</v>
      </c>
      <c r="CZ50" t="s">
        <v>599</v>
      </c>
    </row>
    <row r="51" spans="1:104" x14ac:dyDescent="0.25">
      <c r="A51" t="s">
        <v>439</v>
      </c>
      <c r="B51" t="s">
        <v>4537</v>
      </c>
      <c r="AH51">
        <v>14</v>
      </c>
      <c r="AI51">
        <v>10</v>
      </c>
      <c r="AJ51">
        <v>6</v>
      </c>
      <c r="AK51">
        <v>340</v>
      </c>
      <c r="AL51">
        <v>83</v>
      </c>
      <c r="AM51" t="s">
        <v>4454</v>
      </c>
      <c r="BF51">
        <v>111</v>
      </c>
      <c r="BL51">
        <v>1</v>
      </c>
      <c r="CD51">
        <v>1</v>
      </c>
      <c r="CE51">
        <v>428</v>
      </c>
      <c r="CF51">
        <v>12</v>
      </c>
      <c r="CG51">
        <v>100</v>
      </c>
      <c r="CI51" t="s">
        <v>390</v>
      </c>
      <c r="CT51">
        <v>8</v>
      </c>
      <c r="CU51">
        <v>60</v>
      </c>
      <c r="CV51">
        <v>85</v>
      </c>
      <c r="CW51">
        <v>80</v>
      </c>
    </row>
    <row r="52" spans="1:104" x14ac:dyDescent="0.25">
      <c r="A52" t="s">
        <v>419</v>
      </c>
      <c r="B52" t="s">
        <v>4538</v>
      </c>
      <c r="AH52">
        <v>5</v>
      </c>
      <c r="AI52">
        <v>18</v>
      </c>
      <c r="AJ52">
        <v>20</v>
      </c>
      <c r="AM52" t="s">
        <v>4456</v>
      </c>
      <c r="BF52">
        <v>12</v>
      </c>
      <c r="BG52">
        <v>193</v>
      </c>
      <c r="BH52">
        <v>38</v>
      </c>
      <c r="BK52" t="s">
        <v>4467</v>
      </c>
      <c r="CD52">
        <v>2</v>
      </c>
      <c r="CE52">
        <v>428</v>
      </c>
      <c r="CF52">
        <v>36</v>
      </c>
      <c r="CG52">
        <v>100</v>
      </c>
      <c r="CI52" t="s">
        <v>4452</v>
      </c>
      <c r="CT52">
        <v>5</v>
      </c>
      <c r="CU52">
        <v>145</v>
      </c>
      <c r="CV52">
        <v>88</v>
      </c>
      <c r="CY52" t="s">
        <v>4539</v>
      </c>
    </row>
    <row r="53" spans="1:104" x14ac:dyDescent="0.25">
      <c r="A53" t="s">
        <v>338</v>
      </c>
      <c r="B53" t="s">
        <v>1084</v>
      </c>
      <c r="AH53">
        <v>10</v>
      </c>
      <c r="AI53">
        <v>170</v>
      </c>
      <c r="AJ53">
        <v>20</v>
      </c>
      <c r="AK53">
        <v>170</v>
      </c>
      <c r="AN53" t="s">
        <v>316</v>
      </c>
      <c r="BF53">
        <v>12</v>
      </c>
      <c r="BK53" t="s">
        <v>4469</v>
      </c>
      <c r="CD53">
        <v>14</v>
      </c>
      <c r="CE53">
        <v>10</v>
      </c>
      <c r="CF53">
        <v>6</v>
      </c>
      <c r="CG53">
        <v>400</v>
      </c>
      <c r="CH53">
        <v>116</v>
      </c>
      <c r="CI53" t="s">
        <v>4454</v>
      </c>
      <c r="CT53">
        <v>8</v>
      </c>
      <c r="CU53">
        <v>190</v>
      </c>
      <c r="CV53">
        <v>85</v>
      </c>
      <c r="CW53">
        <v>80</v>
      </c>
    </row>
    <row r="54" spans="1:104" x14ac:dyDescent="0.25">
      <c r="A54" t="s">
        <v>340</v>
      </c>
      <c r="B54" t="s">
        <v>4540</v>
      </c>
      <c r="AH54">
        <v>13</v>
      </c>
      <c r="AI54">
        <v>18</v>
      </c>
      <c r="AJ54">
        <v>40</v>
      </c>
      <c r="AM54" t="s">
        <v>480</v>
      </c>
      <c r="AN54" t="b">
        <v>0</v>
      </c>
      <c r="BF54">
        <v>13</v>
      </c>
      <c r="BG54">
        <v>14</v>
      </c>
      <c r="BH54">
        <v>72</v>
      </c>
      <c r="BK54" t="s">
        <v>4468</v>
      </c>
      <c r="BL54" t="b">
        <v>0</v>
      </c>
      <c r="CD54">
        <v>5</v>
      </c>
      <c r="CE54">
        <v>18</v>
      </c>
      <c r="CF54">
        <v>20</v>
      </c>
      <c r="CI54" t="s">
        <v>4458</v>
      </c>
      <c r="CT54">
        <v>5</v>
      </c>
      <c r="CU54">
        <v>20</v>
      </c>
      <c r="CV54">
        <v>109</v>
      </c>
      <c r="CY54" t="s">
        <v>4541</v>
      </c>
    </row>
    <row r="55" spans="1:104" x14ac:dyDescent="0.25">
      <c r="A55" t="s">
        <v>177</v>
      </c>
      <c r="B55" t="s">
        <v>4542</v>
      </c>
      <c r="AH55">
        <v>5</v>
      </c>
      <c r="AI55">
        <v>18</v>
      </c>
      <c r="AJ55">
        <v>60</v>
      </c>
      <c r="AM55" t="s">
        <v>1019</v>
      </c>
      <c r="BF55">
        <v>14</v>
      </c>
      <c r="BG55">
        <v>5</v>
      </c>
      <c r="BH55">
        <v>102</v>
      </c>
      <c r="BI55">
        <v>360</v>
      </c>
      <c r="BJ55">
        <v>76</v>
      </c>
      <c r="BK55" t="s">
        <v>4471</v>
      </c>
      <c r="CD55">
        <v>10</v>
      </c>
      <c r="CE55">
        <v>170</v>
      </c>
      <c r="CF55">
        <v>19</v>
      </c>
      <c r="CG55">
        <v>230</v>
      </c>
      <c r="CJ55" t="s">
        <v>316</v>
      </c>
      <c r="CT55">
        <v>8</v>
      </c>
      <c r="CU55">
        <v>170</v>
      </c>
      <c r="CV55">
        <v>106</v>
      </c>
      <c r="CW55">
        <v>100</v>
      </c>
    </row>
    <row r="56" spans="1:104" x14ac:dyDescent="0.25">
      <c r="A56" t="s">
        <v>179</v>
      </c>
      <c r="B56" t="s">
        <v>180</v>
      </c>
      <c r="AH56">
        <v>8</v>
      </c>
      <c r="AI56">
        <v>170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18</v>
      </c>
      <c r="CF56">
        <v>42</v>
      </c>
      <c r="CI56" t="s">
        <v>4463</v>
      </c>
      <c r="CT56">
        <v>5</v>
      </c>
      <c r="CU56">
        <v>20</v>
      </c>
      <c r="CV56">
        <v>130</v>
      </c>
      <c r="CY56" t="s">
        <v>4543</v>
      </c>
    </row>
    <row r="57" spans="1:104" x14ac:dyDescent="0.25">
      <c r="A57" t="s">
        <v>557</v>
      </c>
      <c r="B57" t="s">
        <v>4544</v>
      </c>
      <c r="AH57">
        <v>14</v>
      </c>
      <c r="AI57">
        <v>10</v>
      </c>
      <c r="AJ57">
        <v>100</v>
      </c>
      <c r="AK57">
        <v>340</v>
      </c>
      <c r="AL57">
        <v>86</v>
      </c>
      <c r="AM57" t="s">
        <v>4471</v>
      </c>
      <c r="BF57">
        <v>12</v>
      </c>
      <c r="BG57">
        <v>14</v>
      </c>
      <c r="BH57">
        <v>118</v>
      </c>
      <c r="BK57" t="s">
        <v>4476</v>
      </c>
      <c r="CD57">
        <v>10</v>
      </c>
      <c r="CE57">
        <v>170</v>
      </c>
      <c r="CF57">
        <v>40</v>
      </c>
      <c r="CG57">
        <v>230</v>
      </c>
      <c r="CJ57" t="s">
        <v>316</v>
      </c>
      <c r="CT57">
        <v>7</v>
      </c>
      <c r="CU57">
        <v>100</v>
      </c>
      <c r="CV57">
        <v>127</v>
      </c>
      <c r="CW57">
        <v>80</v>
      </c>
    </row>
    <row r="58" spans="1:104" x14ac:dyDescent="0.25">
      <c r="A58" t="s">
        <v>559</v>
      </c>
      <c r="B58" t="s">
        <v>4545</v>
      </c>
      <c r="AH58">
        <v>111</v>
      </c>
      <c r="AN58">
        <v>2</v>
      </c>
      <c r="BF58">
        <v>12</v>
      </c>
      <c r="BH58">
        <v>138</v>
      </c>
      <c r="BK58" t="s">
        <v>4478</v>
      </c>
      <c r="CD58">
        <v>5</v>
      </c>
      <c r="CE58">
        <v>18</v>
      </c>
      <c r="CF58">
        <v>63</v>
      </c>
      <c r="CI58" t="s">
        <v>4517</v>
      </c>
      <c r="CT58">
        <v>5</v>
      </c>
      <c r="CU58">
        <v>190</v>
      </c>
      <c r="CV58">
        <v>130</v>
      </c>
      <c r="CY58" t="s">
        <v>4546</v>
      </c>
    </row>
    <row r="59" spans="1:104" x14ac:dyDescent="0.25">
      <c r="A59" t="s">
        <v>188</v>
      </c>
      <c r="B59" t="s">
        <v>189</v>
      </c>
      <c r="AH59">
        <v>12</v>
      </c>
      <c r="AI59">
        <v>16</v>
      </c>
      <c r="AJ59">
        <v>116</v>
      </c>
      <c r="AM59" t="s">
        <v>4476</v>
      </c>
      <c r="BF59">
        <v>12</v>
      </c>
      <c r="BH59">
        <v>158</v>
      </c>
      <c r="BK59" t="s">
        <v>4481</v>
      </c>
      <c r="CD59">
        <v>8</v>
      </c>
      <c r="CE59">
        <v>315</v>
      </c>
      <c r="CF59">
        <v>61</v>
      </c>
      <c r="CG59">
        <v>85</v>
      </c>
      <c r="CT59">
        <v>5</v>
      </c>
      <c r="CU59">
        <v>20</v>
      </c>
      <c r="CV59">
        <v>151</v>
      </c>
      <c r="CY59" t="s">
        <v>4547</v>
      </c>
    </row>
    <row r="60" spans="1:104" x14ac:dyDescent="0.25">
      <c r="A60" t="s">
        <v>564</v>
      </c>
      <c r="B60" t="s">
        <v>565</v>
      </c>
      <c r="AH60">
        <v>12</v>
      </c>
      <c r="AJ60">
        <v>137</v>
      </c>
      <c r="AM60" t="s">
        <v>4478</v>
      </c>
      <c r="BF60">
        <v>210</v>
      </c>
      <c r="BG60">
        <v>193</v>
      </c>
      <c r="BH60">
        <v>115</v>
      </c>
      <c r="BI60">
        <v>160</v>
      </c>
      <c r="BL60" t="s">
        <v>316</v>
      </c>
      <c r="CD60">
        <v>13</v>
      </c>
      <c r="CE60">
        <v>16</v>
      </c>
      <c r="CF60">
        <v>80</v>
      </c>
      <c r="CI60" t="s">
        <v>480</v>
      </c>
      <c r="CJ60" t="b">
        <v>0</v>
      </c>
      <c r="CT60">
        <v>7</v>
      </c>
      <c r="CU60">
        <v>100</v>
      </c>
      <c r="CV60">
        <v>148</v>
      </c>
      <c r="CW60">
        <v>80</v>
      </c>
    </row>
    <row r="61" spans="1:104" x14ac:dyDescent="0.25">
      <c r="A61" t="s">
        <v>566</v>
      </c>
      <c r="B61" t="s">
        <v>4548</v>
      </c>
      <c r="AH61">
        <v>12</v>
      </c>
      <c r="AJ61">
        <v>159</v>
      </c>
      <c r="AM61" t="s">
        <v>4481</v>
      </c>
      <c r="BF61">
        <v>6</v>
      </c>
      <c r="BG61">
        <v>193</v>
      </c>
      <c r="BH61">
        <v>137</v>
      </c>
      <c r="BI61">
        <v>160</v>
      </c>
      <c r="CD61">
        <v>5</v>
      </c>
      <c r="CE61">
        <v>18</v>
      </c>
      <c r="CF61">
        <v>100</v>
      </c>
      <c r="CI61" t="s">
        <v>1019</v>
      </c>
      <c r="CT61">
        <v>5</v>
      </c>
      <c r="CU61">
        <v>190</v>
      </c>
      <c r="CV61">
        <v>151</v>
      </c>
      <c r="CY61" t="s">
        <v>4546</v>
      </c>
    </row>
    <row r="62" spans="1:104" x14ac:dyDescent="0.25">
      <c r="A62" t="s">
        <v>568</v>
      </c>
      <c r="B62" t="s">
        <v>4549</v>
      </c>
      <c r="AH62">
        <v>210</v>
      </c>
      <c r="AI62">
        <v>170</v>
      </c>
      <c r="AJ62">
        <v>115</v>
      </c>
      <c r="AK62">
        <v>170</v>
      </c>
      <c r="AN62" t="s">
        <v>316</v>
      </c>
      <c r="BF62">
        <v>24</v>
      </c>
      <c r="BG62">
        <v>387</v>
      </c>
      <c r="BH62">
        <v>55</v>
      </c>
      <c r="BI62">
        <v>100</v>
      </c>
      <c r="CD62">
        <v>8</v>
      </c>
      <c r="CE62">
        <v>55</v>
      </c>
      <c r="CF62">
        <v>99</v>
      </c>
      <c r="CG62">
        <v>70</v>
      </c>
      <c r="CJ62">
        <v>0.05</v>
      </c>
    </row>
    <row r="63" spans="1:104" x14ac:dyDescent="0.25">
      <c r="A63" t="s">
        <v>570</v>
      </c>
      <c r="B63" t="s">
        <v>4550</v>
      </c>
      <c r="AH63">
        <v>6</v>
      </c>
      <c r="AI63">
        <v>170</v>
      </c>
      <c r="AJ63">
        <v>137</v>
      </c>
      <c r="AK63">
        <v>160</v>
      </c>
      <c r="CD63">
        <v>14</v>
      </c>
      <c r="CE63">
        <v>10</v>
      </c>
      <c r="CF63">
        <v>130</v>
      </c>
      <c r="CG63">
        <v>400</v>
      </c>
      <c r="CH63">
        <v>78</v>
      </c>
      <c r="CI63" t="s">
        <v>4471</v>
      </c>
      <c r="CT63" t="s">
        <v>554</v>
      </c>
    </row>
    <row r="64" spans="1:104" x14ac:dyDescent="0.25">
      <c r="A64" t="s">
        <v>572</v>
      </c>
      <c r="B64" t="s">
        <v>4446</v>
      </c>
      <c r="AH64">
        <v>24</v>
      </c>
      <c r="AI64">
        <v>360</v>
      </c>
      <c r="AJ64">
        <v>60</v>
      </c>
      <c r="AK64">
        <v>100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4497</v>
      </c>
      <c r="CD65">
        <v>12</v>
      </c>
      <c r="CE65">
        <v>16</v>
      </c>
      <c r="CF65">
        <v>145</v>
      </c>
      <c r="CI65" t="s">
        <v>4476</v>
      </c>
      <c r="CT65">
        <v>5</v>
      </c>
    </row>
    <row r="66" spans="1:104" x14ac:dyDescent="0.25">
      <c r="A66" t="s">
        <v>194</v>
      </c>
      <c r="B66" t="s">
        <v>4448</v>
      </c>
      <c r="BF66" t="s">
        <v>334</v>
      </c>
      <c r="CD66">
        <v>12</v>
      </c>
      <c r="CF66">
        <v>165</v>
      </c>
      <c r="CI66" t="s">
        <v>4478</v>
      </c>
      <c r="CT66">
        <v>5</v>
      </c>
    </row>
    <row r="67" spans="1:104" x14ac:dyDescent="0.25">
      <c r="A67" t="s">
        <v>195</v>
      </c>
      <c r="B67" t="s">
        <v>4551</v>
      </c>
      <c r="BF67" s="1" t="s">
        <v>667</v>
      </c>
      <c r="BI67">
        <v>480</v>
      </c>
      <c r="BJ67">
        <v>174</v>
      </c>
      <c r="BK67" t="s">
        <v>1410</v>
      </c>
      <c r="BL67">
        <v>5</v>
      </c>
      <c r="CD67">
        <v>12</v>
      </c>
      <c r="CF67">
        <v>185</v>
      </c>
      <c r="CI67" t="s">
        <v>4481</v>
      </c>
      <c r="CT67">
        <v>5</v>
      </c>
    </row>
    <row r="68" spans="1:104" x14ac:dyDescent="0.25">
      <c r="A68" t="s">
        <v>576</v>
      </c>
      <c r="B68" t="s">
        <v>4552</v>
      </c>
      <c r="AH68" t="s">
        <v>524</v>
      </c>
      <c r="BF68">
        <v>1</v>
      </c>
      <c r="BG68">
        <v>370</v>
      </c>
      <c r="BH68">
        <v>12</v>
      </c>
      <c r="BI68">
        <v>100</v>
      </c>
      <c r="BK68" t="s">
        <v>390</v>
      </c>
      <c r="CD68">
        <v>210</v>
      </c>
      <c r="CE68">
        <v>170</v>
      </c>
      <c r="CF68">
        <v>146</v>
      </c>
      <c r="CG68">
        <v>230</v>
      </c>
      <c r="CJ68" t="s">
        <v>316</v>
      </c>
      <c r="CT68">
        <v>5</v>
      </c>
    </row>
    <row r="69" spans="1:104" x14ac:dyDescent="0.25">
      <c r="A69" t="s">
        <v>578</v>
      </c>
      <c r="B69" t="s">
        <v>4553</v>
      </c>
      <c r="AH69" s="1" t="s">
        <v>669</v>
      </c>
      <c r="AK69">
        <v>480</v>
      </c>
      <c r="AL69">
        <v>198</v>
      </c>
      <c r="AM69" t="s">
        <v>4551</v>
      </c>
      <c r="AN69">
        <v>5</v>
      </c>
      <c r="BF69">
        <v>2</v>
      </c>
      <c r="BG69">
        <v>370</v>
      </c>
      <c r="BH69">
        <v>36</v>
      </c>
      <c r="BI69">
        <v>100</v>
      </c>
      <c r="BK69" t="s">
        <v>4452</v>
      </c>
      <c r="CD69">
        <v>6</v>
      </c>
      <c r="CE69">
        <v>170</v>
      </c>
      <c r="CF69">
        <v>167</v>
      </c>
      <c r="CG69">
        <v>177</v>
      </c>
      <c r="CT69">
        <v>5</v>
      </c>
    </row>
    <row r="70" spans="1:104" x14ac:dyDescent="0.25">
      <c r="A70" t="s">
        <v>580</v>
      </c>
      <c r="B70" t="s">
        <v>4554</v>
      </c>
      <c r="AH70">
        <v>1</v>
      </c>
      <c r="AI70">
        <v>370</v>
      </c>
      <c r="AJ70">
        <v>12</v>
      </c>
      <c r="AK70">
        <v>100</v>
      </c>
      <c r="AM70" t="s">
        <v>390</v>
      </c>
      <c r="BF70">
        <v>14</v>
      </c>
      <c r="BG70">
        <v>10</v>
      </c>
      <c r="BH70">
        <v>6</v>
      </c>
      <c r="BI70">
        <v>350</v>
      </c>
      <c r="BJ70">
        <v>55</v>
      </c>
      <c r="BK70" t="s">
        <v>4454</v>
      </c>
      <c r="CD70">
        <v>24</v>
      </c>
      <c r="CE70">
        <v>428</v>
      </c>
      <c r="CF70">
        <v>60</v>
      </c>
      <c r="CG70">
        <v>100</v>
      </c>
      <c r="CT70">
        <v>5</v>
      </c>
    </row>
    <row r="71" spans="1:104" x14ac:dyDescent="0.25">
      <c r="A71" t="s">
        <v>582</v>
      </c>
      <c r="B71" t="s">
        <v>4555</v>
      </c>
      <c r="AH71">
        <v>2</v>
      </c>
      <c r="AI71">
        <v>370</v>
      </c>
      <c r="AJ71">
        <v>36</v>
      </c>
      <c r="AK71">
        <v>100</v>
      </c>
      <c r="AM71" t="s">
        <v>4452</v>
      </c>
      <c r="BF71">
        <v>5</v>
      </c>
      <c r="BG71">
        <v>18</v>
      </c>
      <c r="BH71">
        <v>22</v>
      </c>
      <c r="BK71" t="s">
        <v>4456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10</v>
      </c>
      <c r="AJ72">
        <v>6</v>
      </c>
      <c r="AK72">
        <v>350</v>
      </c>
      <c r="AL72">
        <v>77</v>
      </c>
      <c r="AM72" t="s">
        <v>4454</v>
      </c>
      <c r="BF72">
        <v>10</v>
      </c>
      <c r="BG72">
        <v>190</v>
      </c>
      <c r="BH72">
        <v>19</v>
      </c>
      <c r="BI72">
        <v>160</v>
      </c>
      <c r="BL72" t="s">
        <v>316</v>
      </c>
      <c r="CT72">
        <v>5</v>
      </c>
      <c r="CU72">
        <v>20</v>
      </c>
      <c r="CV72">
        <v>100</v>
      </c>
      <c r="CY72" t="s">
        <v>4556</v>
      </c>
    </row>
    <row r="73" spans="1:104" x14ac:dyDescent="0.25">
      <c r="A73" t="s">
        <v>203</v>
      </c>
      <c r="B73" t="s">
        <v>4557</v>
      </c>
      <c r="AH73">
        <v>5</v>
      </c>
      <c r="AI73">
        <v>18</v>
      </c>
      <c r="AJ73">
        <v>20</v>
      </c>
      <c r="AM73" t="s">
        <v>4456</v>
      </c>
      <c r="BF73">
        <v>13</v>
      </c>
      <c r="BG73">
        <v>16</v>
      </c>
      <c r="BH73">
        <v>38</v>
      </c>
      <c r="BK73" t="s">
        <v>4468</v>
      </c>
      <c r="BL73" t="b">
        <v>0</v>
      </c>
      <c r="CT73">
        <v>8</v>
      </c>
      <c r="CU73">
        <v>205</v>
      </c>
      <c r="CV73">
        <v>96</v>
      </c>
      <c r="CW73">
        <v>100</v>
      </c>
      <c r="CZ73">
        <v>0</v>
      </c>
    </row>
    <row r="74" spans="1:104" x14ac:dyDescent="0.25">
      <c r="A74" t="s">
        <v>205</v>
      </c>
      <c r="B74" t="s">
        <v>4558</v>
      </c>
      <c r="AH74">
        <v>10</v>
      </c>
      <c r="AI74">
        <v>170</v>
      </c>
      <c r="AJ74">
        <v>19</v>
      </c>
      <c r="AK74">
        <v>180</v>
      </c>
      <c r="AN74" t="s">
        <v>316</v>
      </c>
      <c r="BF74">
        <v>14</v>
      </c>
      <c r="BG74">
        <v>10</v>
      </c>
      <c r="BH74">
        <v>70</v>
      </c>
      <c r="BI74">
        <v>350</v>
      </c>
      <c r="BJ74">
        <v>97</v>
      </c>
      <c r="BK74" t="s">
        <v>4471</v>
      </c>
      <c r="CD74" t="s">
        <v>441</v>
      </c>
      <c r="CT74">
        <v>5</v>
      </c>
      <c r="CU74">
        <v>20</v>
      </c>
      <c r="CV74">
        <v>121</v>
      </c>
      <c r="CY74" t="s">
        <v>4559</v>
      </c>
    </row>
    <row r="75" spans="1:104" x14ac:dyDescent="0.25">
      <c r="A75" t="s">
        <v>207</v>
      </c>
      <c r="B75" t="s">
        <v>4560</v>
      </c>
      <c r="AH75">
        <v>13</v>
      </c>
      <c r="AI75">
        <v>16</v>
      </c>
      <c r="AJ75">
        <v>38</v>
      </c>
      <c r="AM75" t="s">
        <v>4468</v>
      </c>
      <c r="AN75" t="b">
        <v>0</v>
      </c>
      <c r="BF75">
        <v>111</v>
      </c>
      <c r="BL75">
        <v>2</v>
      </c>
      <c r="CD75" s="1" t="s">
        <v>673</v>
      </c>
      <c r="CG75">
        <v>530</v>
      </c>
      <c r="CH75">
        <v>205</v>
      </c>
      <c r="CI75" t="s">
        <v>4561</v>
      </c>
      <c r="CJ75">
        <v>5</v>
      </c>
      <c r="CT75">
        <v>8</v>
      </c>
      <c r="CU75">
        <v>205</v>
      </c>
      <c r="CV75">
        <v>117</v>
      </c>
      <c r="CW75">
        <v>100</v>
      </c>
      <c r="CZ75">
        <v>1</v>
      </c>
    </row>
    <row r="76" spans="1:104" x14ac:dyDescent="0.25">
      <c r="A76" t="s">
        <v>210</v>
      </c>
      <c r="B76" t="s">
        <v>4562</v>
      </c>
      <c r="AH76">
        <v>5</v>
      </c>
      <c r="AI76">
        <v>18</v>
      </c>
      <c r="AJ76">
        <v>60</v>
      </c>
      <c r="AM76" t="s">
        <v>1422</v>
      </c>
      <c r="BF76">
        <v>12</v>
      </c>
      <c r="BG76">
        <v>16</v>
      </c>
      <c r="BH76">
        <v>86</v>
      </c>
      <c r="BK76" t="s">
        <v>4476</v>
      </c>
      <c r="CD76">
        <v>1</v>
      </c>
      <c r="CE76">
        <v>420</v>
      </c>
      <c r="CF76">
        <v>12</v>
      </c>
      <c r="CG76">
        <v>100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170</v>
      </c>
      <c r="AJ77">
        <v>58</v>
      </c>
      <c r="AK77">
        <v>118</v>
      </c>
      <c r="BF77">
        <v>12</v>
      </c>
      <c r="BH77">
        <v>105</v>
      </c>
      <c r="BK77" t="s">
        <v>4478</v>
      </c>
      <c r="CD77">
        <v>2</v>
      </c>
      <c r="CE77">
        <v>420</v>
      </c>
      <c r="CF77">
        <v>36</v>
      </c>
      <c r="CG77">
        <v>100</v>
      </c>
      <c r="CI77" t="s">
        <v>4452</v>
      </c>
      <c r="CT77" t="s">
        <v>376</v>
      </c>
    </row>
    <row r="78" spans="1:104" x14ac:dyDescent="0.25">
      <c r="A78" t="s">
        <v>219</v>
      </c>
      <c r="B78" t="s">
        <v>4563</v>
      </c>
      <c r="AH78">
        <v>14</v>
      </c>
      <c r="AI78">
        <v>10</v>
      </c>
      <c r="AJ78">
        <v>89</v>
      </c>
      <c r="AK78">
        <v>350</v>
      </c>
      <c r="AL78">
        <v>99</v>
      </c>
      <c r="AM78" t="s">
        <v>4471</v>
      </c>
      <c r="BF78">
        <v>12</v>
      </c>
      <c r="BH78">
        <v>124</v>
      </c>
      <c r="BK78" t="s">
        <v>4481</v>
      </c>
      <c r="CD78">
        <v>14</v>
      </c>
      <c r="CE78">
        <v>10</v>
      </c>
      <c r="CF78">
        <v>6</v>
      </c>
      <c r="CG78">
        <v>400</v>
      </c>
      <c r="CH78">
        <v>113</v>
      </c>
      <c r="CI78" t="s">
        <v>4454</v>
      </c>
      <c r="CT78">
        <v>5</v>
      </c>
      <c r="CZ78" t="s">
        <v>376</v>
      </c>
    </row>
    <row r="79" spans="1:104" x14ac:dyDescent="0.25">
      <c r="A79" t="s">
        <v>220</v>
      </c>
      <c r="B79" t="s">
        <v>4564</v>
      </c>
      <c r="AH79">
        <v>5</v>
      </c>
      <c r="AN79">
        <v>1</v>
      </c>
      <c r="BF79">
        <v>210</v>
      </c>
      <c r="BG79">
        <v>190</v>
      </c>
      <c r="BH79">
        <v>86</v>
      </c>
      <c r="BI79">
        <v>160</v>
      </c>
      <c r="BL79" t="s">
        <v>316</v>
      </c>
      <c r="CD79">
        <v>5</v>
      </c>
      <c r="CE79">
        <v>18</v>
      </c>
      <c r="CF79">
        <v>19</v>
      </c>
      <c r="CI79" t="s">
        <v>4458</v>
      </c>
      <c r="CT79">
        <v>5</v>
      </c>
    </row>
    <row r="80" spans="1:104" x14ac:dyDescent="0.25">
      <c r="A80" t="s">
        <v>221</v>
      </c>
      <c r="B80" t="s">
        <v>4504</v>
      </c>
      <c r="AH80">
        <v>5</v>
      </c>
      <c r="AI80">
        <v>18</v>
      </c>
      <c r="AJ80">
        <v>103</v>
      </c>
      <c r="AM80" t="s">
        <v>4476</v>
      </c>
      <c r="BF80">
        <v>6</v>
      </c>
      <c r="BG80">
        <v>190</v>
      </c>
      <c r="BH80">
        <v>107</v>
      </c>
      <c r="BI80">
        <v>160</v>
      </c>
      <c r="CD80">
        <v>10</v>
      </c>
      <c r="CE80">
        <v>170</v>
      </c>
      <c r="CF80">
        <v>18</v>
      </c>
      <c r="CG80">
        <v>229</v>
      </c>
      <c r="CT80">
        <v>5</v>
      </c>
    </row>
    <row r="81" spans="1:104" x14ac:dyDescent="0.25">
      <c r="A81" t="s">
        <v>604</v>
      </c>
      <c r="B81" t="s">
        <v>4561</v>
      </c>
      <c r="AH81">
        <v>10</v>
      </c>
      <c r="AI81">
        <v>170</v>
      </c>
      <c r="AJ81">
        <v>102</v>
      </c>
      <c r="AK81">
        <v>180</v>
      </c>
      <c r="AN81" t="s">
        <v>316</v>
      </c>
      <c r="BF81">
        <v>13</v>
      </c>
      <c r="BG81">
        <v>18</v>
      </c>
      <c r="BH81">
        <v>143</v>
      </c>
      <c r="BK81" t="s">
        <v>4565</v>
      </c>
      <c r="BL81" t="b">
        <v>0</v>
      </c>
      <c r="CD81">
        <v>5</v>
      </c>
      <c r="CE81">
        <v>18</v>
      </c>
      <c r="CF81">
        <v>40</v>
      </c>
      <c r="CI81" t="s">
        <v>4463</v>
      </c>
      <c r="CT81">
        <v>5</v>
      </c>
    </row>
    <row r="82" spans="1:104" x14ac:dyDescent="0.25">
      <c r="A82" t="s">
        <v>606</v>
      </c>
      <c r="B82" t="s">
        <v>4566</v>
      </c>
      <c r="AH82">
        <v>205</v>
      </c>
      <c r="AI82">
        <v>18</v>
      </c>
      <c r="AJ82">
        <v>124</v>
      </c>
      <c r="AM82" t="s">
        <v>4478</v>
      </c>
      <c r="BF82">
        <v>24</v>
      </c>
      <c r="BG82">
        <v>370</v>
      </c>
      <c r="BH82">
        <v>60</v>
      </c>
      <c r="BI82">
        <v>100</v>
      </c>
      <c r="CD82">
        <v>10</v>
      </c>
      <c r="CE82">
        <v>170</v>
      </c>
      <c r="CF82">
        <v>39</v>
      </c>
      <c r="CG82">
        <v>229</v>
      </c>
      <c r="CT82">
        <v>5</v>
      </c>
    </row>
    <row r="83" spans="1:104" x14ac:dyDescent="0.25">
      <c r="A83" t="s">
        <v>608</v>
      </c>
      <c r="B83" t="s">
        <v>4567</v>
      </c>
      <c r="AH83">
        <v>206</v>
      </c>
      <c r="AI83">
        <v>170</v>
      </c>
      <c r="AJ83">
        <v>124</v>
      </c>
      <c r="AK83">
        <v>180</v>
      </c>
      <c r="CD83">
        <v>5</v>
      </c>
      <c r="CE83">
        <v>18</v>
      </c>
      <c r="CF83">
        <v>63</v>
      </c>
      <c r="CI83" t="s">
        <v>4568</v>
      </c>
      <c r="CT83">
        <v>5</v>
      </c>
    </row>
    <row r="84" spans="1:104" x14ac:dyDescent="0.25">
      <c r="A84" t="s">
        <v>303</v>
      </c>
      <c r="B84" t="s">
        <v>4569</v>
      </c>
      <c r="AH84">
        <v>205</v>
      </c>
      <c r="AI84">
        <v>18</v>
      </c>
      <c r="AJ84">
        <v>144</v>
      </c>
      <c r="AM84" t="s">
        <v>4481</v>
      </c>
      <c r="CD84">
        <v>8</v>
      </c>
      <c r="CE84">
        <v>334</v>
      </c>
      <c r="CF84">
        <v>60</v>
      </c>
      <c r="CG84">
        <v>64</v>
      </c>
      <c r="CT84">
        <v>5</v>
      </c>
    </row>
    <row r="85" spans="1:104" x14ac:dyDescent="0.25">
      <c r="A85" t="s">
        <v>467</v>
      </c>
      <c r="B85" t="s">
        <v>4570</v>
      </c>
      <c r="AH85">
        <v>13</v>
      </c>
      <c r="AI85">
        <v>16</v>
      </c>
      <c r="AJ85">
        <v>164</v>
      </c>
      <c r="AM85" t="s">
        <v>4487</v>
      </c>
      <c r="AN85" t="b">
        <v>0</v>
      </c>
      <c r="CD85">
        <v>13</v>
      </c>
      <c r="CE85">
        <v>16</v>
      </c>
      <c r="CF85">
        <v>78</v>
      </c>
      <c r="CI85" t="s">
        <v>480</v>
      </c>
      <c r="CJ85" t="b">
        <v>0</v>
      </c>
      <c r="CT85">
        <v>5</v>
      </c>
    </row>
    <row r="86" spans="1:104" x14ac:dyDescent="0.25">
      <c r="A86" t="s">
        <v>228</v>
      </c>
      <c r="B86" t="s">
        <v>4571</v>
      </c>
      <c r="AH86">
        <v>13</v>
      </c>
      <c r="AI86">
        <v>170</v>
      </c>
      <c r="AJ86">
        <v>164</v>
      </c>
      <c r="AM86" t="s">
        <v>4489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97</v>
      </c>
      <c r="CI86" t="s">
        <v>1019</v>
      </c>
      <c r="CT86">
        <v>5</v>
      </c>
    </row>
    <row r="87" spans="1:104" x14ac:dyDescent="0.25">
      <c r="A87" t="s">
        <v>231</v>
      </c>
      <c r="B87" t="s">
        <v>4572</v>
      </c>
      <c r="AH87">
        <v>24</v>
      </c>
      <c r="AI87">
        <v>370</v>
      </c>
      <c r="AJ87">
        <v>60</v>
      </c>
      <c r="AK87">
        <v>100</v>
      </c>
      <c r="BF87" s="1" t="s">
        <v>668</v>
      </c>
      <c r="BI87">
        <v>480</v>
      </c>
      <c r="BJ87">
        <v>232</v>
      </c>
      <c r="BK87" t="s">
        <v>201</v>
      </c>
      <c r="BL87">
        <v>5</v>
      </c>
      <c r="CD87">
        <v>8</v>
      </c>
      <c r="CE87">
        <v>72</v>
      </c>
      <c r="CF87">
        <v>95</v>
      </c>
      <c r="CG87">
        <v>65</v>
      </c>
      <c r="CJ87">
        <v>0.05</v>
      </c>
      <c r="CT87">
        <v>5</v>
      </c>
    </row>
    <row r="88" spans="1:104" x14ac:dyDescent="0.25">
      <c r="A88" t="s">
        <v>616</v>
      </c>
      <c r="B88" t="s">
        <v>4573</v>
      </c>
      <c r="BF88">
        <v>1</v>
      </c>
      <c r="BG88">
        <v>370</v>
      </c>
      <c r="BH88">
        <v>12</v>
      </c>
      <c r="BI88">
        <v>100</v>
      </c>
      <c r="BK88" t="s">
        <v>390</v>
      </c>
      <c r="CD88">
        <v>14</v>
      </c>
      <c r="CE88">
        <v>10</v>
      </c>
      <c r="CF88">
        <v>123</v>
      </c>
      <c r="CG88">
        <v>400</v>
      </c>
      <c r="CH88">
        <v>75</v>
      </c>
      <c r="CI88" t="s">
        <v>4471</v>
      </c>
      <c r="CT88">
        <v>5</v>
      </c>
      <c r="CU88">
        <v>20</v>
      </c>
      <c r="CV88">
        <v>96</v>
      </c>
      <c r="CY88" t="s">
        <v>4574</v>
      </c>
    </row>
    <row r="89" spans="1:104" x14ac:dyDescent="0.25">
      <c r="A89" t="s">
        <v>299</v>
      </c>
      <c r="B89" t="s">
        <v>4575</v>
      </c>
      <c r="BF89">
        <v>2</v>
      </c>
      <c r="BG89">
        <v>370</v>
      </c>
      <c r="BH89">
        <v>36</v>
      </c>
      <c r="BI89">
        <v>100</v>
      </c>
      <c r="BK89" t="s">
        <v>4452</v>
      </c>
      <c r="CD89">
        <v>111</v>
      </c>
      <c r="CJ89">
        <v>2</v>
      </c>
      <c r="CT89">
        <v>8</v>
      </c>
      <c r="CU89">
        <v>115</v>
      </c>
      <c r="CV89">
        <v>96</v>
      </c>
      <c r="CW89">
        <v>73</v>
      </c>
    </row>
    <row r="90" spans="1:104" x14ac:dyDescent="0.25">
      <c r="A90" t="s">
        <v>235</v>
      </c>
      <c r="B90" t="s">
        <v>4576</v>
      </c>
      <c r="BF90">
        <v>14</v>
      </c>
      <c r="BG90">
        <v>10</v>
      </c>
      <c r="BH90">
        <v>6</v>
      </c>
      <c r="BI90">
        <v>350</v>
      </c>
      <c r="BJ90">
        <v>78</v>
      </c>
      <c r="BK90" t="s">
        <v>4454</v>
      </c>
      <c r="CD90">
        <v>12</v>
      </c>
      <c r="CE90">
        <v>16</v>
      </c>
      <c r="CF90">
        <v>136</v>
      </c>
      <c r="CI90" t="s">
        <v>4476</v>
      </c>
    </row>
    <row r="91" spans="1:104" x14ac:dyDescent="0.25">
      <c r="A91" t="s">
        <v>237</v>
      </c>
      <c r="B91" t="s">
        <v>4577</v>
      </c>
      <c r="BF91">
        <v>5</v>
      </c>
      <c r="BG91">
        <v>18</v>
      </c>
      <c r="BH91">
        <v>22</v>
      </c>
      <c r="BK91" t="s">
        <v>4456</v>
      </c>
      <c r="CD91">
        <v>12</v>
      </c>
      <c r="CF91">
        <v>156</v>
      </c>
      <c r="CI91" t="s">
        <v>4478</v>
      </c>
      <c r="CT91" t="s">
        <v>379</v>
      </c>
    </row>
    <row r="92" spans="1:104" x14ac:dyDescent="0.25">
      <c r="A92" t="s">
        <v>239</v>
      </c>
      <c r="B92" t="s">
        <v>4578</v>
      </c>
      <c r="BF92">
        <v>10</v>
      </c>
      <c r="BG92">
        <v>170</v>
      </c>
      <c r="BH92">
        <v>19</v>
      </c>
      <c r="BI92">
        <v>180</v>
      </c>
      <c r="BL92" t="s">
        <v>316</v>
      </c>
      <c r="CD92">
        <v>12</v>
      </c>
      <c r="CF92">
        <v>176</v>
      </c>
      <c r="CI92" t="s">
        <v>4481</v>
      </c>
      <c r="CT92">
        <v>5</v>
      </c>
      <c r="CZ92" t="s">
        <v>379</v>
      </c>
    </row>
    <row r="93" spans="1:104" x14ac:dyDescent="0.25">
      <c r="A93" t="s">
        <v>485</v>
      </c>
      <c r="B93" t="s">
        <v>4579</v>
      </c>
      <c r="BF93">
        <v>5</v>
      </c>
      <c r="BG93">
        <v>18</v>
      </c>
      <c r="BH93">
        <v>44</v>
      </c>
      <c r="BK93" t="s">
        <v>4580</v>
      </c>
      <c r="CD93">
        <v>210</v>
      </c>
      <c r="CE93">
        <v>170</v>
      </c>
      <c r="CF93">
        <v>136</v>
      </c>
      <c r="CG93">
        <v>229</v>
      </c>
      <c r="CT93">
        <v>5</v>
      </c>
    </row>
    <row r="94" spans="1:104" x14ac:dyDescent="0.25">
      <c r="A94" t="s">
        <v>242</v>
      </c>
      <c r="B94" t="s">
        <v>4581</v>
      </c>
      <c r="BF94">
        <v>10</v>
      </c>
      <c r="BG94">
        <v>170</v>
      </c>
      <c r="BH94">
        <v>42</v>
      </c>
      <c r="BI94">
        <v>180</v>
      </c>
      <c r="BL94" t="s">
        <v>316</v>
      </c>
      <c r="CD94">
        <v>6</v>
      </c>
      <c r="CE94">
        <v>170</v>
      </c>
      <c r="CF94">
        <v>157</v>
      </c>
      <c r="CG94">
        <v>177</v>
      </c>
      <c r="CT94">
        <v>5</v>
      </c>
    </row>
    <row r="95" spans="1:104" x14ac:dyDescent="0.25">
      <c r="A95" t="s">
        <v>244</v>
      </c>
      <c r="B95" t="s">
        <v>4582</v>
      </c>
      <c r="BF95">
        <v>13</v>
      </c>
      <c r="BG95">
        <v>16</v>
      </c>
      <c r="BH95">
        <v>64</v>
      </c>
      <c r="BK95" t="s">
        <v>480</v>
      </c>
      <c r="BL95" t="b">
        <v>0</v>
      </c>
      <c r="CD95">
        <v>24</v>
      </c>
      <c r="CE95">
        <v>420</v>
      </c>
      <c r="CF95">
        <v>60</v>
      </c>
      <c r="CG95">
        <v>100</v>
      </c>
      <c r="CT95">
        <v>5</v>
      </c>
    </row>
    <row r="96" spans="1:104" x14ac:dyDescent="0.25">
      <c r="A96" t="s">
        <v>246</v>
      </c>
      <c r="B96" t="s">
        <v>4583</v>
      </c>
      <c r="BF96">
        <v>14</v>
      </c>
      <c r="BG96">
        <v>10</v>
      </c>
      <c r="BH96">
        <v>93</v>
      </c>
      <c r="BI96">
        <v>350</v>
      </c>
      <c r="BJ96">
        <v>132</v>
      </c>
      <c r="BK96" t="s">
        <v>4471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4584</v>
      </c>
      <c r="BF98">
        <v>12</v>
      </c>
      <c r="BG98">
        <v>17</v>
      </c>
      <c r="BH98">
        <v>107</v>
      </c>
      <c r="BK98" t="s">
        <v>4476</v>
      </c>
      <c r="CT98">
        <v>5</v>
      </c>
    </row>
    <row r="99" spans="1:104" x14ac:dyDescent="0.25">
      <c r="A99" t="s">
        <v>252</v>
      </c>
      <c r="B99" t="s">
        <v>4585</v>
      </c>
      <c r="BF99">
        <v>12</v>
      </c>
      <c r="BH99">
        <v>127</v>
      </c>
      <c r="BK99" t="s">
        <v>4478</v>
      </c>
      <c r="CD99" t="s">
        <v>357</v>
      </c>
      <c r="CT99">
        <v>5</v>
      </c>
    </row>
    <row r="100" spans="1:104" x14ac:dyDescent="0.25">
      <c r="A100" t="s">
        <v>511</v>
      </c>
      <c r="B100" t="s">
        <v>4586</v>
      </c>
      <c r="BF100">
        <v>12</v>
      </c>
      <c r="BH100">
        <v>146</v>
      </c>
      <c r="BK100" t="s">
        <v>4481</v>
      </c>
      <c r="CD100" s="1" t="s">
        <v>674</v>
      </c>
      <c r="CG100">
        <v>530</v>
      </c>
      <c r="CH100">
        <v>267</v>
      </c>
      <c r="CI100" t="s">
        <v>4582</v>
      </c>
      <c r="CJ100">
        <v>5</v>
      </c>
      <c r="CT100">
        <v>5</v>
      </c>
      <c r="CU100">
        <v>20</v>
      </c>
      <c r="CV100">
        <v>121</v>
      </c>
      <c r="CY100" t="s">
        <v>4587</v>
      </c>
    </row>
    <row r="101" spans="1:104" x14ac:dyDescent="0.25">
      <c r="A101" t="s">
        <v>513</v>
      </c>
      <c r="B101" t="s">
        <v>4588</v>
      </c>
      <c r="BF101">
        <v>210</v>
      </c>
      <c r="BG101">
        <v>170</v>
      </c>
      <c r="BH101">
        <v>106</v>
      </c>
      <c r="BI101">
        <v>180</v>
      </c>
      <c r="BL101" t="s">
        <v>316</v>
      </c>
      <c r="CD101">
        <v>1</v>
      </c>
      <c r="CE101">
        <v>420</v>
      </c>
      <c r="CF101">
        <v>12</v>
      </c>
      <c r="CG101">
        <v>100</v>
      </c>
      <c r="CI101" t="s">
        <v>390</v>
      </c>
      <c r="CT101">
        <v>7</v>
      </c>
      <c r="CU101">
        <v>205</v>
      </c>
      <c r="CV101">
        <v>118</v>
      </c>
      <c r="CW101">
        <v>175</v>
      </c>
    </row>
    <row r="102" spans="1:104" x14ac:dyDescent="0.25">
      <c r="A102" t="s">
        <v>515</v>
      </c>
      <c r="B102" t="s">
        <v>4589</v>
      </c>
      <c r="BF102">
        <v>6</v>
      </c>
      <c r="BG102">
        <v>170</v>
      </c>
      <c r="BH102">
        <v>128</v>
      </c>
      <c r="BI102">
        <v>180</v>
      </c>
      <c r="CD102">
        <v>2</v>
      </c>
      <c r="CE102">
        <v>420</v>
      </c>
      <c r="CF102">
        <v>36</v>
      </c>
      <c r="CG102">
        <v>100</v>
      </c>
      <c r="CI102" t="s">
        <v>4452</v>
      </c>
      <c r="CT102">
        <v>5</v>
      </c>
      <c r="CU102">
        <v>20</v>
      </c>
      <c r="CV102">
        <v>98</v>
      </c>
      <c r="CY102" t="s">
        <v>4574</v>
      </c>
    </row>
    <row r="103" spans="1:104" x14ac:dyDescent="0.25">
      <c r="A103" t="s">
        <v>516</v>
      </c>
      <c r="B103" t="s">
        <v>820</v>
      </c>
      <c r="BF103">
        <v>13</v>
      </c>
      <c r="BG103">
        <v>17</v>
      </c>
      <c r="BH103">
        <v>167</v>
      </c>
      <c r="BK103" t="s">
        <v>4590</v>
      </c>
      <c r="BL103" t="b">
        <v>0</v>
      </c>
      <c r="CD103">
        <v>14</v>
      </c>
      <c r="CE103">
        <v>10</v>
      </c>
      <c r="CF103">
        <v>6</v>
      </c>
      <c r="CG103">
        <v>400</v>
      </c>
      <c r="CH103">
        <v>162</v>
      </c>
      <c r="CI103" t="s">
        <v>4454</v>
      </c>
      <c r="CT103">
        <v>8</v>
      </c>
      <c r="CU103">
        <v>205</v>
      </c>
      <c r="CV103">
        <v>96</v>
      </c>
      <c r="CW103">
        <v>175</v>
      </c>
    </row>
    <row r="104" spans="1:104" x14ac:dyDescent="0.25">
      <c r="A104" t="s">
        <v>519</v>
      </c>
      <c r="B104" t="s">
        <v>1449</v>
      </c>
      <c r="BF104">
        <v>13</v>
      </c>
      <c r="BK104" t="s">
        <v>4591</v>
      </c>
      <c r="BL104" t="b">
        <v>0</v>
      </c>
      <c r="CD104">
        <v>5</v>
      </c>
      <c r="CE104">
        <v>18</v>
      </c>
      <c r="CF104">
        <v>20</v>
      </c>
      <c r="CI104" t="s">
        <v>4458</v>
      </c>
    </row>
    <row r="105" spans="1:104" x14ac:dyDescent="0.25">
      <c r="A105" t="s">
        <v>534</v>
      </c>
      <c r="B105" t="s">
        <v>4554</v>
      </c>
      <c r="BF105">
        <v>13</v>
      </c>
      <c r="BK105" t="s">
        <v>4487</v>
      </c>
      <c r="BL105" t="b">
        <v>0</v>
      </c>
      <c r="CD105">
        <v>10</v>
      </c>
      <c r="CE105">
        <v>172</v>
      </c>
      <c r="CF105">
        <v>18</v>
      </c>
      <c r="CG105">
        <v>225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4592</v>
      </c>
      <c r="BF106">
        <v>24</v>
      </c>
      <c r="BG106">
        <v>370</v>
      </c>
      <c r="BH106">
        <v>60</v>
      </c>
      <c r="BI106">
        <v>100</v>
      </c>
      <c r="CD106">
        <v>5</v>
      </c>
      <c r="CE106">
        <v>18</v>
      </c>
      <c r="CF106">
        <v>42</v>
      </c>
      <c r="CI106" t="s">
        <v>4463</v>
      </c>
      <c r="CT106">
        <v>5</v>
      </c>
      <c r="CZ106" t="s">
        <v>382</v>
      </c>
    </row>
    <row r="107" spans="1:104" x14ac:dyDescent="0.25">
      <c r="A107" t="s">
        <v>538</v>
      </c>
      <c r="B107" t="s">
        <v>4593</v>
      </c>
      <c r="CD107">
        <v>10</v>
      </c>
      <c r="CE107">
        <v>172</v>
      </c>
      <c r="CF107">
        <v>39</v>
      </c>
      <c r="CG107">
        <v>225</v>
      </c>
      <c r="CJ107" t="s">
        <v>316</v>
      </c>
      <c r="CT107">
        <v>5</v>
      </c>
    </row>
    <row r="108" spans="1:104" x14ac:dyDescent="0.25">
      <c r="A108" t="s">
        <v>259</v>
      </c>
      <c r="B108" t="s">
        <v>4594</v>
      </c>
      <c r="CD108">
        <v>5</v>
      </c>
      <c r="CE108">
        <v>18</v>
      </c>
      <c r="CF108">
        <v>64</v>
      </c>
      <c r="CI108" t="s">
        <v>4517</v>
      </c>
      <c r="CT108">
        <v>5</v>
      </c>
    </row>
    <row r="109" spans="1:104" x14ac:dyDescent="0.25">
      <c r="A109" t="s">
        <v>60</v>
      </c>
      <c r="B109" t="s">
        <v>4595</v>
      </c>
      <c r="CD109">
        <v>8</v>
      </c>
      <c r="CE109">
        <v>285</v>
      </c>
      <c r="CF109">
        <v>60</v>
      </c>
      <c r="CG109">
        <v>112</v>
      </c>
      <c r="CT109">
        <v>5</v>
      </c>
    </row>
    <row r="110" spans="1:104" x14ac:dyDescent="0.25">
      <c r="A110" t="s">
        <v>62</v>
      </c>
      <c r="B110" t="s">
        <v>4596</v>
      </c>
      <c r="CD110">
        <v>5</v>
      </c>
      <c r="CE110">
        <v>18</v>
      </c>
      <c r="CF110">
        <v>85</v>
      </c>
      <c r="CI110" t="s">
        <v>4597</v>
      </c>
      <c r="CT110">
        <v>5</v>
      </c>
    </row>
    <row r="111" spans="1:104" x14ac:dyDescent="0.25">
      <c r="A111" t="s">
        <v>434</v>
      </c>
      <c r="B111" t="s">
        <v>4598</v>
      </c>
      <c r="CD111">
        <v>8</v>
      </c>
      <c r="CE111">
        <v>285</v>
      </c>
      <c r="CF111">
        <v>81</v>
      </c>
      <c r="CG111">
        <v>112</v>
      </c>
      <c r="CT111">
        <v>5</v>
      </c>
    </row>
    <row r="112" spans="1:104" x14ac:dyDescent="0.25">
      <c r="A112" t="s">
        <v>436</v>
      </c>
      <c r="B112" t="s">
        <v>4599</v>
      </c>
      <c r="CD112">
        <v>5</v>
      </c>
      <c r="CE112">
        <v>18</v>
      </c>
      <c r="CF112">
        <v>106</v>
      </c>
      <c r="CI112" t="s">
        <v>4600</v>
      </c>
      <c r="CT112">
        <v>5</v>
      </c>
    </row>
    <row r="113" spans="1:104" x14ac:dyDescent="0.25">
      <c r="A113" t="s">
        <v>539</v>
      </c>
      <c r="B113" t="s">
        <v>4601</v>
      </c>
      <c r="CD113">
        <v>8</v>
      </c>
      <c r="CE113">
        <v>285</v>
      </c>
      <c r="CF113">
        <v>102</v>
      </c>
      <c r="CG113">
        <v>112</v>
      </c>
      <c r="CT113">
        <v>5</v>
      </c>
    </row>
    <row r="114" spans="1:104" x14ac:dyDescent="0.25">
      <c r="A114" t="s">
        <v>541</v>
      </c>
      <c r="B114" t="s">
        <v>4602</v>
      </c>
      <c r="CD114">
        <v>13</v>
      </c>
      <c r="CE114">
        <v>16</v>
      </c>
      <c r="CF114">
        <v>123</v>
      </c>
      <c r="CI114" t="s">
        <v>480</v>
      </c>
      <c r="CJ114" t="b">
        <v>0</v>
      </c>
      <c r="CT114">
        <v>5</v>
      </c>
    </row>
    <row r="115" spans="1:104" x14ac:dyDescent="0.25">
      <c r="A115" t="s">
        <v>543</v>
      </c>
      <c r="B115" t="s">
        <v>4445</v>
      </c>
      <c r="CD115">
        <v>5</v>
      </c>
      <c r="CE115">
        <v>18</v>
      </c>
      <c r="CF115">
        <v>145</v>
      </c>
      <c r="CI115" t="s">
        <v>1019</v>
      </c>
      <c r="CT115">
        <v>5</v>
      </c>
    </row>
    <row r="116" spans="1:104" x14ac:dyDescent="0.25">
      <c r="A116" t="s">
        <v>544</v>
      </c>
      <c r="B116" t="s">
        <v>4603</v>
      </c>
      <c r="CD116">
        <v>8</v>
      </c>
      <c r="CE116">
        <v>55</v>
      </c>
      <c r="CF116">
        <v>144</v>
      </c>
      <c r="CG116">
        <v>70</v>
      </c>
      <c r="CJ116">
        <v>0.05</v>
      </c>
      <c r="CT116">
        <v>5</v>
      </c>
      <c r="CU116">
        <v>20</v>
      </c>
      <c r="CV116">
        <v>88</v>
      </c>
      <c r="CY116" t="s">
        <v>546</v>
      </c>
    </row>
    <row r="117" spans="1:104" x14ac:dyDescent="0.25">
      <c r="A117" t="s">
        <v>547</v>
      </c>
      <c r="B117" t="s">
        <v>4604</v>
      </c>
      <c r="CD117">
        <v>14</v>
      </c>
      <c r="CE117">
        <v>10</v>
      </c>
      <c r="CF117">
        <v>178</v>
      </c>
      <c r="CG117">
        <v>400</v>
      </c>
      <c r="CH117">
        <v>81</v>
      </c>
      <c r="CI117" t="s">
        <v>4471</v>
      </c>
      <c r="CT117">
        <v>8</v>
      </c>
      <c r="CU117">
        <v>100</v>
      </c>
      <c r="CV117">
        <v>86</v>
      </c>
      <c r="CW117">
        <v>105</v>
      </c>
      <c r="CX117">
        <v>18</v>
      </c>
    </row>
    <row r="118" spans="1:104" x14ac:dyDescent="0.25">
      <c r="A118" t="s">
        <v>560</v>
      </c>
      <c r="B118" t="s">
        <v>4605</v>
      </c>
      <c r="CD118">
        <v>111</v>
      </c>
      <c r="CJ118">
        <v>2</v>
      </c>
    </row>
    <row r="119" spans="1:104" x14ac:dyDescent="0.25">
      <c r="A119" t="s">
        <v>562</v>
      </c>
      <c r="B119" t="s">
        <v>4606</v>
      </c>
      <c r="CD119">
        <v>12</v>
      </c>
      <c r="CE119">
        <v>16</v>
      </c>
      <c r="CF119">
        <v>195</v>
      </c>
      <c r="CI119" t="s">
        <v>4476</v>
      </c>
      <c r="CT119" t="s">
        <v>332</v>
      </c>
    </row>
    <row r="120" spans="1:104" x14ac:dyDescent="0.25">
      <c r="A120" t="s">
        <v>366</v>
      </c>
      <c r="B120" t="s">
        <v>4607</v>
      </c>
      <c r="CD120">
        <v>12</v>
      </c>
      <c r="CF120">
        <v>216</v>
      </c>
      <c r="CI120" t="s">
        <v>4478</v>
      </c>
      <c r="CT120">
        <v>5</v>
      </c>
      <c r="CZ120" t="s">
        <v>332</v>
      </c>
    </row>
    <row r="121" spans="1:104" x14ac:dyDescent="0.25">
      <c r="A121" t="s">
        <v>368</v>
      </c>
      <c r="B121" t="s">
        <v>4608</v>
      </c>
      <c r="CD121">
        <v>12</v>
      </c>
      <c r="CF121">
        <v>237</v>
      </c>
      <c r="CI121" t="s">
        <v>4481</v>
      </c>
      <c r="CT121">
        <v>5</v>
      </c>
    </row>
    <row r="122" spans="1:104" x14ac:dyDescent="0.25">
      <c r="A122" t="s">
        <v>370</v>
      </c>
      <c r="B122" t="s">
        <v>4609</v>
      </c>
      <c r="CD122">
        <v>210</v>
      </c>
      <c r="CE122">
        <v>170</v>
      </c>
      <c r="CF122">
        <v>194</v>
      </c>
      <c r="CG122">
        <v>227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170</v>
      </c>
      <c r="CF123">
        <v>215</v>
      </c>
      <c r="CG123">
        <v>227</v>
      </c>
      <c r="CT123">
        <v>5</v>
      </c>
    </row>
    <row r="124" spans="1:104" x14ac:dyDescent="0.25">
      <c r="A124" t="s">
        <v>294</v>
      </c>
      <c r="B124" t="s">
        <v>4610</v>
      </c>
      <c r="CD124">
        <v>24</v>
      </c>
      <c r="CE124">
        <v>420</v>
      </c>
      <c r="CF124">
        <v>60</v>
      </c>
      <c r="CG124">
        <v>100</v>
      </c>
      <c r="CT124">
        <v>5</v>
      </c>
    </row>
    <row r="125" spans="1:104" x14ac:dyDescent="0.25">
      <c r="A125" t="s">
        <v>296</v>
      </c>
      <c r="B125" t="s">
        <v>4611</v>
      </c>
      <c r="CT125">
        <v>5</v>
      </c>
    </row>
    <row r="126" spans="1:104" x14ac:dyDescent="0.25">
      <c r="A126" t="s">
        <v>590</v>
      </c>
      <c r="B126" t="s">
        <v>4612</v>
      </c>
      <c r="CT126">
        <v>5</v>
      </c>
    </row>
    <row r="127" spans="1:104" x14ac:dyDescent="0.25">
      <c r="A127" t="s">
        <v>592</v>
      </c>
      <c r="B127" t="s">
        <v>4613</v>
      </c>
      <c r="CT127">
        <v>5</v>
      </c>
    </row>
    <row r="128" spans="1:104" x14ac:dyDescent="0.25">
      <c r="A128" t="s">
        <v>594</v>
      </c>
      <c r="B128" t="s">
        <v>4614</v>
      </c>
      <c r="CT128">
        <v>5</v>
      </c>
    </row>
    <row r="129" spans="1:104" x14ac:dyDescent="0.25">
      <c r="A129" t="s">
        <v>596</v>
      </c>
      <c r="B129" t="s">
        <v>4615</v>
      </c>
      <c r="CT129">
        <v>5</v>
      </c>
    </row>
    <row r="130" spans="1:104" x14ac:dyDescent="0.25">
      <c r="A130" t="s">
        <v>277</v>
      </c>
      <c r="B130" t="s">
        <v>4616</v>
      </c>
      <c r="CT130">
        <v>5</v>
      </c>
      <c r="CU130">
        <v>20</v>
      </c>
      <c r="CV130">
        <v>86</v>
      </c>
      <c r="CY130" t="s">
        <v>4494</v>
      </c>
    </row>
    <row r="131" spans="1:104" x14ac:dyDescent="0.25">
      <c r="A131" t="s">
        <v>279</v>
      </c>
      <c r="B131" t="s">
        <v>4617</v>
      </c>
      <c r="CT131">
        <v>10</v>
      </c>
      <c r="CU131">
        <v>20</v>
      </c>
      <c r="CV131">
        <v>102</v>
      </c>
      <c r="CW131">
        <v>262</v>
      </c>
      <c r="CZ131" t="s">
        <v>316</v>
      </c>
    </row>
    <row r="132" spans="1:104" x14ac:dyDescent="0.25">
      <c r="A132" t="s">
        <v>281</v>
      </c>
      <c r="B132" t="s">
        <v>4618</v>
      </c>
    </row>
    <row r="133" spans="1:104" x14ac:dyDescent="0.25">
      <c r="A133" t="s">
        <v>283</v>
      </c>
      <c r="B133" t="s">
        <v>4619</v>
      </c>
    </row>
    <row r="134" spans="1:104" x14ac:dyDescent="0.25">
      <c r="A134" t="s">
        <v>285</v>
      </c>
      <c r="B134" t="s">
        <v>4620</v>
      </c>
      <c r="CT134" t="s">
        <v>287</v>
      </c>
    </row>
    <row r="135" spans="1:104" x14ac:dyDescent="0.25">
      <c r="A135" t="s">
        <v>288</v>
      </c>
      <c r="B135" t="s">
        <v>4621</v>
      </c>
      <c r="CT135" t="s">
        <v>507</v>
      </c>
    </row>
    <row r="136" spans="1:104" x14ac:dyDescent="0.25">
      <c r="A136" t="s">
        <v>290</v>
      </c>
      <c r="B136" t="s">
        <v>4622</v>
      </c>
      <c r="CT136" t="str">
        <f>mg01s.RandUniform</f>
        <v>Uniforme verdeling</v>
      </c>
      <c r="CU136" t="s">
        <v>551</v>
      </c>
    </row>
    <row r="137" spans="1:104" x14ac:dyDescent="0.25">
      <c r="A137" t="s">
        <v>292</v>
      </c>
      <c r="B137" t="s">
        <v>4623</v>
      </c>
      <c r="CT137" t="str">
        <f>mg01s.RandNormal</f>
        <v>Normale verdeling</v>
      </c>
      <c r="CU137" t="s">
        <v>554</v>
      </c>
    </row>
    <row r="138" spans="1:104" x14ac:dyDescent="0.25">
      <c r="A138" t="s">
        <v>609</v>
      </c>
      <c r="B138" t="s">
        <v>4624</v>
      </c>
      <c r="CT138" t="str">
        <f>mg01s.RandBernoulli</f>
        <v>Bernoulli-verdeling</v>
      </c>
      <c r="CU138" t="s">
        <v>376</v>
      </c>
    </row>
    <row r="139" spans="1:104" x14ac:dyDescent="0.25">
      <c r="A139" t="s">
        <v>611</v>
      </c>
      <c r="B139" t="s">
        <v>4625</v>
      </c>
      <c r="CT139" t="str">
        <f>mg01s.RandBinomial</f>
        <v>Binomiale verdeling</v>
      </c>
      <c r="CU139" t="s">
        <v>379</v>
      </c>
    </row>
    <row r="140" spans="1:104" x14ac:dyDescent="0.25">
      <c r="A140" t="s">
        <v>613</v>
      </c>
      <c r="B140" t="s">
        <v>4626</v>
      </c>
      <c r="CT140" t="str">
        <f>mg01s.RandPoisson</f>
        <v>Poisson-verdeling</v>
      </c>
      <c r="CU140" t="s">
        <v>382</v>
      </c>
    </row>
    <row r="141" spans="1:104" x14ac:dyDescent="0.25">
      <c r="A141" t="s">
        <v>298</v>
      </c>
      <c r="B141" t="s">
        <v>4627</v>
      </c>
      <c r="CT141" t="str">
        <f>mg01s.RandPatterned</f>
        <v>Patroonmatige verdeling</v>
      </c>
      <c r="CU141" t="s">
        <v>599</v>
      </c>
    </row>
    <row r="142" spans="1:104" x14ac:dyDescent="0.25">
      <c r="A142" t="s">
        <v>92</v>
      </c>
      <c r="B142" t="s">
        <v>4450</v>
      </c>
      <c r="CT142" t="str">
        <f>mg01s.RandDiscrete</f>
        <v>Discrete verdeling</v>
      </c>
      <c r="CU142" t="s">
        <v>332</v>
      </c>
    </row>
    <row r="143" spans="1:104" x14ac:dyDescent="0.25">
      <c r="A143" t="s">
        <v>304</v>
      </c>
      <c r="B143" t="s">
        <v>4628</v>
      </c>
    </row>
    <row r="144" spans="1:104" x14ac:dyDescent="0.25">
      <c r="A144" t="s">
        <v>306</v>
      </c>
      <c r="B144" t="s">
        <v>4629</v>
      </c>
    </row>
    <row r="145" spans="1:2" x14ac:dyDescent="0.25">
      <c r="A145" t="s">
        <v>98</v>
      </c>
      <c r="B145" t="s">
        <v>4630</v>
      </c>
    </row>
    <row r="146" spans="1:2" x14ac:dyDescent="0.25">
      <c r="A146" t="s">
        <v>311</v>
      </c>
      <c r="B146" t="s">
        <v>4631</v>
      </c>
    </row>
    <row r="147" spans="1:2" x14ac:dyDescent="0.25">
      <c r="A147" t="s">
        <v>313</v>
      </c>
      <c r="B147" t="s">
        <v>4632</v>
      </c>
    </row>
    <row r="148" spans="1:2" x14ac:dyDescent="0.25">
      <c r="A148" t="s">
        <v>102</v>
      </c>
      <c r="B148" t="s">
        <v>4633</v>
      </c>
    </row>
    <row r="149" spans="1:2" x14ac:dyDescent="0.25">
      <c r="A149" t="s">
        <v>319</v>
      </c>
      <c r="B149" t="s">
        <v>4634</v>
      </c>
    </row>
    <row r="150" spans="1:2" x14ac:dyDescent="0.25">
      <c r="A150" t="s">
        <v>105</v>
      </c>
      <c r="B150" t="s">
        <v>4635</v>
      </c>
    </row>
    <row r="151" spans="1:2" x14ac:dyDescent="0.25">
      <c r="A151" t="s">
        <v>323</v>
      </c>
      <c r="B151" t="s">
        <v>4636</v>
      </c>
    </row>
    <row r="152" spans="1:2" x14ac:dyDescent="0.25">
      <c r="A152" t="s">
        <v>108</v>
      </c>
      <c r="B152" t="s">
        <v>4637</v>
      </c>
    </row>
    <row r="153" spans="1:2" x14ac:dyDescent="0.25">
      <c r="A153" t="s">
        <v>110</v>
      </c>
      <c r="B153" t="s">
        <v>4638</v>
      </c>
    </row>
    <row r="154" spans="1:2" x14ac:dyDescent="0.25">
      <c r="A154" t="s">
        <v>112</v>
      </c>
      <c r="B154" t="s">
        <v>4639</v>
      </c>
    </row>
    <row r="155" spans="1:2" x14ac:dyDescent="0.25">
      <c r="A155" t="s">
        <v>336</v>
      </c>
      <c r="B155" t="s">
        <v>4640</v>
      </c>
    </row>
    <row r="156" spans="1:2" x14ac:dyDescent="0.25">
      <c r="A156" t="s">
        <v>120</v>
      </c>
      <c r="B156" t="s">
        <v>4641</v>
      </c>
    </row>
    <row r="157" spans="1:2" x14ac:dyDescent="0.25">
      <c r="A157" t="s">
        <v>349</v>
      </c>
      <c r="B157" t="s">
        <v>4642</v>
      </c>
    </row>
    <row r="158" spans="1:2" x14ac:dyDescent="0.25">
      <c r="A158" t="s">
        <v>350</v>
      </c>
      <c r="B158" t="s">
        <v>4643</v>
      </c>
    </row>
    <row r="159" spans="1:2" x14ac:dyDescent="0.25">
      <c r="A159" t="s">
        <v>438</v>
      </c>
      <c r="B159" t="s">
        <v>4644</v>
      </c>
    </row>
    <row r="160" spans="1:2" x14ac:dyDescent="0.25">
      <c r="A160" t="s">
        <v>353</v>
      </c>
      <c r="B160" t="s">
        <v>4645</v>
      </c>
    </row>
    <row r="161" spans="1:2" x14ac:dyDescent="0.25">
      <c r="A161" t="s">
        <v>355</v>
      </c>
      <c r="B161" t="s">
        <v>4646</v>
      </c>
    </row>
    <row r="162" spans="1:2" x14ac:dyDescent="0.25">
      <c r="A162" t="s">
        <v>129</v>
      </c>
      <c r="B162" t="s">
        <v>4647</v>
      </c>
    </row>
    <row r="163" spans="1:2" x14ac:dyDescent="0.25">
      <c r="A163" t="s">
        <v>363</v>
      </c>
      <c r="B163" t="s">
        <v>4648</v>
      </c>
    </row>
    <row r="164" spans="1:2" x14ac:dyDescent="0.25">
      <c r="A164" t="s">
        <v>365</v>
      </c>
      <c r="B164" t="s">
        <v>4649</v>
      </c>
    </row>
    <row r="165" spans="1:2" x14ac:dyDescent="0.25">
      <c r="A165" t="s">
        <v>374</v>
      </c>
      <c r="B165" t="s">
        <v>4650</v>
      </c>
    </row>
    <row r="166" spans="1:2" x14ac:dyDescent="0.25">
      <c r="A166" t="s">
        <v>135</v>
      </c>
      <c r="B166" t="s">
        <v>4651</v>
      </c>
    </row>
    <row r="167" spans="1:2" x14ac:dyDescent="0.25">
      <c r="A167" t="s">
        <v>137</v>
      </c>
      <c r="B167" t="s">
        <v>4652</v>
      </c>
    </row>
    <row r="168" spans="1:2" x14ac:dyDescent="0.25">
      <c r="A168" t="s">
        <v>139</v>
      </c>
      <c r="B168" t="s">
        <v>4653</v>
      </c>
    </row>
    <row r="169" spans="1:2" x14ac:dyDescent="0.25">
      <c r="A169" t="s">
        <v>384</v>
      </c>
      <c r="B169" t="s">
        <v>4654</v>
      </c>
    </row>
    <row r="170" spans="1:2" x14ac:dyDescent="0.25">
      <c r="A170" t="s">
        <v>462</v>
      </c>
      <c r="B170" t="s">
        <v>4655</v>
      </c>
    </row>
    <row r="171" spans="1:2" x14ac:dyDescent="0.25">
      <c r="A171" t="s">
        <v>464</v>
      </c>
      <c r="B171" t="s">
        <v>4656</v>
      </c>
    </row>
    <row r="172" spans="1:2" x14ac:dyDescent="0.25">
      <c r="A172" t="s">
        <v>388</v>
      </c>
      <c r="B172" t="s">
        <v>4657</v>
      </c>
    </row>
    <row r="173" spans="1:2" x14ac:dyDescent="0.25">
      <c r="A173" t="s">
        <v>147</v>
      </c>
      <c r="B173" t="s">
        <v>4658</v>
      </c>
    </row>
    <row r="174" spans="1:2" x14ac:dyDescent="0.25">
      <c r="A174" t="s">
        <v>385</v>
      </c>
      <c r="B174" t="s">
        <v>4659</v>
      </c>
    </row>
    <row r="175" spans="1:2" x14ac:dyDescent="0.25">
      <c r="A175" t="s">
        <v>151</v>
      </c>
      <c r="B175" t="s">
        <v>4660</v>
      </c>
    </row>
    <row r="176" spans="1:2" x14ac:dyDescent="0.25">
      <c r="A176" t="s">
        <v>406</v>
      </c>
      <c r="B176" t="s">
        <v>4661</v>
      </c>
    </row>
    <row r="177" spans="1:2" x14ac:dyDescent="0.25">
      <c r="A177" t="s">
        <v>408</v>
      </c>
      <c r="B177" t="s">
        <v>4662</v>
      </c>
    </row>
    <row r="178" spans="1:2" x14ac:dyDescent="0.25">
      <c r="A178" t="s">
        <v>503</v>
      </c>
      <c r="B178" t="s">
        <v>4663</v>
      </c>
    </row>
    <row r="179" spans="1:2" x14ac:dyDescent="0.25">
      <c r="A179" t="s">
        <v>410</v>
      </c>
      <c r="B179" t="s">
        <v>4664</v>
      </c>
    </row>
    <row r="180" spans="1:2" x14ac:dyDescent="0.25">
      <c r="A180" t="s">
        <v>412</v>
      </c>
      <c r="B180" t="s">
        <v>4665</v>
      </c>
    </row>
    <row r="181" spans="1:2" x14ac:dyDescent="0.25">
      <c r="A181" t="s">
        <v>161</v>
      </c>
      <c r="B181" t="s">
        <v>4666</v>
      </c>
    </row>
    <row r="182" spans="1:2" x14ac:dyDescent="0.25">
      <c r="A182" t="s">
        <v>415</v>
      </c>
      <c r="B182" t="s">
        <v>4667</v>
      </c>
    </row>
    <row r="183" spans="1:2" x14ac:dyDescent="0.25">
      <c r="A183" t="s">
        <v>173</v>
      </c>
      <c r="B183" t="s">
        <v>4668</v>
      </c>
    </row>
    <row r="184" spans="1:2" x14ac:dyDescent="0.25">
      <c r="A184" t="s">
        <v>167</v>
      </c>
      <c r="B184" t="s">
        <v>4669</v>
      </c>
    </row>
    <row r="185" spans="1:2" x14ac:dyDescent="0.25">
      <c r="A185" t="s">
        <v>169</v>
      </c>
      <c r="B185" t="s">
        <v>4670</v>
      </c>
    </row>
    <row r="186" spans="1:2" x14ac:dyDescent="0.25">
      <c r="A186" t="s">
        <v>444</v>
      </c>
      <c r="B186" t="s">
        <v>4671</v>
      </c>
    </row>
    <row r="187" spans="1:2" x14ac:dyDescent="0.25">
      <c r="A187" t="s">
        <v>18</v>
      </c>
      <c r="B187" t="s">
        <v>4672</v>
      </c>
    </row>
    <row r="188" spans="1:2" x14ac:dyDescent="0.25">
      <c r="A188" t="s">
        <v>175</v>
      </c>
      <c r="B188" t="s">
        <v>4673</v>
      </c>
    </row>
    <row r="189" spans="1:2" x14ac:dyDescent="0.25">
      <c r="A189" t="s">
        <v>181</v>
      </c>
      <c r="B189" t="s">
        <v>4674</v>
      </c>
    </row>
    <row r="190" spans="1:2" x14ac:dyDescent="0.25">
      <c r="A190" t="s">
        <v>64</v>
      </c>
      <c r="B190" t="s">
        <v>4675</v>
      </c>
    </row>
    <row r="191" spans="1:2" x14ac:dyDescent="0.25">
      <c r="A191" t="s">
        <v>185</v>
      </c>
      <c r="B191" t="s">
        <v>4676</v>
      </c>
    </row>
    <row r="192" spans="1:2" x14ac:dyDescent="0.25">
      <c r="A192" t="s">
        <v>192</v>
      </c>
      <c r="B192" t="s">
        <v>4677</v>
      </c>
    </row>
    <row r="193" spans="1:2" x14ac:dyDescent="0.25">
      <c r="A193" t="s">
        <v>67</v>
      </c>
      <c r="B193" t="s">
        <v>4678</v>
      </c>
    </row>
    <row r="194" spans="1:2" x14ac:dyDescent="0.25">
      <c r="A194" t="s">
        <v>197</v>
      </c>
      <c r="B194" t="s">
        <v>4679</v>
      </c>
    </row>
    <row r="195" spans="1:2" x14ac:dyDescent="0.25">
      <c r="A195" t="s">
        <v>199</v>
      </c>
      <c r="B195" t="s">
        <v>4680</v>
      </c>
    </row>
    <row r="196" spans="1:2" x14ac:dyDescent="0.25">
      <c r="A196" t="s">
        <v>44</v>
      </c>
      <c r="B196" t="s">
        <v>4681</v>
      </c>
    </row>
    <row r="197" spans="1:2" x14ac:dyDescent="0.25">
      <c r="A197" t="s">
        <v>46</v>
      </c>
      <c r="B197" t="s">
        <v>4682</v>
      </c>
    </row>
    <row r="198" spans="1:2" x14ac:dyDescent="0.25">
      <c r="A198" t="s">
        <v>212</v>
      </c>
      <c r="B198" t="s">
        <v>4683</v>
      </c>
    </row>
    <row r="199" spans="1:2" x14ac:dyDescent="0.25">
      <c r="A199" t="s">
        <v>215</v>
      </c>
      <c r="B199" t="s">
        <v>4684</v>
      </c>
    </row>
    <row r="200" spans="1:2" x14ac:dyDescent="0.25">
      <c r="A200" t="s">
        <v>77</v>
      </c>
      <c r="B200" t="s">
        <v>4685</v>
      </c>
    </row>
    <row r="201" spans="1:2" x14ac:dyDescent="0.25">
      <c r="A201" t="s">
        <v>223</v>
      </c>
      <c r="B201" t="s">
        <v>4686</v>
      </c>
    </row>
    <row r="202" spans="1:2" x14ac:dyDescent="0.25">
      <c r="A202" t="s">
        <v>1</v>
      </c>
      <c r="B202" t="s">
        <v>4687</v>
      </c>
    </row>
    <row r="203" spans="1:2" x14ac:dyDescent="0.25">
      <c r="A203" t="s">
        <v>225</v>
      </c>
      <c r="B203" t="s">
        <v>4688</v>
      </c>
    </row>
    <row r="204" spans="1:2" x14ac:dyDescent="0.25">
      <c r="A204" t="s">
        <v>4</v>
      </c>
      <c r="B204" t="s">
        <v>4689</v>
      </c>
    </row>
    <row r="205" spans="1:2" x14ac:dyDescent="0.25">
      <c r="A205" t="s">
        <v>233</v>
      </c>
      <c r="B205" t="s">
        <v>4690</v>
      </c>
    </row>
    <row r="206" spans="1:2" x14ac:dyDescent="0.25">
      <c r="A206" t="s">
        <v>6</v>
      </c>
      <c r="B206" t="s">
        <v>4691</v>
      </c>
    </row>
    <row r="207" spans="1:2" x14ac:dyDescent="0.25">
      <c r="A207" t="s">
        <v>241</v>
      </c>
      <c r="B207" t="s">
        <v>4692</v>
      </c>
    </row>
    <row r="208" spans="1:2" x14ac:dyDescent="0.25">
      <c r="A208" t="s">
        <v>11</v>
      </c>
      <c r="B208" t="s">
        <v>4693</v>
      </c>
    </row>
    <row r="209" spans="1:103" x14ac:dyDescent="0.25">
      <c r="A209" t="s">
        <v>13</v>
      </c>
      <c r="B209" t="s">
        <v>4694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4695</v>
      </c>
    </row>
    <row r="212" spans="1:103" x14ac:dyDescent="0.25">
      <c r="A212" t="s">
        <v>258</v>
      </c>
      <c r="B212" t="s">
        <v>4696</v>
      </c>
    </row>
    <row r="213" spans="1:103" x14ac:dyDescent="0.25">
      <c r="A213" t="s">
        <v>533</v>
      </c>
      <c r="B213" t="s">
        <v>4697</v>
      </c>
      <c r="BS213" t="b">
        <v>1</v>
      </c>
    </row>
    <row r="214" spans="1:103" x14ac:dyDescent="0.25">
      <c r="A214" t="s">
        <v>17</v>
      </c>
      <c r="B214" t="s">
        <v>4698</v>
      </c>
    </row>
    <row r="215" spans="1:103" x14ac:dyDescent="0.25">
      <c r="A215" t="s">
        <v>265</v>
      </c>
      <c r="B215" t="s">
        <v>4699</v>
      </c>
    </row>
    <row r="216" spans="1:103" x14ac:dyDescent="0.25">
      <c r="A216" t="s">
        <v>550</v>
      </c>
      <c r="B216" t="s">
        <v>4700</v>
      </c>
    </row>
    <row r="217" spans="1:103" x14ac:dyDescent="0.25">
      <c r="A217" t="s">
        <v>267</v>
      </c>
      <c r="B217" t="s">
        <v>4701</v>
      </c>
    </row>
    <row r="218" spans="1:103" x14ac:dyDescent="0.25">
      <c r="A218" t="s">
        <v>262</v>
      </c>
      <c r="B218" t="s">
        <v>4702</v>
      </c>
    </row>
    <row r="219" spans="1:103" x14ac:dyDescent="0.25">
      <c r="A219" t="s">
        <v>272</v>
      </c>
      <c r="B219" t="s">
        <v>4703</v>
      </c>
    </row>
    <row r="220" spans="1:103" x14ac:dyDescent="0.25">
      <c r="A220" t="s">
        <v>36</v>
      </c>
      <c r="B220" t="s">
        <v>4704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4705</v>
      </c>
      <c r="AE221" t="b">
        <v>1</v>
      </c>
    </row>
    <row r="222" spans="1:103" x14ac:dyDescent="0.25">
      <c r="A222" t="s">
        <v>269</v>
      </c>
      <c r="B222" t="s">
        <v>4706</v>
      </c>
      <c r="CY222" t="b">
        <v>1</v>
      </c>
    </row>
    <row r="223" spans="1:103" x14ac:dyDescent="0.25">
      <c r="A223" t="s">
        <v>40</v>
      </c>
      <c r="B223" t="s">
        <v>4707</v>
      </c>
    </row>
    <row r="224" spans="1:103" x14ac:dyDescent="0.25">
      <c r="A224" t="s">
        <v>42</v>
      </c>
      <c r="B224" t="s">
        <v>4708</v>
      </c>
      <c r="CI224" t="b">
        <v>1</v>
      </c>
    </row>
    <row r="225" spans="1:2" x14ac:dyDescent="0.25">
      <c r="A225" t="s">
        <v>275</v>
      </c>
      <c r="B225" t="s">
        <v>4709</v>
      </c>
    </row>
    <row r="226" spans="1:2" x14ac:dyDescent="0.25">
      <c r="A226" t="s">
        <v>73</v>
      </c>
      <c r="B226" t="s">
        <v>4710</v>
      </c>
    </row>
    <row r="227" spans="1:2" x14ac:dyDescent="0.25">
      <c r="A227" t="s">
        <v>75</v>
      </c>
      <c r="B227" t="s">
        <v>4711</v>
      </c>
    </row>
    <row r="228" spans="1:2" x14ac:dyDescent="0.25">
      <c r="A228" t="s">
        <v>88</v>
      </c>
      <c r="B228" t="s">
        <v>4712</v>
      </c>
    </row>
    <row r="229" spans="1:2" x14ac:dyDescent="0.25">
      <c r="A229" t="s">
        <v>49</v>
      </c>
      <c r="B229" t="s">
        <v>4713</v>
      </c>
    </row>
    <row r="230" spans="1:2" x14ac:dyDescent="0.25">
      <c r="A230" t="s">
        <v>51</v>
      </c>
      <c r="B230" t="s">
        <v>4714</v>
      </c>
    </row>
    <row r="231" spans="1:2" x14ac:dyDescent="0.25">
      <c r="A231" t="s">
        <v>53</v>
      </c>
      <c r="B231" t="s">
        <v>4715</v>
      </c>
    </row>
    <row r="232" spans="1:2" x14ac:dyDescent="0.25">
      <c r="A232" t="s">
        <v>55</v>
      </c>
      <c r="B232" t="s">
        <v>4716</v>
      </c>
    </row>
    <row r="233" spans="1:2" x14ac:dyDescent="0.25">
      <c r="A233" t="s">
        <v>57</v>
      </c>
      <c r="B233" t="s">
        <v>4717</v>
      </c>
    </row>
    <row r="234" spans="1:2" x14ac:dyDescent="0.25">
      <c r="A234" t="s">
        <v>59</v>
      </c>
      <c r="B234" t="s">
        <v>4718</v>
      </c>
    </row>
    <row r="235" spans="1:2" x14ac:dyDescent="0.25">
      <c r="A235" t="s">
        <v>24</v>
      </c>
      <c r="B235" t="s">
        <v>4719</v>
      </c>
    </row>
    <row r="236" spans="1:2" x14ac:dyDescent="0.25">
      <c r="A236" t="s">
        <v>32</v>
      </c>
      <c r="B236" t="s">
        <v>4720</v>
      </c>
    </row>
    <row r="237" spans="1:2" x14ac:dyDescent="0.25">
      <c r="A237" t="s">
        <v>101</v>
      </c>
      <c r="B237" t="s">
        <v>4721</v>
      </c>
    </row>
    <row r="238" spans="1:2" x14ac:dyDescent="0.25">
      <c r="A238" t="s">
        <v>159</v>
      </c>
      <c r="B238" t="s">
        <v>4722</v>
      </c>
    </row>
    <row r="239" spans="1:2" x14ac:dyDescent="0.25">
      <c r="A239" t="s">
        <v>107</v>
      </c>
      <c r="B239" t="s">
        <v>4723</v>
      </c>
    </row>
    <row r="240" spans="1:2" x14ac:dyDescent="0.25">
      <c r="A240" t="s">
        <v>15</v>
      </c>
      <c r="B240" t="s">
        <v>4724</v>
      </c>
    </row>
    <row r="241" spans="1:2" x14ac:dyDescent="0.25">
      <c r="A241" t="s">
        <v>171</v>
      </c>
      <c r="B241" t="s">
        <v>4725</v>
      </c>
    </row>
    <row r="242" spans="1:2" x14ac:dyDescent="0.25">
      <c r="A242" t="s">
        <v>117</v>
      </c>
      <c r="B242" t="s">
        <v>4726</v>
      </c>
    </row>
    <row r="243" spans="1:2" x14ac:dyDescent="0.25">
      <c r="A243" t="s">
        <v>119</v>
      </c>
      <c r="B243" t="s">
        <v>4727</v>
      </c>
    </row>
    <row r="244" spans="1:2" x14ac:dyDescent="0.25">
      <c r="A244" t="s">
        <v>122</v>
      </c>
      <c r="B244" t="s">
        <v>4728</v>
      </c>
    </row>
    <row r="245" spans="1:2" x14ac:dyDescent="0.25">
      <c r="A245" t="s">
        <v>176</v>
      </c>
      <c r="B245" t="s">
        <v>4729</v>
      </c>
    </row>
    <row r="246" spans="1:2" x14ac:dyDescent="0.25">
      <c r="A246" t="s">
        <v>126</v>
      </c>
      <c r="B246" t="s">
        <v>4730</v>
      </c>
    </row>
    <row r="247" spans="1:2" x14ac:dyDescent="0.25">
      <c r="A247" t="s">
        <v>130</v>
      </c>
      <c r="B247" t="s">
        <v>4731</v>
      </c>
    </row>
    <row r="248" spans="1:2" x14ac:dyDescent="0.25">
      <c r="A248" t="s">
        <v>39</v>
      </c>
      <c r="B248" t="s">
        <v>4732</v>
      </c>
    </row>
    <row r="249" spans="1:2" x14ac:dyDescent="0.25">
      <c r="A249" t="s">
        <v>133</v>
      </c>
      <c r="B249" t="s">
        <v>4733</v>
      </c>
    </row>
    <row r="250" spans="1:2" x14ac:dyDescent="0.25">
      <c r="A250" t="s">
        <v>69</v>
      </c>
      <c r="B250" t="s">
        <v>4734</v>
      </c>
    </row>
    <row r="251" spans="1:2" x14ac:dyDescent="0.25">
      <c r="A251" t="s">
        <v>71</v>
      </c>
      <c r="B251" t="s">
        <v>4735</v>
      </c>
    </row>
    <row r="252" spans="1:2" x14ac:dyDescent="0.25">
      <c r="A252" t="s">
        <v>141</v>
      </c>
      <c r="B252" t="s">
        <v>4736</v>
      </c>
    </row>
    <row r="253" spans="1:2" x14ac:dyDescent="0.25">
      <c r="A253" t="s">
        <v>143</v>
      </c>
      <c r="B253" t="s">
        <v>4737</v>
      </c>
    </row>
    <row r="254" spans="1:2" x14ac:dyDescent="0.25">
      <c r="A254" t="s">
        <v>145</v>
      </c>
      <c r="B254" t="s">
        <v>4738</v>
      </c>
    </row>
    <row r="255" spans="1:2" x14ac:dyDescent="0.25">
      <c r="A255" t="s">
        <v>386</v>
      </c>
      <c r="B255" t="s">
        <v>4739</v>
      </c>
    </row>
    <row r="256" spans="1:2" x14ac:dyDescent="0.25">
      <c r="A256" t="s">
        <v>30</v>
      </c>
      <c r="B256" t="s">
        <v>4740</v>
      </c>
    </row>
    <row r="257" spans="1:2" x14ac:dyDescent="0.25">
      <c r="A257" t="s">
        <v>33</v>
      </c>
      <c r="B257" t="s">
        <v>4741</v>
      </c>
    </row>
    <row r="258" spans="1:2" x14ac:dyDescent="0.25">
      <c r="A258" t="s">
        <v>153</v>
      </c>
      <c r="B258" t="s">
        <v>4742</v>
      </c>
    </row>
    <row r="259" spans="1:2" x14ac:dyDescent="0.25">
      <c r="A259" t="s">
        <v>155</v>
      </c>
      <c r="B259" t="s">
        <v>4743</v>
      </c>
    </row>
    <row r="260" spans="1:2" x14ac:dyDescent="0.25">
      <c r="A260" t="s">
        <v>157</v>
      </c>
      <c r="B260" t="s">
        <v>4744</v>
      </c>
    </row>
    <row r="261" spans="1:2" x14ac:dyDescent="0.25">
      <c r="A261" t="s">
        <v>3</v>
      </c>
      <c r="B261" t="s">
        <v>4745</v>
      </c>
    </row>
    <row r="262" spans="1:2" x14ac:dyDescent="0.25">
      <c r="A262" t="s">
        <v>78</v>
      </c>
      <c r="B262" t="s">
        <v>4746</v>
      </c>
    </row>
    <row r="263" spans="1:2" x14ac:dyDescent="0.25">
      <c r="A263" t="s">
        <v>80</v>
      </c>
      <c r="B263" t="s">
        <v>4747</v>
      </c>
    </row>
    <row r="264" spans="1:2" x14ac:dyDescent="0.25">
      <c r="A264" t="s">
        <v>82</v>
      </c>
      <c r="B264" t="s">
        <v>4748</v>
      </c>
    </row>
    <row r="265" spans="1:2" x14ac:dyDescent="0.25">
      <c r="A265" t="s">
        <v>84</v>
      </c>
      <c r="B265" t="s">
        <v>4749</v>
      </c>
    </row>
    <row r="266" spans="1:2" x14ac:dyDescent="0.25">
      <c r="A266" t="s">
        <v>86</v>
      </c>
      <c r="B266" t="s">
        <v>4750</v>
      </c>
    </row>
    <row r="267" spans="1:2" x14ac:dyDescent="0.25">
      <c r="A267" t="s">
        <v>29</v>
      </c>
      <c r="B267" t="s">
        <v>4751</v>
      </c>
    </row>
    <row r="268" spans="1:2" x14ac:dyDescent="0.25">
      <c r="A268" t="s">
        <v>90</v>
      </c>
      <c r="B268" t="s">
        <v>4752</v>
      </c>
    </row>
    <row r="269" spans="1:2" x14ac:dyDescent="0.25">
      <c r="A269" t="s">
        <v>95</v>
      </c>
      <c r="B269" t="s">
        <v>4753</v>
      </c>
    </row>
    <row r="270" spans="1:2" x14ac:dyDescent="0.25">
      <c r="A270" t="s">
        <v>2</v>
      </c>
      <c r="B270" t="s">
        <v>4754</v>
      </c>
    </row>
    <row r="271" spans="1:2" x14ac:dyDescent="0.25">
      <c r="A271" t="s">
        <v>7</v>
      </c>
      <c r="B271" t="s">
        <v>4755</v>
      </c>
    </row>
    <row r="273" spans="1:2" x14ac:dyDescent="0.25">
      <c r="A273" t="s">
        <v>9</v>
      </c>
      <c r="B273" t="s">
        <v>4756</v>
      </c>
    </row>
    <row r="274" spans="1:2" x14ac:dyDescent="0.25">
      <c r="A274" t="s">
        <v>163</v>
      </c>
      <c r="B274" t="s">
        <v>4757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4493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616</v>
      </c>
      <c r="AD2">
        <v>152</v>
      </c>
      <c r="AE2" t="s">
        <v>4758</v>
      </c>
      <c r="AF2">
        <v>4</v>
      </c>
      <c r="AH2" s="1" t="s">
        <v>656</v>
      </c>
      <c r="AK2">
        <v>515</v>
      </c>
      <c r="AL2">
        <v>223</v>
      </c>
      <c r="AM2" t="s">
        <v>4759</v>
      </c>
      <c r="AN2">
        <v>5</v>
      </c>
      <c r="AP2" s="1" t="s">
        <v>657</v>
      </c>
      <c r="AS2">
        <v>546</v>
      </c>
      <c r="AT2">
        <v>312</v>
      </c>
      <c r="AU2" t="s">
        <v>4760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4761</v>
      </c>
      <c r="BL2">
        <v>5</v>
      </c>
      <c r="BN2" s="1" t="s">
        <v>659</v>
      </c>
      <c r="BQ2">
        <v>498</v>
      </c>
      <c r="BR2">
        <v>292</v>
      </c>
      <c r="BS2" t="s">
        <v>4762</v>
      </c>
      <c r="BT2">
        <v>5</v>
      </c>
      <c r="BV2" s="1" t="s">
        <v>660</v>
      </c>
      <c r="BY2">
        <v>523</v>
      </c>
      <c r="BZ2">
        <v>195</v>
      </c>
      <c r="CA2" t="s">
        <v>4763</v>
      </c>
      <c r="CB2">
        <v>5</v>
      </c>
      <c r="CD2" s="1" t="s">
        <v>661</v>
      </c>
      <c r="CG2">
        <v>523</v>
      </c>
      <c r="CH2">
        <v>203</v>
      </c>
      <c r="CI2" t="s">
        <v>4764</v>
      </c>
      <c r="CJ2">
        <v>5</v>
      </c>
      <c r="CL2" s="1" t="s">
        <v>662</v>
      </c>
      <c r="CO2">
        <v>523</v>
      </c>
      <c r="CP2">
        <v>263</v>
      </c>
      <c r="CQ2" t="s">
        <v>4765</v>
      </c>
      <c r="CR2">
        <v>5</v>
      </c>
      <c r="CT2" s="1" t="s">
        <v>663</v>
      </c>
      <c r="CW2">
        <v>516</v>
      </c>
      <c r="CX2">
        <v>298</v>
      </c>
      <c r="CY2" t="s">
        <v>4766</v>
      </c>
      <c r="CZ2">
        <v>4</v>
      </c>
    </row>
    <row r="3" spans="1:104" x14ac:dyDescent="0.25">
      <c r="W3" t="str">
        <f>dbCorrelationTitle</f>
        <v>Korelacja</v>
      </c>
      <c r="Z3">
        <v>1</v>
      </c>
      <c r="AA3">
        <v>514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387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514</v>
      </c>
      <c r="AB4">
        <v>30</v>
      </c>
      <c r="AC4">
        <v>88</v>
      </c>
      <c r="AE4" t="s">
        <v>4767</v>
      </c>
      <c r="AH4">
        <v>2</v>
      </c>
      <c r="AI4">
        <v>412</v>
      </c>
      <c r="AJ4">
        <v>30</v>
      </c>
      <c r="AK4">
        <v>90</v>
      </c>
      <c r="AM4" t="s">
        <v>4767</v>
      </c>
      <c r="AP4">
        <v>2</v>
      </c>
      <c r="AQ4">
        <v>443</v>
      </c>
      <c r="AR4">
        <v>31</v>
      </c>
      <c r="AS4">
        <v>90</v>
      </c>
      <c r="AU4" t="s">
        <v>4767</v>
      </c>
      <c r="AX4">
        <v>2</v>
      </c>
      <c r="AY4">
        <v>418</v>
      </c>
      <c r="AZ4">
        <v>33</v>
      </c>
      <c r="BA4">
        <v>104</v>
      </c>
      <c r="BC4" t="s">
        <v>4767</v>
      </c>
      <c r="BF4">
        <v>2</v>
      </c>
      <c r="BG4">
        <v>407</v>
      </c>
      <c r="BH4">
        <v>30</v>
      </c>
      <c r="BI4">
        <v>90</v>
      </c>
      <c r="BK4" t="s">
        <v>4767</v>
      </c>
      <c r="BN4">
        <v>2</v>
      </c>
      <c r="BO4">
        <v>387</v>
      </c>
      <c r="BP4">
        <v>30</v>
      </c>
      <c r="BQ4">
        <v>90</v>
      </c>
      <c r="BS4" t="s">
        <v>4767</v>
      </c>
      <c r="BV4">
        <v>2</v>
      </c>
      <c r="BW4">
        <v>407</v>
      </c>
      <c r="BX4">
        <v>30</v>
      </c>
      <c r="BY4">
        <v>90</v>
      </c>
      <c r="CA4" t="s">
        <v>4767</v>
      </c>
      <c r="CD4">
        <v>2</v>
      </c>
      <c r="CE4">
        <v>407</v>
      </c>
      <c r="CF4">
        <v>30</v>
      </c>
      <c r="CG4">
        <v>90</v>
      </c>
      <c r="CI4" t="s">
        <v>4767</v>
      </c>
      <c r="CL4">
        <v>2</v>
      </c>
      <c r="CM4">
        <v>407</v>
      </c>
      <c r="CN4">
        <v>30</v>
      </c>
      <c r="CO4">
        <v>90</v>
      </c>
      <c r="CQ4" t="s">
        <v>4767</v>
      </c>
      <c r="CT4">
        <v>2</v>
      </c>
      <c r="CU4">
        <v>410</v>
      </c>
      <c r="CV4">
        <v>31</v>
      </c>
      <c r="CW4">
        <v>90</v>
      </c>
      <c r="CY4" t="s">
        <v>4767</v>
      </c>
    </row>
    <row r="5" spans="1:104" x14ac:dyDescent="0.25">
      <c r="T5">
        <v>0</v>
      </c>
      <c r="U5" t="str">
        <f>dbAnova1Title</f>
        <v>Analiza wariancji: jednoczynnikowa</v>
      </c>
      <c r="V5">
        <v>0</v>
      </c>
      <c r="W5" t="str">
        <f>dbAnova1Title</f>
        <v>Analiza wariancji: jednoczynnikowa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4768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4769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4769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4770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4769</v>
      </c>
      <c r="BN5">
        <v>14</v>
      </c>
      <c r="BO5">
        <v>8</v>
      </c>
      <c r="BP5">
        <v>3</v>
      </c>
      <c r="BQ5">
        <v>365</v>
      </c>
      <c r="BR5">
        <v>95</v>
      </c>
      <c r="BS5" t="s">
        <v>4769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4769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4769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4769</v>
      </c>
      <c r="CT5">
        <v>5</v>
      </c>
      <c r="CU5">
        <v>17</v>
      </c>
      <c r="CV5">
        <v>12</v>
      </c>
      <c r="CY5" t="s">
        <v>4771</v>
      </c>
    </row>
    <row r="6" spans="1:104" x14ac:dyDescent="0.25">
      <c r="T6">
        <v>1</v>
      </c>
      <c r="U6" t="str">
        <f>dbAnova2Title</f>
        <v>Analiza wariancji: dwuczynnikowa z powtórzeniami</v>
      </c>
      <c r="V6">
        <v>1</v>
      </c>
      <c r="W6" t="str">
        <f>dbAnova2Title</f>
        <v>Analiza wariancji: dwuczynnikowa z powtórzeniami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484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4772</v>
      </c>
      <c r="AP6">
        <v>5</v>
      </c>
      <c r="AQ6">
        <v>24</v>
      </c>
      <c r="AR6">
        <v>22</v>
      </c>
      <c r="AU6" t="s">
        <v>4773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4772</v>
      </c>
      <c r="BN6">
        <v>5</v>
      </c>
      <c r="BO6">
        <v>18</v>
      </c>
      <c r="BP6">
        <v>19</v>
      </c>
      <c r="BS6" t="s">
        <v>4772</v>
      </c>
      <c r="BV6">
        <v>5</v>
      </c>
      <c r="BW6">
        <v>18</v>
      </c>
      <c r="BX6">
        <v>19</v>
      </c>
      <c r="CA6" t="s">
        <v>4772</v>
      </c>
      <c r="CD6">
        <v>5</v>
      </c>
      <c r="CE6">
        <v>18</v>
      </c>
      <c r="CF6">
        <v>19</v>
      </c>
      <c r="CI6" t="s">
        <v>4774</v>
      </c>
      <c r="CL6">
        <v>5</v>
      </c>
      <c r="CM6">
        <v>18</v>
      </c>
      <c r="CN6">
        <v>19</v>
      </c>
      <c r="CQ6" t="s">
        <v>4772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Analiza wariancji: dwuczynnikowa bez powtórzeń</v>
      </c>
      <c r="V7">
        <v>2</v>
      </c>
      <c r="W7" t="str">
        <f>dbAnova3Title</f>
        <v>Analiza wariancji: dwuczynnikowa bez powtórzeń</v>
      </c>
      <c r="X7" t="s">
        <v>315</v>
      </c>
      <c r="Y7" s="1" t="s">
        <v>665</v>
      </c>
      <c r="Z7">
        <v>24</v>
      </c>
      <c r="AA7">
        <v>514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4775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200</v>
      </c>
      <c r="BP7">
        <v>16</v>
      </c>
      <c r="BQ7">
        <v>160</v>
      </c>
      <c r="BT7" t="s">
        <v>316</v>
      </c>
      <c r="BV7">
        <v>10</v>
      </c>
      <c r="BW7">
        <v>205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4776</v>
      </c>
    </row>
    <row r="8" spans="1:104" x14ac:dyDescent="0.25">
      <c r="A8" t="s">
        <v>476</v>
      </c>
      <c r="B8" t="s">
        <v>4777</v>
      </c>
      <c r="T8">
        <v>3</v>
      </c>
      <c r="U8" t="str">
        <f>dbCorrelationTitle</f>
        <v>Korelacja</v>
      </c>
      <c r="V8">
        <v>3</v>
      </c>
      <c r="W8" t="str">
        <f>dbCorrelationTitle</f>
        <v>Korelacja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4778</v>
      </c>
      <c r="AP8">
        <v>5</v>
      </c>
      <c r="AQ8">
        <v>24</v>
      </c>
      <c r="AR8">
        <v>48</v>
      </c>
      <c r="AU8" t="s">
        <v>4779</v>
      </c>
      <c r="AX8">
        <v>12</v>
      </c>
      <c r="AZ8">
        <v>90</v>
      </c>
      <c r="BC8" t="s">
        <v>4780</v>
      </c>
      <c r="BF8">
        <v>5</v>
      </c>
      <c r="BG8">
        <v>18</v>
      </c>
      <c r="BH8">
        <v>44</v>
      </c>
      <c r="BK8" t="s">
        <v>4778</v>
      </c>
      <c r="BN8">
        <v>5</v>
      </c>
      <c r="BO8">
        <v>18</v>
      </c>
      <c r="BP8">
        <v>44</v>
      </c>
      <c r="BS8" t="s">
        <v>4778</v>
      </c>
      <c r="BV8">
        <v>5</v>
      </c>
      <c r="BW8">
        <v>17</v>
      </c>
      <c r="BX8">
        <v>40</v>
      </c>
      <c r="CA8" t="s">
        <v>4781</v>
      </c>
      <c r="CD8">
        <v>5</v>
      </c>
      <c r="CE8">
        <v>18</v>
      </c>
      <c r="CF8">
        <v>41</v>
      </c>
      <c r="CI8" t="s">
        <v>4782</v>
      </c>
      <c r="CL8">
        <v>13</v>
      </c>
      <c r="CM8">
        <v>18</v>
      </c>
      <c r="CN8">
        <v>39</v>
      </c>
      <c r="CQ8" t="s">
        <v>4783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4784</v>
      </c>
      <c r="T9">
        <v>4</v>
      </c>
      <c r="U9" t="str">
        <f>dbCovarianceTitle</f>
        <v>Kowariancja</v>
      </c>
      <c r="V9">
        <v>4</v>
      </c>
      <c r="W9" t="str">
        <f>dbCovarianceTitle</f>
        <v>Kowariancja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4785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205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4786</v>
      </c>
      <c r="CT9">
        <v>5</v>
      </c>
      <c r="CU9">
        <v>17</v>
      </c>
      <c r="CV9">
        <v>63</v>
      </c>
      <c r="CY9" t="s">
        <v>4787</v>
      </c>
    </row>
    <row r="10" spans="1:104" x14ac:dyDescent="0.25">
      <c r="A10" t="s">
        <v>505</v>
      </c>
      <c r="B10" t="s">
        <v>4788</v>
      </c>
      <c r="T10">
        <v>5</v>
      </c>
      <c r="U10" t="str">
        <f>dbDescripTitle</f>
        <v>Statystyka opisowa</v>
      </c>
      <c r="V10">
        <v>5</v>
      </c>
      <c r="W10" t="str">
        <f>dbDescripTitle</f>
        <v>Statystyka opisowa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4789</v>
      </c>
      <c r="AP10">
        <v>13</v>
      </c>
      <c r="AQ10">
        <v>25</v>
      </c>
      <c r="AR10">
        <v>75</v>
      </c>
      <c r="AU10" t="s">
        <v>4783</v>
      </c>
      <c r="AV10" t="b">
        <v>0</v>
      </c>
      <c r="AX10">
        <v>12</v>
      </c>
      <c r="AZ10">
        <v>130</v>
      </c>
      <c r="BC10" t="s">
        <v>4790</v>
      </c>
      <c r="BF10">
        <v>12</v>
      </c>
      <c r="BG10">
        <v>220</v>
      </c>
      <c r="BH10">
        <v>40</v>
      </c>
      <c r="BK10" t="s">
        <v>4789</v>
      </c>
      <c r="BN10">
        <v>12</v>
      </c>
      <c r="BO10">
        <v>200</v>
      </c>
      <c r="BP10">
        <v>40</v>
      </c>
      <c r="BS10" t="s">
        <v>4789</v>
      </c>
      <c r="BV10">
        <v>13</v>
      </c>
      <c r="BW10">
        <v>17</v>
      </c>
      <c r="BX10">
        <v>60</v>
      </c>
      <c r="CA10" t="s">
        <v>4783</v>
      </c>
      <c r="CB10" t="b">
        <v>0</v>
      </c>
      <c r="CD10">
        <v>13</v>
      </c>
      <c r="CE10">
        <v>18</v>
      </c>
      <c r="CF10">
        <v>64</v>
      </c>
      <c r="CI10" t="s">
        <v>4783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4791</v>
      </c>
      <c r="T11">
        <v>6</v>
      </c>
      <c r="U11" t="str">
        <f>dbExponentTitle</f>
        <v>Wygładzanie wykładnicze</v>
      </c>
      <c r="V11">
        <v>6</v>
      </c>
      <c r="W11" t="str">
        <f>dbExponentTitle</f>
        <v>Wygładzanie wykładnicze</v>
      </c>
      <c r="X11" t="s">
        <v>452</v>
      </c>
      <c r="Y11" s="1" t="s">
        <v>660</v>
      </c>
      <c r="AH11">
        <v>12</v>
      </c>
      <c r="AM11" t="s">
        <v>4792</v>
      </c>
      <c r="AP11">
        <v>13</v>
      </c>
      <c r="AQ11">
        <v>197</v>
      </c>
      <c r="AR11">
        <v>75</v>
      </c>
      <c r="AU11" t="s">
        <v>4793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4794</v>
      </c>
      <c r="BF11">
        <v>12</v>
      </c>
      <c r="BK11" t="s">
        <v>4792</v>
      </c>
      <c r="BN11">
        <v>12</v>
      </c>
      <c r="BS11" t="s">
        <v>4792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4770</v>
      </c>
      <c r="CD11">
        <v>5</v>
      </c>
      <c r="CE11">
        <v>18</v>
      </c>
      <c r="CF11">
        <v>85</v>
      </c>
      <c r="CI11" t="s">
        <v>1019</v>
      </c>
      <c r="CL11">
        <v>12</v>
      </c>
      <c r="CM11">
        <v>18</v>
      </c>
      <c r="CN11">
        <v>82</v>
      </c>
      <c r="CQ11" t="s">
        <v>4795</v>
      </c>
      <c r="CT11">
        <v>14</v>
      </c>
      <c r="CU11">
        <v>9</v>
      </c>
      <c r="CV11">
        <v>85</v>
      </c>
      <c r="CW11">
        <v>405</v>
      </c>
      <c r="CX11">
        <v>92</v>
      </c>
      <c r="CY11" t="s">
        <v>1021</v>
      </c>
    </row>
    <row r="12" spans="1:104" x14ac:dyDescent="0.25">
      <c r="A12" t="s">
        <v>328</v>
      </c>
      <c r="B12" t="s">
        <v>2910</v>
      </c>
      <c r="T12">
        <v>7</v>
      </c>
      <c r="U12" t="str">
        <f>dbFTestTitle</f>
        <v>Test F: z dwiema próbami dla wariancji</v>
      </c>
      <c r="V12">
        <v>7</v>
      </c>
      <c r="W12" t="str">
        <f>dbFTestTitle</f>
        <v>Test F: z dwiema próbami dla wariancji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4791</v>
      </c>
      <c r="AN12" t="b">
        <v>0</v>
      </c>
      <c r="AP12">
        <v>113</v>
      </c>
      <c r="AQ12">
        <v>25</v>
      </c>
      <c r="AR12">
        <v>93</v>
      </c>
      <c r="AU12" t="s">
        <v>4796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4791</v>
      </c>
      <c r="BL12" t="b">
        <v>0</v>
      </c>
      <c r="BN12">
        <v>13</v>
      </c>
      <c r="BO12">
        <v>18</v>
      </c>
      <c r="BP12">
        <v>75</v>
      </c>
      <c r="BS12" t="s">
        <v>4791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4797</v>
      </c>
      <c r="CT12">
        <v>5</v>
      </c>
      <c r="CZ12" t="s">
        <v>332</v>
      </c>
    </row>
    <row r="13" spans="1:104" x14ac:dyDescent="0.25">
      <c r="A13" t="s">
        <v>333</v>
      </c>
      <c r="B13" t="s">
        <v>4798</v>
      </c>
      <c r="T13">
        <v>8</v>
      </c>
      <c r="U13" t="str">
        <f>dbFourierTitle</f>
        <v>Analiza Fouriera</v>
      </c>
      <c r="V13">
        <v>8</v>
      </c>
      <c r="W13" t="str">
        <f>dbFourierTitle</f>
        <v>Analiza Fouriera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1019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4770</v>
      </c>
      <c r="BN13">
        <v>14</v>
      </c>
      <c r="BO13">
        <v>8</v>
      </c>
      <c r="BP13">
        <v>109</v>
      </c>
      <c r="BQ13">
        <v>365</v>
      </c>
      <c r="BR13">
        <v>174</v>
      </c>
      <c r="BS13" t="s">
        <v>4770</v>
      </c>
      <c r="BV13">
        <v>5</v>
      </c>
      <c r="BW13">
        <v>17</v>
      </c>
      <c r="BX13">
        <v>99</v>
      </c>
      <c r="CA13" t="s">
        <v>4799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4770</v>
      </c>
      <c r="CL13">
        <v>5</v>
      </c>
      <c r="CM13">
        <v>42</v>
      </c>
      <c r="CN13">
        <v>103</v>
      </c>
      <c r="CQ13" t="s">
        <v>4800</v>
      </c>
      <c r="CT13">
        <v>5</v>
      </c>
    </row>
    <row r="14" spans="1:104" x14ac:dyDescent="0.25">
      <c r="A14" t="s">
        <v>404</v>
      </c>
      <c r="B14" t="s">
        <v>4801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205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4803</v>
      </c>
      <c r="T15">
        <v>10</v>
      </c>
      <c r="U15" t="str">
        <f>dbMovingTitle</f>
        <v>Średnia ruchoma</v>
      </c>
      <c r="V15">
        <v>10</v>
      </c>
      <c r="W15" t="str">
        <f>dbMovingTitle</f>
        <v>Średnia ruchoma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4770</v>
      </c>
      <c r="AP15">
        <v>14</v>
      </c>
      <c r="AQ15">
        <v>7</v>
      </c>
      <c r="AR15">
        <v>124</v>
      </c>
      <c r="AS15">
        <v>524</v>
      </c>
      <c r="AT15">
        <v>179</v>
      </c>
      <c r="AU15" t="s">
        <v>4770</v>
      </c>
      <c r="AX15">
        <v>24</v>
      </c>
      <c r="AY15">
        <v>418</v>
      </c>
      <c r="AZ15">
        <v>66</v>
      </c>
      <c r="BA15">
        <v>104</v>
      </c>
      <c r="BC15" t="s">
        <v>4804</v>
      </c>
      <c r="BF15">
        <v>12</v>
      </c>
      <c r="BG15">
        <v>20</v>
      </c>
      <c r="BH15">
        <v>120</v>
      </c>
      <c r="BK15" t="s">
        <v>4799</v>
      </c>
      <c r="BN15">
        <v>12</v>
      </c>
      <c r="BO15">
        <v>18</v>
      </c>
      <c r="BP15">
        <v>126</v>
      </c>
      <c r="BS15" t="s">
        <v>4799</v>
      </c>
      <c r="BV15">
        <v>205</v>
      </c>
      <c r="BW15">
        <v>17</v>
      </c>
      <c r="BX15">
        <v>119</v>
      </c>
      <c r="CA15" t="s">
        <v>4802</v>
      </c>
      <c r="CD15">
        <v>12</v>
      </c>
      <c r="CE15">
        <v>18</v>
      </c>
      <c r="CF15">
        <v>132</v>
      </c>
      <c r="CI15" t="s">
        <v>4799</v>
      </c>
      <c r="CL15">
        <v>5</v>
      </c>
      <c r="CM15">
        <v>42</v>
      </c>
      <c r="CN15">
        <v>146</v>
      </c>
      <c r="CQ15" t="s">
        <v>4805</v>
      </c>
      <c r="CT15">
        <v>5</v>
      </c>
    </row>
    <row r="16" spans="1:104" x14ac:dyDescent="0.25">
      <c r="A16" t="s">
        <v>526</v>
      </c>
      <c r="B16" t="s">
        <v>4806</v>
      </c>
      <c r="T16">
        <v>11</v>
      </c>
      <c r="U16" t="str">
        <f>dbRandomTitle</f>
        <v>Generowanie liczb pseudolosowych</v>
      </c>
      <c r="V16">
        <v>11</v>
      </c>
      <c r="W16" t="str">
        <f>dbRandomTitle</f>
        <v>Generowanie liczb pseudolosowych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4802</v>
      </c>
      <c r="BN16">
        <v>12</v>
      </c>
      <c r="BP16">
        <v>146</v>
      </c>
      <c r="BS16" t="s">
        <v>4802</v>
      </c>
      <c r="BV16">
        <v>206</v>
      </c>
      <c r="BW16">
        <v>205</v>
      </c>
      <c r="BX16">
        <v>117</v>
      </c>
      <c r="BY16">
        <v>160</v>
      </c>
      <c r="CD16">
        <v>12</v>
      </c>
      <c r="CF16">
        <v>152</v>
      </c>
      <c r="CI16" t="s">
        <v>4802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4807</v>
      </c>
      <c r="T17">
        <v>12</v>
      </c>
      <c r="U17" t="str">
        <f>dbRankPerTitle</f>
        <v>Ranga i percentyl</v>
      </c>
      <c r="V17">
        <v>12</v>
      </c>
      <c r="W17" t="str">
        <f>dbRankPerTitle</f>
        <v>Ranga i percentyl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4799</v>
      </c>
      <c r="AP17">
        <v>12</v>
      </c>
      <c r="AQ17">
        <v>24</v>
      </c>
      <c r="AR17">
        <v>142</v>
      </c>
      <c r="AU17" t="s">
        <v>4799</v>
      </c>
      <c r="BF17">
        <v>12</v>
      </c>
      <c r="BH17">
        <v>160</v>
      </c>
      <c r="BK17" t="s">
        <v>4790</v>
      </c>
      <c r="BN17">
        <v>12</v>
      </c>
      <c r="BP17">
        <v>166</v>
      </c>
      <c r="BS17" t="s">
        <v>4790</v>
      </c>
      <c r="BV17">
        <v>205</v>
      </c>
      <c r="BW17">
        <v>17</v>
      </c>
      <c r="BX17">
        <v>139</v>
      </c>
      <c r="CA17" t="s">
        <v>4790</v>
      </c>
      <c r="CD17">
        <v>12</v>
      </c>
      <c r="CF17">
        <v>172</v>
      </c>
      <c r="CI17" t="s">
        <v>4790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4770</v>
      </c>
      <c r="CT17">
        <v>5</v>
      </c>
    </row>
    <row r="18" spans="1:104" x14ac:dyDescent="0.25">
      <c r="A18" t="s">
        <v>531</v>
      </c>
      <c r="B18" t="s">
        <v>4808</v>
      </c>
      <c r="T18">
        <v>13</v>
      </c>
      <c r="U18" t="str">
        <f>dbRegressionTitle</f>
        <v>Regresja</v>
      </c>
      <c r="V18">
        <v>13</v>
      </c>
      <c r="W18" t="str">
        <f>dbRegressionTitle</f>
        <v>Regresja</v>
      </c>
      <c r="X18" t="s">
        <v>448</v>
      </c>
      <c r="Y18" s="1" t="s">
        <v>657</v>
      </c>
      <c r="AH18">
        <v>12</v>
      </c>
      <c r="AJ18">
        <v>169</v>
      </c>
      <c r="AM18" t="s">
        <v>4802</v>
      </c>
      <c r="AP18">
        <v>12</v>
      </c>
      <c r="AR18">
        <v>162</v>
      </c>
      <c r="AU18" t="s">
        <v>4802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200</v>
      </c>
      <c r="BP18">
        <v>124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4809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4810</v>
      </c>
      <c r="T19">
        <v>14</v>
      </c>
      <c r="U19" t="str">
        <f>dbSamplingTitle</f>
        <v>Próbkowanie</v>
      </c>
      <c r="V19">
        <v>14</v>
      </c>
      <c r="W19" t="str">
        <f>dbSamplingTitle</f>
        <v>Próbkowanie</v>
      </c>
      <c r="X19" t="s">
        <v>585</v>
      </c>
      <c r="Y19" s="1" t="s">
        <v>662</v>
      </c>
      <c r="AH19">
        <v>12</v>
      </c>
      <c r="AJ19">
        <v>189</v>
      </c>
      <c r="AM19" t="s">
        <v>4790</v>
      </c>
      <c r="AP19">
        <v>12</v>
      </c>
      <c r="AR19">
        <v>182</v>
      </c>
      <c r="AU19" t="s">
        <v>4790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200</v>
      </c>
      <c r="BP19">
        <v>144</v>
      </c>
      <c r="BQ19">
        <v>160</v>
      </c>
      <c r="BV19">
        <v>13</v>
      </c>
      <c r="BW19">
        <v>205</v>
      </c>
      <c r="BX19">
        <v>161</v>
      </c>
      <c r="CA19" t="s">
        <v>4811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4799</v>
      </c>
      <c r="CT19">
        <v>5</v>
      </c>
    </row>
    <row r="20" spans="1:104" x14ac:dyDescent="0.25">
      <c r="A20" t="s">
        <v>343</v>
      </c>
      <c r="B20" t="s">
        <v>4758</v>
      </c>
      <c r="T20">
        <v>15</v>
      </c>
      <c r="U20" t="str">
        <f>dbTTest1Title</f>
        <v>Test t: par skojarzonych z dwiema próbami dla średniej</v>
      </c>
      <c r="V20">
        <v>15</v>
      </c>
      <c r="W20" t="str">
        <f>dbTTest1Title</f>
        <v>Test t: par skojarzonych z dwiema próbami dla średniej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188</v>
      </c>
      <c r="BS20" t="s">
        <v>4812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4802</v>
      </c>
      <c r="CT20">
        <v>5</v>
      </c>
    </row>
    <row r="21" spans="1:104" x14ac:dyDescent="0.25">
      <c r="A21" t="s">
        <v>346</v>
      </c>
      <c r="B21" t="s">
        <v>4813</v>
      </c>
      <c r="T21">
        <v>16</v>
      </c>
      <c r="U21" t="str">
        <f>dbTTest2Title</f>
        <v>Test t: z dwiema próbami zakładający równe wariancje</v>
      </c>
      <c r="V21">
        <v>16</v>
      </c>
      <c r="W21" t="str">
        <f>dbTTest2Title</f>
        <v>Test t: z dwiema próbami zakładający równe wariancje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211</v>
      </c>
      <c r="BS21" t="s">
        <v>4814</v>
      </c>
      <c r="BT21" t="b">
        <v>0</v>
      </c>
      <c r="CL21">
        <v>12</v>
      </c>
      <c r="CN21">
        <v>230</v>
      </c>
      <c r="CQ21" t="s">
        <v>4790</v>
      </c>
      <c r="CT21">
        <v>5</v>
      </c>
    </row>
    <row r="22" spans="1:104" x14ac:dyDescent="0.25">
      <c r="A22" t="s">
        <v>440</v>
      </c>
      <c r="B22" t="s">
        <v>4759</v>
      </c>
      <c r="T22">
        <v>17</v>
      </c>
      <c r="U22" t="str">
        <f>dbTTest3Title</f>
        <v>Test t: z dwiema próbami zakładający nierówne wariancje</v>
      </c>
      <c r="V22">
        <v>17</v>
      </c>
      <c r="W22" t="str">
        <f>dbTTest3Title</f>
        <v>Test t: z dwiema próbami zakładający nierówne wariancje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506</v>
      </c>
      <c r="AT22">
        <v>53</v>
      </c>
      <c r="AU22" t="s">
        <v>4815</v>
      </c>
      <c r="BF22" t="s">
        <v>483</v>
      </c>
      <c r="BN22">
        <v>208</v>
      </c>
      <c r="BO22">
        <v>240</v>
      </c>
      <c r="BP22">
        <v>209</v>
      </c>
      <c r="BQ22">
        <v>60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22</v>
      </c>
      <c r="CV22">
        <v>106</v>
      </c>
      <c r="CY22" t="s">
        <v>4816</v>
      </c>
    </row>
    <row r="23" spans="1:104" x14ac:dyDescent="0.25">
      <c r="A23" t="s">
        <v>443</v>
      </c>
      <c r="B23" t="s">
        <v>4817</v>
      </c>
      <c r="T23">
        <v>18</v>
      </c>
      <c r="U23" t="str">
        <f>dbZTestTitle</f>
        <v>Test z: z dwiema próbami dla średnich</v>
      </c>
      <c r="V23">
        <v>18</v>
      </c>
      <c r="W23" t="str">
        <f>dbZTestTitle</f>
        <v>Test z: z dwiema próbami dla średnich</v>
      </c>
      <c r="X23" t="s">
        <v>357</v>
      </c>
      <c r="Y23" s="1" t="s">
        <v>674</v>
      </c>
      <c r="AP23">
        <v>13</v>
      </c>
      <c r="AR23">
        <v>216</v>
      </c>
      <c r="AU23" t="s">
        <v>4818</v>
      </c>
      <c r="AV23" t="b">
        <v>0</v>
      </c>
      <c r="BF23" s="1" t="s">
        <v>666</v>
      </c>
      <c r="BI23">
        <v>523</v>
      </c>
      <c r="BJ23">
        <v>191</v>
      </c>
      <c r="BK23" t="s">
        <v>4819</v>
      </c>
      <c r="BL23">
        <v>5</v>
      </c>
      <c r="BN23">
        <v>5</v>
      </c>
      <c r="BO23">
        <v>305</v>
      </c>
      <c r="BP23">
        <v>211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381</v>
      </c>
    </row>
    <row r="24" spans="1:104" x14ac:dyDescent="0.25">
      <c r="A24" t="s">
        <v>360</v>
      </c>
      <c r="B24" t="s">
        <v>4820</v>
      </c>
      <c r="X24" t="s">
        <v>551</v>
      </c>
      <c r="AP24">
        <v>13</v>
      </c>
      <c r="AR24">
        <v>231</v>
      </c>
      <c r="AU24" t="s">
        <v>4821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234</v>
      </c>
      <c r="BS24" t="s">
        <v>4822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4823</v>
      </c>
    </row>
    <row r="25" spans="1:104" x14ac:dyDescent="0.25">
      <c r="A25" t="s">
        <v>552</v>
      </c>
      <c r="B25" t="s">
        <v>4824</v>
      </c>
      <c r="X25" t="s">
        <v>554</v>
      </c>
      <c r="AH25" t="s">
        <v>614</v>
      </c>
      <c r="AP25">
        <v>13</v>
      </c>
      <c r="AQ25">
        <v>270</v>
      </c>
      <c r="AR25">
        <v>216</v>
      </c>
      <c r="AU25" t="s">
        <v>4825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4767</v>
      </c>
      <c r="BN25">
        <v>207</v>
      </c>
      <c r="BO25">
        <v>200</v>
      </c>
      <c r="BP25">
        <v>232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4826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4827</v>
      </c>
      <c r="X26" t="s">
        <v>376</v>
      </c>
      <c r="AH26" s="1" t="s">
        <v>664</v>
      </c>
      <c r="AK26">
        <v>509</v>
      </c>
      <c r="AL26">
        <v>187</v>
      </c>
      <c r="AM26" t="s">
        <v>4817</v>
      </c>
      <c r="AN26">
        <v>5</v>
      </c>
      <c r="AP26">
        <v>13</v>
      </c>
      <c r="AR26">
        <v>231</v>
      </c>
      <c r="AU26" t="s">
        <v>4828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4769</v>
      </c>
      <c r="BN26">
        <v>113</v>
      </c>
      <c r="BO26">
        <v>18</v>
      </c>
      <c r="BP26">
        <v>258</v>
      </c>
      <c r="BS26" t="s">
        <v>4829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4770</v>
      </c>
    </row>
    <row r="27" spans="1:104" x14ac:dyDescent="0.25">
      <c r="A27" t="s">
        <v>377</v>
      </c>
      <c r="B27" t="s">
        <v>4830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506</v>
      </c>
      <c r="AT27">
        <v>35</v>
      </c>
      <c r="AU27" t="s">
        <v>4831</v>
      </c>
      <c r="BF27">
        <v>5</v>
      </c>
      <c r="BG27">
        <v>18</v>
      </c>
      <c r="BH27">
        <v>19</v>
      </c>
      <c r="BK27" t="s">
        <v>4772</v>
      </c>
      <c r="BN27">
        <v>207</v>
      </c>
      <c r="BO27">
        <v>200</v>
      </c>
      <c r="BP27">
        <v>256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4767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4832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4767</v>
      </c>
      <c r="AP28">
        <v>13</v>
      </c>
      <c r="AR28">
        <v>270</v>
      </c>
      <c r="AU28" t="s">
        <v>4833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387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4769</v>
      </c>
      <c r="CT28">
        <v>12</v>
      </c>
      <c r="CU28">
        <v>17</v>
      </c>
      <c r="CV28">
        <v>225</v>
      </c>
      <c r="CY28" t="s">
        <v>4799</v>
      </c>
    </row>
    <row r="29" spans="1:104" x14ac:dyDescent="0.25">
      <c r="A29" t="s">
        <v>383</v>
      </c>
      <c r="B29" t="s">
        <v>4834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4769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4778</v>
      </c>
      <c r="CD29">
        <v>5</v>
      </c>
      <c r="CE29">
        <v>17</v>
      </c>
      <c r="CF29">
        <v>18</v>
      </c>
      <c r="CI29" t="s">
        <v>4774</v>
      </c>
      <c r="CT29">
        <v>12</v>
      </c>
      <c r="CV29">
        <v>245</v>
      </c>
      <c r="CY29" t="s">
        <v>4802</v>
      </c>
    </row>
    <row r="30" spans="1:104" x14ac:dyDescent="0.25">
      <c r="A30" t="s">
        <v>600</v>
      </c>
      <c r="B30" t="s">
        <v>4835</v>
      </c>
      <c r="X30" t="s">
        <v>332</v>
      </c>
      <c r="AH30">
        <v>5</v>
      </c>
      <c r="AI30">
        <v>20</v>
      </c>
      <c r="AJ30">
        <v>19</v>
      </c>
      <c r="AM30" t="s">
        <v>4772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4790</v>
      </c>
    </row>
    <row r="31" spans="1:104" x14ac:dyDescent="0.25">
      <c r="A31" t="s">
        <v>602</v>
      </c>
      <c r="B31" t="s">
        <v>4836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4789</v>
      </c>
      <c r="CD31">
        <v>5</v>
      </c>
      <c r="CE31">
        <v>17</v>
      </c>
      <c r="CF31">
        <v>41</v>
      </c>
      <c r="CI31" t="s">
        <v>4782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4837</v>
      </c>
      <c r="AH32">
        <v>5</v>
      </c>
      <c r="AI32">
        <v>20</v>
      </c>
      <c r="AJ32">
        <v>45</v>
      </c>
      <c r="AM32" t="s">
        <v>4838</v>
      </c>
      <c r="BF32">
        <v>12</v>
      </c>
      <c r="BK32" t="s">
        <v>4792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4791</v>
      </c>
      <c r="BL33" t="b">
        <v>0</v>
      </c>
      <c r="CD33">
        <v>5</v>
      </c>
      <c r="CE33">
        <v>17</v>
      </c>
      <c r="CF33">
        <v>70</v>
      </c>
      <c r="CI33" t="s">
        <v>4839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1019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4840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4783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4770</v>
      </c>
      <c r="BF36">
        <v>12</v>
      </c>
      <c r="BG36">
        <v>18</v>
      </c>
      <c r="BH36">
        <v>120</v>
      </c>
      <c r="BK36" t="s">
        <v>4799</v>
      </c>
      <c r="CD36">
        <v>5</v>
      </c>
      <c r="CE36">
        <v>17</v>
      </c>
      <c r="CF36">
        <v>114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4841</v>
      </c>
      <c r="AH37">
        <v>111</v>
      </c>
      <c r="AN37">
        <v>2</v>
      </c>
      <c r="BF37">
        <v>12</v>
      </c>
      <c r="BH37">
        <v>140</v>
      </c>
      <c r="BK37" t="s">
        <v>4802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4842</v>
      </c>
      <c r="AH38">
        <v>12</v>
      </c>
      <c r="AI38">
        <v>20</v>
      </c>
      <c r="AJ38">
        <v>115</v>
      </c>
      <c r="AM38" t="s">
        <v>4799</v>
      </c>
      <c r="BF38">
        <v>12</v>
      </c>
      <c r="BH38">
        <v>160</v>
      </c>
      <c r="BK38" t="s">
        <v>4790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4770</v>
      </c>
      <c r="CT38">
        <v>5</v>
      </c>
    </row>
    <row r="39" spans="1:104" x14ac:dyDescent="0.25">
      <c r="A39" t="s">
        <v>488</v>
      </c>
      <c r="B39" t="s">
        <v>4843</v>
      </c>
      <c r="AH39">
        <v>12</v>
      </c>
      <c r="AJ39">
        <v>135</v>
      </c>
      <c r="AM39" t="s">
        <v>4802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4844</v>
      </c>
      <c r="AH40">
        <v>12</v>
      </c>
      <c r="AJ40">
        <v>155</v>
      </c>
      <c r="AM40" t="s">
        <v>4790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4799</v>
      </c>
      <c r="CT40">
        <v>5</v>
      </c>
    </row>
    <row r="41" spans="1:104" x14ac:dyDescent="0.25">
      <c r="A41" t="s">
        <v>492</v>
      </c>
      <c r="B41" t="s">
        <v>4845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4802</v>
      </c>
      <c r="CT41">
        <v>5</v>
      </c>
    </row>
    <row r="42" spans="1:104" x14ac:dyDescent="0.25">
      <c r="A42" t="s">
        <v>494</v>
      </c>
      <c r="B42" t="s">
        <v>4846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4790</v>
      </c>
      <c r="CT42">
        <v>5</v>
      </c>
    </row>
    <row r="43" spans="1:104" x14ac:dyDescent="0.25">
      <c r="A43" t="s">
        <v>496</v>
      </c>
      <c r="B43" t="s">
        <v>4847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4848</v>
      </c>
      <c r="BF44" s="1" t="s">
        <v>670</v>
      </c>
      <c r="BI44">
        <v>523</v>
      </c>
      <c r="BJ44">
        <v>191</v>
      </c>
      <c r="BK44" t="s">
        <v>4849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4850</v>
      </c>
    </row>
    <row r="45" spans="1:104" x14ac:dyDescent="0.25">
      <c r="A45" t="s">
        <v>422</v>
      </c>
      <c r="B45" t="s">
        <v>4851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4852</v>
      </c>
      <c r="BF46">
        <v>2</v>
      </c>
      <c r="BG46">
        <v>407</v>
      </c>
      <c r="BH46">
        <v>30</v>
      </c>
      <c r="BI46">
        <v>90</v>
      </c>
      <c r="BK46" t="s">
        <v>4767</v>
      </c>
      <c r="CT46">
        <v>5</v>
      </c>
      <c r="CU46">
        <v>182</v>
      </c>
      <c r="CV46">
        <v>114</v>
      </c>
      <c r="CY46" t="s">
        <v>4853</v>
      </c>
    </row>
    <row r="47" spans="1:104" x14ac:dyDescent="0.25">
      <c r="A47" t="s">
        <v>427</v>
      </c>
      <c r="B47" t="s">
        <v>4854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4769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4855</v>
      </c>
      <c r="AH48" s="1" t="s">
        <v>665</v>
      </c>
      <c r="AK48">
        <v>523</v>
      </c>
      <c r="AL48">
        <v>185</v>
      </c>
      <c r="AM48" t="s">
        <v>4820</v>
      </c>
      <c r="AN48">
        <v>5</v>
      </c>
      <c r="BF48">
        <v>5</v>
      </c>
      <c r="BG48">
        <v>18</v>
      </c>
      <c r="BH48">
        <v>19</v>
      </c>
      <c r="BK48" t="s">
        <v>4772</v>
      </c>
    </row>
    <row r="49" spans="1:104" x14ac:dyDescent="0.25">
      <c r="A49" t="s">
        <v>431</v>
      </c>
      <c r="B49" t="s">
        <v>4762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4834</v>
      </c>
      <c r="AH50">
        <v>2</v>
      </c>
      <c r="AI50">
        <v>407</v>
      </c>
      <c r="AJ50">
        <v>30</v>
      </c>
      <c r="AK50">
        <v>90</v>
      </c>
      <c r="AM50" t="s">
        <v>4767</v>
      </c>
      <c r="BF50">
        <v>5</v>
      </c>
      <c r="BG50">
        <v>18</v>
      </c>
      <c r="BH50">
        <v>44</v>
      </c>
      <c r="BK50" t="s">
        <v>4778</v>
      </c>
      <c r="CD50" s="1" t="s">
        <v>672</v>
      </c>
      <c r="CG50">
        <v>550</v>
      </c>
      <c r="CH50">
        <v>227</v>
      </c>
      <c r="CI50" t="s">
        <v>4856</v>
      </c>
      <c r="CJ50">
        <v>5</v>
      </c>
      <c r="CT50">
        <v>5</v>
      </c>
      <c r="CU50">
        <v>17</v>
      </c>
      <c r="CV50">
        <v>101</v>
      </c>
      <c r="CY50" t="s">
        <v>4857</v>
      </c>
      <c r="CZ50" t="s">
        <v>599</v>
      </c>
    </row>
    <row r="51" spans="1:104" x14ac:dyDescent="0.25">
      <c r="A51" t="s">
        <v>439</v>
      </c>
      <c r="B51" t="s">
        <v>4858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4769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56</v>
      </c>
      <c r="CV51">
        <v>99</v>
      </c>
      <c r="CW51">
        <v>60</v>
      </c>
    </row>
    <row r="52" spans="1:104" x14ac:dyDescent="0.25">
      <c r="A52" t="s">
        <v>419</v>
      </c>
      <c r="B52" t="s">
        <v>2339</v>
      </c>
      <c r="AH52">
        <v>5</v>
      </c>
      <c r="AI52">
        <v>18</v>
      </c>
      <c r="AJ52">
        <v>19</v>
      </c>
      <c r="AM52" t="s">
        <v>4772</v>
      </c>
      <c r="BF52">
        <v>12</v>
      </c>
      <c r="BG52">
        <v>220</v>
      </c>
      <c r="BH52">
        <v>40</v>
      </c>
      <c r="BK52" t="s">
        <v>4789</v>
      </c>
      <c r="CD52">
        <v>2</v>
      </c>
      <c r="CE52">
        <v>440</v>
      </c>
      <c r="CF52">
        <v>30</v>
      </c>
      <c r="CG52">
        <v>90</v>
      </c>
      <c r="CI52" t="s">
        <v>4767</v>
      </c>
      <c r="CT52">
        <v>5</v>
      </c>
      <c r="CU52">
        <v>125</v>
      </c>
      <c r="CV52">
        <v>101</v>
      </c>
      <c r="CY52" t="s">
        <v>4859</v>
      </c>
    </row>
    <row r="53" spans="1:104" x14ac:dyDescent="0.25">
      <c r="A53" t="s">
        <v>338</v>
      </c>
      <c r="B53" t="s">
        <v>4860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4792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4769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4861</v>
      </c>
      <c r="AH54">
        <v>13</v>
      </c>
      <c r="AI54">
        <v>19</v>
      </c>
      <c r="AJ54">
        <v>41</v>
      </c>
      <c r="AM54" t="s">
        <v>4783</v>
      </c>
      <c r="AN54" t="b">
        <v>0</v>
      </c>
      <c r="BF54">
        <v>13</v>
      </c>
      <c r="BG54">
        <v>18</v>
      </c>
      <c r="BH54">
        <v>75</v>
      </c>
      <c r="BK54" t="s">
        <v>4791</v>
      </c>
      <c r="BL54" t="b">
        <v>0</v>
      </c>
      <c r="CD54">
        <v>5</v>
      </c>
      <c r="CE54">
        <v>17</v>
      </c>
      <c r="CF54">
        <v>18</v>
      </c>
      <c r="CI54" t="s">
        <v>4774</v>
      </c>
      <c r="CT54">
        <v>5</v>
      </c>
      <c r="CU54">
        <v>232</v>
      </c>
      <c r="CV54">
        <v>101</v>
      </c>
      <c r="CY54" t="s">
        <v>4862</v>
      </c>
    </row>
    <row r="55" spans="1:104" x14ac:dyDescent="0.25">
      <c r="A55" t="s">
        <v>177</v>
      </c>
      <c r="B55" t="s">
        <v>4863</v>
      </c>
      <c r="AH55">
        <v>5</v>
      </c>
      <c r="AI55">
        <v>20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4770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4864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4782</v>
      </c>
      <c r="CT56">
        <v>5</v>
      </c>
      <c r="CU56">
        <v>17</v>
      </c>
      <c r="CV56">
        <v>131</v>
      </c>
      <c r="CY56" t="s">
        <v>4865</v>
      </c>
    </row>
    <row r="57" spans="1:104" x14ac:dyDescent="0.25">
      <c r="A57" t="s">
        <v>557</v>
      </c>
      <c r="B57" t="s">
        <v>4866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4770</v>
      </c>
      <c r="BF57">
        <v>12</v>
      </c>
      <c r="BG57">
        <v>18</v>
      </c>
      <c r="BH57">
        <v>120</v>
      </c>
      <c r="BK57" t="s">
        <v>4799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220</v>
      </c>
      <c r="CV57">
        <v>129</v>
      </c>
      <c r="CW57">
        <v>60</v>
      </c>
    </row>
    <row r="58" spans="1:104" x14ac:dyDescent="0.25">
      <c r="A58" t="s">
        <v>559</v>
      </c>
      <c r="B58" t="s">
        <v>4867</v>
      </c>
      <c r="AH58">
        <v>111</v>
      </c>
      <c r="AN58">
        <v>2</v>
      </c>
      <c r="BF58">
        <v>12</v>
      </c>
      <c r="BH58">
        <v>140</v>
      </c>
      <c r="BK58" t="s">
        <v>4802</v>
      </c>
      <c r="CD58">
        <v>5</v>
      </c>
      <c r="CE58">
        <v>17</v>
      </c>
      <c r="CF58">
        <v>70</v>
      </c>
      <c r="CI58" t="s">
        <v>4839</v>
      </c>
      <c r="CT58">
        <v>5</v>
      </c>
      <c r="CU58">
        <v>295</v>
      </c>
      <c r="CV58">
        <v>131</v>
      </c>
      <c r="CY58" t="s">
        <v>4868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4799</v>
      </c>
      <c r="BF59">
        <v>12</v>
      </c>
      <c r="BH59">
        <v>160</v>
      </c>
      <c r="BK59" t="s">
        <v>4790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4869</v>
      </c>
    </row>
    <row r="60" spans="1:104" x14ac:dyDescent="0.25">
      <c r="A60" t="s">
        <v>564</v>
      </c>
      <c r="B60" t="s">
        <v>1405</v>
      </c>
      <c r="AH60">
        <v>12</v>
      </c>
      <c r="AJ60">
        <v>127</v>
      </c>
      <c r="AM60" t="s">
        <v>4802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4783</v>
      </c>
      <c r="CJ60" t="b">
        <v>0</v>
      </c>
      <c r="CT60">
        <v>7</v>
      </c>
      <c r="CU60">
        <v>220</v>
      </c>
      <c r="CV60">
        <v>151</v>
      </c>
      <c r="CW60">
        <v>60</v>
      </c>
    </row>
    <row r="61" spans="1:104" x14ac:dyDescent="0.25">
      <c r="A61" t="s">
        <v>566</v>
      </c>
      <c r="B61" t="s">
        <v>4870</v>
      </c>
      <c r="AH61">
        <v>12</v>
      </c>
      <c r="AJ61">
        <v>147</v>
      </c>
      <c r="AM61" t="s">
        <v>4790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1019</v>
      </c>
      <c r="CT61">
        <v>5</v>
      </c>
      <c r="CU61">
        <v>295</v>
      </c>
      <c r="CV61">
        <v>153</v>
      </c>
      <c r="CY61" t="s">
        <v>4868</v>
      </c>
    </row>
    <row r="62" spans="1:104" x14ac:dyDescent="0.25">
      <c r="A62" t="s">
        <v>568</v>
      </c>
      <c r="B62" t="s">
        <v>4871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4872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4770</v>
      </c>
      <c r="CT63" t="s">
        <v>554</v>
      </c>
    </row>
    <row r="64" spans="1:104" x14ac:dyDescent="0.25">
      <c r="A64" t="s">
        <v>572</v>
      </c>
      <c r="B64" t="s">
        <v>4761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4819</v>
      </c>
      <c r="CD65">
        <v>12</v>
      </c>
      <c r="CE65">
        <v>17</v>
      </c>
      <c r="CF65">
        <v>156</v>
      </c>
      <c r="CI65" t="s">
        <v>4799</v>
      </c>
      <c r="CT65">
        <v>5</v>
      </c>
    </row>
    <row r="66" spans="1:104" x14ac:dyDescent="0.25">
      <c r="A66" t="s">
        <v>194</v>
      </c>
      <c r="B66" t="s">
        <v>4763</v>
      </c>
      <c r="BF66" t="s">
        <v>334</v>
      </c>
      <c r="CD66">
        <v>12</v>
      </c>
      <c r="CF66">
        <v>176</v>
      </c>
      <c r="CI66" t="s">
        <v>4802</v>
      </c>
      <c r="CT66">
        <v>5</v>
      </c>
    </row>
    <row r="67" spans="1:104" x14ac:dyDescent="0.25">
      <c r="A67" t="s">
        <v>195</v>
      </c>
      <c r="B67" t="s">
        <v>4873</v>
      </c>
      <c r="BF67" s="1" t="s">
        <v>667</v>
      </c>
      <c r="BI67">
        <v>523</v>
      </c>
      <c r="BJ67">
        <v>181</v>
      </c>
      <c r="BK67" t="s">
        <v>4874</v>
      </c>
      <c r="BL67">
        <v>5</v>
      </c>
      <c r="CD67">
        <v>12</v>
      </c>
      <c r="CF67">
        <v>196</v>
      </c>
      <c r="CI67" t="s">
        <v>4790</v>
      </c>
      <c r="CT67">
        <v>5</v>
      </c>
    </row>
    <row r="68" spans="1:104" x14ac:dyDescent="0.25">
      <c r="A68" t="s">
        <v>576</v>
      </c>
      <c r="B68" t="s">
        <v>4875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4876</v>
      </c>
      <c r="AH69" s="1" t="s">
        <v>669</v>
      </c>
      <c r="AK69">
        <v>523</v>
      </c>
      <c r="AL69">
        <v>205</v>
      </c>
      <c r="AM69" t="s">
        <v>4873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4767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4877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4769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4878</v>
      </c>
      <c r="AH71">
        <v>2</v>
      </c>
      <c r="AI71">
        <v>407</v>
      </c>
      <c r="AJ71">
        <v>30</v>
      </c>
      <c r="AK71">
        <v>90</v>
      </c>
      <c r="AM71" t="s">
        <v>4767</v>
      </c>
      <c r="BF71">
        <v>5</v>
      </c>
      <c r="BG71">
        <v>18</v>
      </c>
      <c r="BH71">
        <v>19</v>
      </c>
      <c r="BK71" t="s">
        <v>4772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4769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4879</v>
      </c>
    </row>
    <row r="73" spans="1:104" x14ac:dyDescent="0.25">
      <c r="A73" t="s">
        <v>203</v>
      </c>
      <c r="B73" t="s">
        <v>4880</v>
      </c>
      <c r="AH73">
        <v>5</v>
      </c>
      <c r="AI73">
        <v>18</v>
      </c>
      <c r="AJ73">
        <v>19</v>
      </c>
      <c r="AM73" t="s">
        <v>4772</v>
      </c>
      <c r="BF73">
        <v>13</v>
      </c>
      <c r="BG73">
        <v>18</v>
      </c>
      <c r="BH73">
        <v>40</v>
      </c>
      <c r="BK73" t="s">
        <v>4791</v>
      </c>
      <c r="BL73" t="b">
        <v>0</v>
      </c>
      <c r="CT73">
        <v>8</v>
      </c>
      <c r="CU73">
        <v>234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4881</v>
      </c>
      <c r="AH74">
        <v>10</v>
      </c>
      <c r="AI74">
        <v>205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4770</v>
      </c>
      <c r="CD74" t="s">
        <v>441</v>
      </c>
      <c r="CT74">
        <v>5</v>
      </c>
      <c r="CU74">
        <v>24</v>
      </c>
      <c r="CV74">
        <v>134</v>
      </c>
      <c r="CY74" t="s">
        <v>4882</v>
      </c>
    </row>
    <row r="75" spans="1:104" x14ac:dyDescent="0.25">
      <c r="A75" t="s">
        <v>207</v>
      </c>
      <c r="B75" t="s">
        <v>4883</v>
      </c>
      <c r="AH75">
        <v>13</v>
      </c>
      <c r="AI75">
        <v>18</v>
      </c>
      <c r="AJ75">
        <v>41</v>
      </c>
      <c r="AM75" t="s">
        <v>4791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4884</v>
      </c>
      <c r="CJ75">
        <v>5</v>
      </c>
      <c r="CT75">
        <v>8</v>
      </c>
      <c r="CU75">
        <v>234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4885</v>
      </c>
      <c r="AH76">
        <v>5</v>
      </c>
      <c r="AI76">
        <v>18</v>
      </c>
      <c r="AJ76">
        <v>69</v>
      </c>
      <c r="AM76" t="s">
        <v>4886</v>
      </c>
      <c r="BF76">
        <v>12</v>
      </c>
      <c r="BG76">
        <v>18</v>
      </c>
      <c r="BH76">
        <v>86</v>
      </c>
      <c r="BK76" t="s">
        <v>4799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4874</v>
      </c>
      <c r="AH77">
        <v>7</v>
      </c>
      <c r="AI77">
        <v>205</v>
      </c>
      <c r="AJ77">
        <v>66</v>
      </c>
      <c r="AK77">
        <v>69</v>
      </c>
      <c r="BF77">
        <v>12</v>
      </c>
      <c r="BH77">
        <v>106</v>
      </c>
      <c r="BK77" t="s">
        <v>4802</v>
      </c>
      <c r="CD77">
        <v>2</v>
      </c>
      <c r="CE77">
        <v>440</v>
      </c>
      <c r="CF77">
        <v>30</v>
      </c>
      <c r="CG77">
        <v>90</v>
      </c>
      <c r="CI77" t="s">
        <v>4767</v>
      </c>
      <c r="CT77" t="s">
        <v>376</v>
      </c>
    </row>
    <row r="78" spans="1:104" x14ac:dyDescent="0.25">
      <c r="A78" t="s">
        <v>219</v>
      </c>
      <c r="B78" t="s">
        <v>4764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4770</v>
      </c>
      <c r="BF78">
        <v>12</v>
      </c>
      <c r="BH78">
        <v>126</v>
      </c>
      <c r="BK78" t="s">
        <v>4790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4769</v>
      </c>
      <c r="CT78">
        <v>5</v>
      </c>
      <c r="CZ78" t="s">
        <v>376</v>
      </c>
    </row>
    <row r="79" spans="1:104" x14ac:dyDescent="0.25">
      <c r="A79" t="s">
        <v>220</v>
      </c>
      <c r="B79" t="s">
        <v>4856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4774</v>
      </c>
      <c r="CT79">
        <v>5</v>
      </c>
    </row>
    <row r="80" spans="1:104" x14ac:dyDescent="0.25">
      <c r="A80" t="s">
        <v>221</v>
      </c>
      <c r="B80" t="s">
        <v>4887</v>
      </c>
      <c r="AH80">
        <v>5</v>
      </c>
      <c r="AI80">
        <v>18</v>
      </c>
      <c r="AJ80">
        <v>112</v>
      </c>
      <c r="AM80" t="s">
        <v>4799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4884</v>
      </c>
      <c r="AH81">
        <v>10</v>
      </c>
      <c r="AI81">
        <v>205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4888</v>
      </c>
      <c r="BL81" t="b">
        <v>0</v>
      </c>
      <c r="CD81">
        <v>5</v>
      </c>
      <c r="CE81">
        <v>17</v>
      </c>
      <c r="CF81">
        <v>41</v>
      </c>
      <c r="CI81" t="s">
        <v>4782</v>
      </c>
      <c r="CT81">
        <v>5</v>
      </c>
    </row>
    <row r="82" spans="1:104" x14ac:dyDescent="0.25">
      <c r="A82" t="s">
        <v>606</v>
      </c>
      <c r="B82" t="s">
        <v>4889</v>
      </c>
      <c r="AH82">
        <v>205</v>
      </c>
      <c r="AI82">
        <v>18</v>
      </c>
      <c r="AJ82">
        <v>132</v>
      </c>
      <c r="AM82" t="s">
        <v>4802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4890</v>
      </c>
      <c r="AH83">
        <v>206</v>
      </c>
      <c r="AI83">
        <v>205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4839</v>
      </c>
      <c r="CT83">
        <v>5</v>
      </c>
    </row>
    <row r="84" spans="1:104" x14ac:dyDescent="0.25">
      <c r="A84" t="s">
        <v>303</v>
      </c>
      <c r="B84" t="s">
        <v>4891</v>
      </c>
      <c r="AH84">
        <v>205</v>
      </c>
      <c r="AI84">
        <v>18</v>
      </c>
      <c r="AJ84">
        <v>152</v>
      </c>
      <c r="AM84" t="s">
        <v>4790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4892</v>
      </c>
      <c r="AH85">
        <v>13</v>
      </c>
      <c r="AI85">
        <v>18</v>
      </c>
      <c r="AJ85">
        <v>175</v>
      </c>
      <c r="AM85" t="s">
        <v>4809</v>
      </c>
      <c r="AN85" t="b">
        <v>0</v>
      </c>
      <c r="CD85">
        <v>13</v>
      </c>
      <c r="CE85">
        <v>18</v>
      </c>
      <c r="CF85">
        <v>87</v>
      </c>
      <c r="CI85" t="s">
        <v>4783</v>
      </c>
      <c r="CJ85" t="b">
        <v>0</v>
      </c>
      <c r="CT85">
        <v>5</v>
      </c>
    </row>
    <row r="86" spans="1:104" x14ac:dyDescent="0.25">
      <c r="A86" t="s">
        <v>228</v>
      </c>
      <c r="B86" t="s">
        <v>4893</v>
      </c>
      <c r="AH86">
        <v>13</v>
      </c>
      <c r="AI86">
        <v>205</v>
      </c>
      <c r="AJ86">
        <v>175</v>
      </c>
      <c r="AM86" t="s">
        <v>4811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1019</v>
      </c>
      <c r="CT86">
        <v>5</v>
      </c>
    </row>
    <row r="87" spans="1:104" x14ac:dyDescent="0.25">
      <c r="A87" t="s">
        <v>231</v>
      </c>
      <c r="B87" t="s">
        <v>4894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4895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4770</v>
      </c>
      <c r="CT88">
        <v>5</v>
      </c>
      <c r="CU88">
        <v>26</v>
      </c>
      <c r="CV88">
        <v>108</v>
      </c>
      <c r="CY88" t="s">
        <v>4896</v>
      </c>
    </row>
    <row r="89" spans="1:104" x14ac:dyDescent="0.25">
      <c r="A89" t="s">
        <v>299</v>
      </c>
      <c r="B89" t="s">
        <v>4897</v>
      </c>
      <c r="BF89">
        <v>2</v>
      </c>
      <c r="BG89">
        <v>407</v>
      </c>
      <c r="BH89">
        <v>30</v>
      </c>
      <c r="BI89">
        <v>90</v>
      </c>
      <c r="BK89" t="s">
        <v>4767</v>
      </c>
      <c r="CD89">
        <v>111</v>
      </c>
      <c r="CJ89">
        <v>2</v>
      </c>
      <c r="CT89">
        <v>8</v>
      </c>
      <c r="CU89">
        <v>134</v>
      </c>
      <c r="CV89">
        <v>106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4769</v>
      </c>
      <c r="CD90">
        <v>12</v>
      </c>
      <c r="CE90">
        <v>17</v>
      </c>
      <c r="CF90">
        <v>152</v>
      </c>
      <c r="CI90" t="s">
        <v>4799</v>
      </c>
    </row>
    <row r="91" spans="1:104" x14ac:dyDescent="0.25">
      <c r="A91" t="s">
        <v>237</v>
      </c>
      <c r="B91" t="s">
        <v>4898</v>
      </c>
      <c r="BF91">
        <v>5</v>
      </c>
      <c r="BG91">
        <v>18</v>
      </c>
      <c r="BH91">
        <v>19</v>
      </c>
      <c r="BK91" t="s">
        <v>4899</v>
      </c>
      <c r="CD91">
        <v>12</v>
      </c>
      <c r="CF91">
        <v>172</v>
      </c>
      <c r="CI91" t="s">
        <v>4802</v>
      </c>
      <c r="CT91" t="s">
        <v>379</v>
      </c>
    </row>
    <row r="92" spans="1:104" x14ac:dyDescent="0.25">
      <c r="A92" t="s">
        <v>239</v>
      </c>
      <c r="B92" t="s">
        <v>4900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4790</v>
      </c>
      <c r="CT92">
        <v>5</v>
      </c>
      <c r="CZ92" t="s">
        <v>379</v>
      </c>
    </row>
    <row r="93" spans="1:104" x14ac:dyDescent="0.25">
      <c r="A93" t="s">
        <v>485</v>
      </c>
      <c r="B93" t="s">
        <v>4901</v>
      </c>
      <c r="BF93">
        <v>5</v>
      </c>
      <c r="BG93">
        <v>18</v>
      </c>
      <c r="BH93">
        <v>43</v>
      </c>
      <c r="BK93" t="s">
        <v>4902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4903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4904</v>
      </c>
      <c r="BF95">
        <v>13</v>
      </c>
      <c r="BG95">
        <v>18</v>
      </c>
      <c r="BH95">
        <v>66</v>
      </c>
      <c r="BK95" t="s">
        <v>4783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4905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4770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4906</v>
      </c>
      <c r="BF98">
        <v>12</v>
      </c>
      <c r="BG98">
        <v>18</v>
      </c>
      <c r="BH98">
        <v>112</v>
      </c>
      <c r="BK98" t="s">
        <v>4799</v>
      </c>
      <c r="CT98">
        <v>5</v>
      </c>
    </row>
    <row r="99" spans="1:104" x14ac:dyDescent="0.25">
      <c r="A99" t="s">
        <v>252</v>
      </c>
      <c r="B99" t="s">
        <v>4907</v>
      </c>
      <c r="BF99">
        <v>12</v>
      </c>
      <c r="BH99">
        <v>132</v>
      </c>
      <c r="BK99" t="s">
        <v>4802</v>
      </c>
      <c r="CD99" t="s">
        <v>357</v>
      </c>
      <c r="CT99">
        <v>5</v>
      </c>
    </row>
    <row r="100" spans="1:104" x14ac:dyDescent="0.25">
      <c r="A100" t="s">
        <v>511</v>
      </c>
      <c r="B100" t="s">
        <v>4906</v>
      </c>
      <c r="BF100">
        <v>12</v>
      </c>
      <c r="BH100">
        <v>152</v>
      </c>
      <c r="BK100" t="s">
        <v>4790</v>
      </c>
      <c r="CD100" s="1" t="s">
        <v>674</v>
      </c>
      <c r="CG100">
        <v>577</v>
      </c>
      <c r="CH100">
        <v>281</v>
      </c>
      <c r="CI100" t="s">
        <v>4904</v>
      </c>
      <c r="CJ100">
        <v>5</v>
      </c>
      <c r="CT100">
        <v>5</v>
      </c>
      <c r="CU100">
        <v>23</v>
      </c>
      <c r="CV100">
        <v>131</v>
      </c>
      <c r="CY100" t="s">
        <v>4908</v>
      </c>
    </row>
    <row r="101" spans="1:104" x14ac:dyDescent="0.25">
      <c r="A101" t="s">
        <v>513</v>
      </c>
      <c r="B101" t="s">
        <v>4909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140</v>
      </c>
      <c r="CV101">
        <v>128</v>
      </c>
      <c r="CW101">
        <v>60</v>
      </c>
    </row>
    <row r="102" spans="1:104" x14ac:dyDescent="0.25">
      <c r="A102" t="s">
        <v>515</v>
      </c>
      <c r="B102" t="s">
        <v>4849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4767</v>
      </c>
      <c r="CT102">
        <v>5</v>
      </c>
      <c r="CU102">
        <v>25</v>
      </c>
      <c r="CV102">
        <v>108</v>
      </c>
      <c r="CY102" t="s">
        <v>4896</v>
      </c>
    </row>
    <row r="103" spans="1:104" x14ac:dyDescent="0.25">
      <c r="A103" t="s">
        <v>516</v>
      </c>
      <c r="B103" t="s">
        <v>4910</v>
      </c>
      <c r="BF103">
        <v>13</v>
      </c>
      <c r="BG103">
        <v>18</v>
      </c>
      <c r="BH103">
        <v>174</v>
      </c>
      <c r="BK103" t="s">
        <v>4911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4769</v>
      </c>
      <c r="CT103">
        <v>8</v>
      </c>
      <c r="CU103">
        <v>140</v>
      </c>
      <c r="CV103">
        <v>105</v>
      </c>
      <c r="CW103">
        <v>60</v>
      </c>
    </row>
    <row r="104" spans="1:104" x14ac:dyDescent="0.25">
      <c r="A104" t="s">
        <v>519</v>
      </c>
      <c r="B104" t="s">
        <v>4912</v>
      </c>
      <c r="BF104">
        <v>13</v>
      </c>
      <c r="BK104" t="s">
        <v>4913</v>
      </c>
      <c r="BL104" t="b">
        <v>0</v>
      </c>
      <c r="CD104">
        <v>5</v>
      </c>
      <c r="CE104">
        <v>17</v>
      </c>
      <c r="CF104">
        <v>18</v>
      </c>
      <c r="CI104" t="s">
        <v>4774</v>
      </c>
    </row>
    <row r="105" spans="1:104" x14ac:dyDescent="0.25">
      <c r="A105" t="s">
        <v>534</v>
      </c>
      <c r="B105" t="s">
        <v>1451</v>
      </c>
      <c r="BF105">
        <v>13</v>
      </c>
      <c r="BK105" t="s">
        <v>4809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4914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4782</v>
      </c>
      <c r="CT106">
        <v>5</v>
      </c>
      <c r="CZ106" t="s">
        <v>382</v>
      </c>
    </row>
    <row r="107" spans="1:104" x14ac:dyDescent="0.25">
      <c r="A107" t="s">
        <v>538</v>
      </c>
      <c r="B107" t="s">
        <v>4766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4915</v>
      </c>
      <c r="CD108">
        <v>5</v>
      </c>
      <c r="CE108">
        <v>17</v>
      </c>
      <c r="CF108">
        <v>68</v>
      </c>
      <c r="CI108" t="s">
        <v>4839</v>
      </c>
      <c r="CT108">
        <v>5</v>
      </c>
    </row>
    <row r="109" spans="1:104" x14ac:dyDescent="0.25">
      <c r="A109" t="s">
        <v>60</v>
      </c>
      <c r="B109" t="s">
        <v>4916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4917</v>
      </c>
      <c r="CD110">
        <v>5</v>
      </c>
      <c r="CE110">
        <v>17</v>
      </c>
      <c r="CF110">
        <v>95</v>
      </c>
      <c r="CI110" t="s">
        <v>4918</v>
      </c>
      <c r="CT110">
        <v>5</v>
      </c>
    </row>
    <row r="111" spans="1:104" x14ac:dyDescent="0.25">
      <c r="A111" t="s">
        <v>434</v>
      </c>
      <c r="B111" t="s">
        <v>4919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4920</v>
      </c>
      <c r="CD112">
        <v>5</v>
      </c>
      <c r="CE112">
        <v>17</v>
      </c>
      <c r="CF112">
        <v>119</v>
      </c>
      <c r="CI112" t="s">
        <v>4921</v>
      </c>
      <c r="CT112">
        <v>5</v>
      </c>
    </row>
    <row r="113" spans="1:104" x14ac:dyDescent="0.25">
      <c r="A113" t="s">
        <v>539</v>
      </c>
      <c r="B113" t="s">
        <v>4922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4923</v>
      </c>
      <c r="CD114">
        <v>13</v>
      </c>
      <c r="CE114">
        <v>17</v>
      </c>
      <c r="CF114">
        <v>143</v>
      </c>
      <c r="CI114" t="s">
        <v>4783</v>
      </c>
      <c r="CJ114" t="b">
        <v>0</v>
      </c>
      <c r="CT114">
        <v>5</v>
      </c>
    </row>
    <row r="115" spans="1:104" x14ac:dyDescent="0.25">
      <c r="A115" t="s">
        <v>543</v>
      </c>
      <c r="B115" t="s">
        <v>4760</v>
      </c>
      <c r="CD115">
        <v>5</v>
      </c>
      <c r="CE115">
        <v>17</v>
      </c>
      <c r="CF115">
        <v>168</v>
      </c>
      <c r="CI115" t="s">
        <v>1019</v>
      </c>
      <c r="CT115">
        <v>5</v>
      </c>
    </row>
    <row r="116" spans="1:104" x14ac:dyDescent="0.25">
      <c r="A116" t="s">
        <v>544</v>
      </c>
      <c r="B116" t="s">
        <v>4924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4925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4770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4926</v>
      </c>
      <c r="CD118">
        <v>111</v>
      </c>
      <c r="CJ118">
        <v>2</v>
      </c>
    </row>
    <row r="119" spans="1:104" x14ac:dyDescent="0.25">
      <c r="A119" t="s">
        <v>562</v>
      </c>
      <c r="B119" t="s">
        <v>4927</v>
      </c>
      <c r="CD119">
        <v>12</v>
      </c>
      <c r="CE119">
        <v>17</v>
      </c>
      <c r="CF119">
        <v>211</v>
      </c>
      <c r="CI119" t="s">
        <v>4799</v>
      </c>
      <c r="CT119" t="s">
        <v>332</v>
      </c>
    </row>
    <row r="120" spans="1:104" x14ac:dyDescent="0.25">
      <c r="A120" t="s">
        <v>366</v>
      </c>
      <c r="B120" t="s">
        <v>4928</v>
      </c>
      <c r="CD120">
        <v>12</v>
      </c>
      <c r="CF120">
        <v>231</v>
      </c>
      <c r="CI120" t="s">
        <v>4802</v>
      </c>
      <c r="CT120">
        <v>5</v>
      </c>
      <c r="CZ120" t="s">
        <v>332</v>
      </c>
    </row>
    <row r="121" spans="1:104" x14ac:dyDescent="0.25">
      <c r="A121" t="s">
        <v>368</v>
      </c>
      <c r="B121" t="s">
        <v>4929</v>
      </c>
      <c r="CD121">
        <v>12</v>
      </c>
      <c r="CF121">
        <v>251</v>
      </c>
      <c r="CI121" t="s">
        <v>4790</v>
      </c>
      <c r="CT121">
        <v>5</v>
      </c>
    </row>
    <row r="122" spans="1:104" x14ac:dyDescent="0.25">
      <c r="A122" t="s">
        <v>370</v>
      </c>
      <c r="B122" t="s">
        <v>4912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4930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4931</v>
      </c>
      <c r="CT125">
        <v>5</v>
      </c>
    </row>
    <row r="126" spans="1:104" x14ac:dyDescent="0.25">
      <c r="A126" t="s">
        <v>590</v>
      </c>
      <c r="B126" t="s">
        <v>4932</v>
      </c>
      <c r="CT126">
        <v>5</v>
      </c>
    </row>
    <row r="127" spans="1:104" x14ac:dyDescent="0.25">
      <c r="A127" t="s">
        <v>592</v>
      </c>
      <c r="B127" t="s">
        <v>4933</v>
      </c>
      <c r="CT127">
        <v>5</v>
      </c>
    </row>
    <row r="128" spans="1:104" x14ac:dyDescent="0.25">
      <c r="A128" t="s">
        <v>594</v>
      </c>
      <c r="B128" t="s">
        <v>4934</v>
      </c>
      <c r="CT128">
        <v>5</v>
      </c>
    </row>
    <row r="129" spans="1:104" x14ac:dyDescent="0.25">
      <c r="A129" t="s">
        <v>596</v>
      </c>
      <c r="B129" t="s">
        <v>4935</v>
      </c>
      <c r="CT129">
        <v>5</v>
      </c>
    </row>
    <row r="130" spans="1:104" x14ac:dyDescent="0.25">
      <c r="A130" t="s">
        <v>277</v>
      </c>
      <c r="B130" t="s">
        <v>4936</v>
      </c>
      <c r="CT130">
        <v>5</v>
      </c>
      <c r="CU130">
        <v>23</v>
      </c>
      <c r="CV130">
        <v>107</v>
      </c>
      <c r="CY130" t="s">
        <v>25</v>
      </c>
    </row>
    <row r="131" spans="1:104" x14ac:dyDescent="0.25">
      <c r="A131" t="s">
        <v>279</v>
      </c>
      <c r="B131" t="s">
        <v>4937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4938</v>
      </c>
    </row>
    <row r="133" spans="1:104" x14ac:dyDescent="0.25">
      <c r="A133" t="s">
        <v>283</v>
      </c>
      <c r="B133" t="s">
        <v>4939</v>
      </c>
    </row>
    <row r="134" spans="1:104" x14ac:dyDescent="0.25">
      <c r="A134" t="s">
        <v>285</v>
      </c>
      <c r="B134" t="s">
        <v>4940</v>
      </c>
      <c r="CT134" t="s">
        <v>287</v>
      </c>
    </row>
    <row r="135" spans="1:104" x14ac:dyDescent="0.25">
      <c r="A135" t="s">
        <v>288</v>
      </c>
      <c r="B135" t="s">
        <v>4941</v>
      </c>
      <c r="CT135" t="s">
        <v>507</v>
      </c>
    </row>
    <row r="136" spans="1:104" x14ac:dyDescent="0.25">
      <c r="A136" t="s">
        <v>290</v>
      </c>
      <c r="B136" t="s">
        <v>4942</v>
      </c>
      <c r="CT136" t="str">
        <f>mg01s.RandUniform</f>
        <v>Jednostajny</v>
      </c>
      <c r="CU136" t="s">
        <v>551</v>
      </c>
    </row>
    <row r="137" spans="1:104" x14ac:dyDescent="0.25">
      <c r="A137" t="s">
        <v>292</v>
      </c>
      <c r="B137" t="s">
        <v>4943</v>
      </c>
      <c r="CT137" t="str">
        <f>mg01s.RandNormal</f>
        <v>Normalny</v>
      </c>
      <c r="CU137" t="s">
        <v>554</v>
      </c>
    </row>
    <row r="138" spans="1:104" x14ac:dyDescent="0.25">
      <c r="A138" t="s">
        <v>609</v>
      </c>
      <c r="B138" t="s">
        <v>4944</v>
      </c>
      <c r="CT138" t="str">
        <f>mg01s.RandBernoulli</f>
        <v>Bernoulliego</v>
      </c>
      <c r="CU138" t="s">
        <v>376</v>
      </c>
    </row>
    <row r="139" spans="1:104" x14ac:dyDescent="0.25">
      <c r="A139" t="s">
        <v>611</v>
      </c>
      <c r="B139" t="s">
        <v>4945</v>
      </c>
      <c r="CT139" t="str">
        <f>mg01s.RandBinomial</f>
        <v>Dwumianowy</v>
      </c>
      <c r="CU139" t="s">
        <v>379</v>
      </c>
    </row>
    <row r="140" spans="1:104" x14ac:dyDescent="0.25">
      <c r="A140" t="s">
        <v>613</v>
      </c>
      <c r="B140" t="s">
        <v>4946</v>
      </c>
      <c r="CT140" t="str">
        <f>mg01s.RandPoisson</f>
        <v>Poissona</v>
      </c>
      <c r="CU140" t="s">
        <v>382</v>
      </c>
    </row>
    <row r="141" spans="1:104" x14ac:dyDescent="0.25">
      <c r="A141" t="s">
        <v>298</v>
      </c>
      <c r="B141" t="s">
        <v>4947</v>
      </c>
      <c r="CT141" t="str">
        <f>mg01s.RandPatterned</f>
        <v>Wg wzorca</v>
      </c>
      <c r="CU141" t="s">
        <v>599</v>
      </c>
    </row>
    <row r="142" spans="1:104" x14ac:dyDescent="0.25">
      <c r="A142" t="s">
        <v>92</v>
      </c>
      <c r="B142" t="s">
        <v>4765</v>
      </c>
      <c r="CT142" t="str">
        <f>mg01s.RandDiscrete</f>
        <v>Dyskretny</v>
      </c>
      <c r="CU142" t="s">
        <v>332</v>
      </c>
    </row>
    <row r="143" spans="1:104" x14ac:dyDescent="0.25">
      <c r="A143" t="s">
        <v>304</v>
      </c>
      <c r="B143" t="s">
        <v>4948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4949</v>
      </c>
    </row>
    <row r="147" spans="1:2" x14ac:dyDescent="0.25">
      <c r="A147" t="s">
        <v>313</v>
      </c>
      <c r="B147" t="s">
        <v>4950</v>
      </c>
    </row>
    <row r="148" spans="1:2" x14ac:dyDescent="0.25">
      <c r="A148" t="s">
        <v>102</v>
      </c>
      <c r="B148" t="s">
        <v>4951</v>
      </c>
    </row>
    <row r="149" spans="1:2" x14ac:dyDescent="0.25">
      <c r="A149" t="s">
        <v>319</v>
      </c>
      <c r="B149" t="s">
        <v>4952</v>
      </c>
    </row>
    <row r="150" spans="1:2" x14ac:dyDescent="0.25">
      <c r="A150" t="s">
        <v>105</v>
      </c>
      <c r="B150" t="s">
        <v>4953</v>
      </c>
    </row>
    <row r="151" spans="1:2" x14ac:dyDescent="0.25">
      <c r="A151" t="s">
        <v>323</v>
      </c>
      <c r="B151" t="s">
        <v>4954</v>
      </c>
    </row>
    <row r="152" spans="1:2" x14ac:dyDescent="0.25">
      <c r="A152" t="s">
        <v>108</v>
      </c>
      <c r="B152" t="s">
        <v>4955</v>
      </c>
    </row>
    <row r="153" spans="1:2" x14ac:dyDescent="0.25">
      <c r="A153" t="s">
        <v>110</v>
      </c>
      <c r="B153" t="s">
        <v>4956</v>
      </c>
    </row>
    <row r="154" spans="1:2" x14ac:dyDescent="0.25">
      <c r="A154" t="s">
        <v>112</v>
      </c>
      <c r="B154" t="s">
        <v>4957</v>
      </c>
    </row>
    <row r="155" spans="1:2" x14ac:dyDescent="0.25">
      <c r="A155" t="s">
        <v>336</v>
      </c>
      <c r="B155" t="s">
        <v>4958</v>
      </c>
    </row>
    <row r="156" spans="1:2" x14ac:dyDescent="0.25">
      <c r="A156" t="s">
        <v>120</v>
      </c>
      <c r="B156" t="s">
        <v>4959</v>
      </c>
    </row>
    <row r="157" spans="1:2" x14ac:dyDescent="0.25">
      <c r="A157" t="s">
        <v>349</v>
      </c>
      <c r="B157" t="s">
        <v>4960</v>
      </c>
    </row>
    <row r="158" spans="1:2" x14ac:dyDescent="0.25">
      <c r="A158" t="s">
        <v>350</v>
      </c>
      <c r="B158" t="s">
        <v>4961</v>
      </c>
    </row>
    <row r="159" spans="1:2" x14ac:dyDescent="0.25">
      <c r="A159" t="s">
        <v>438</v>
      </c>
      <c r="B159" t="s">
        <v>4962</v>
      </c>
    </row>
    <row r="160" spans="1:2" x14ac:dyDescent="0.25">
      <c r="A160" t="s">
        <v>353</v>
      </c>
      <c r="B160" t="s">
        <v>4963</v>
      </c>
    </row>
    <row r="161" spans="1:2" x14ac:dyDescent="0.25">
      <c r="A161" t="s">
        <v>355</v>
      </c>
      <c r="B161" t="s">
        <v>4964</v>
      </c>
    </row>
    <row r="162" spans="1:2" x14ac:dyDescent="0.25">
      <c r="A162" t="s">
        <v>129</v>
      </c>
      <c r="B162" t="s">
        <v>4965</v>
      </c>
    </row>
    <row r="163" spans="1:2" x14ac:dyDescent="0.25">
      <c r="A163" t="s">
        <v>363</v>
      </c>
      <c r="B163" t="s">
        <v>4966</v>
      </c>
    </row>
    <row r="164" spans="1:2" x14ac:dyDescent="0.25">
      <c r="A164" t="s">
        <v>365</v>
      </c>
      <c r="B164" t="s">
        <v>4967</v>
      </c>
    </row>
    <row r="165" spans="1:2" x14ac:dyDescent="0.25">
      <c r="A165" t="s">
        <v>374</v>
      </c>
      <c r="B165" t="s">
        <v>4968</v>
      </c>
    </row>
    <row r="166" spans="1:2" x14ac:dyDescent="0.25">
      <c r="A166" t="s">
        <v>135</v>
      </c>
      <c r="B166" t="s">
        <v>4969</v>
      </c>
    </row>
    <row r="167" spans="1:2" x14ac:dyDescent="0.25">
      <c r="A167" t="s">
        <v>137</v>
      </c>
      <c r="B167" t="s">
        <v>4970</v>
      </c>
    </row>
    <row r="168" spans="1:2" x14ac:dyDescent="0.25">
      <c r="A168" t="s">
        <v>139</v>
      </c>
      <c r="B168" t="s">
        <v>4971</v>
      </c>
    </row>
    <row r="169" spans="1:2" x14ac:dyDescent="0.25">
      <c r="A169" t="s">
        <v>384</v>
      </c>
      <c r="B169" t="s">
        <v>4972</v>
      </c>
    </row>
    <row r="170" spans="1:2" x14ac:dyDescent="0.25">
      <c r="A170" t="s">
        <v>462</v>
      </c>
      <c r="B170" t="s">
        <v>4973</v>
      </c>
    </row>
    <row r="171" spans="1:2" x14ac:dyDescent="0.25">
      <c r="A171" t="s">
        <v>464</v>
      </c>
      <c r="B171" t="s">
        <v>4974</v>
      </c>
    </row>
    <row r="172" spans="1:2" x14ac:dyDescent="0.25">
      <c r="A172" t="s">
        <v>388</v>
      </c>
      <c r="B172" t="s">
        <v>4975</v>
      </c>
    </row>
    <row r="173" spans="1:2" x14ac:dyDescent="0.25">
      <c r="A173" t="s">
        <v>147</v>
      </c>
      <c r="B173" t="s">
        <v>4976</v>
      </c>
    </row>
    <row r="174" spans="1:2" x14ac:dyDescent="0.25">
      <c r="A174" t="s">
        <v>385</v>
      </c>
      <c r="B174" t="s">
        <v>4977</v>
      </c>
    </row>
    <row r="175" spans="1:2" x14ac:dyDescent="0.25">
      <c r="A175" t="s">
        <v>151</v>
      </c>
      <c r="B175" t="s">
        <v>4978</v>
      </c>
    </row>
    <row r="176" spans="1:2" x14ac:dyDescent="0.25">
      <c r="A176" t="s">
        <v>406</v>
      </c>
      <c r="B176" t="s">
        <v>4979</v>
      </c>
    </row>
    <row r="177" spans="1:2" x14ac:dyDescent="0.25">
      <c r="A177" t="s">
        <v>408</v>
      </c>
      <c r="B177" t="s">
        <v>4980</v>
      </c>
    </row>
    <row r="178" spans="1:2" x14ac:dyDescent="0.25">
      <c r="A178" t="s">
        <v>503</v>
      </c>
      <c r="B178" t="s">
        <v>4981</v>
      </c>
    </row>
    <row r="179" spans="1:2" x14ac:dyDescent="0.25">
      <c r="A179" t="s">
        <v>410</v>
      </c>
      <c r="B179" t="s">
        <v>4982</v>
      </c>
    </row>
    <row r="180" spans="1:2" x14ac:dyDescent="0.25">
      <c r="A180" t="s">
        <v>412</v>
      </c>
      <c r="B180" t="s">
        <v>4983</v>
      </c>
    </row>
    <row r="181" spans="1:2" x14ac:dyDescent="0.25">
      <c r="A181" t="s">
        <v>161</v>
      </c>
      <c r="B181" t="s">
        <v>4984</v>
      </c>
    </row>
    <row r="182" spans="1:2" x14ac:dyDescent="0.25">
      <c r="A182" t="s">
        <v>415</v>
      </c>
      <c r="B182" t="s">
        <v>4985</v>
      </c>
    </row>
    <row r="183" spans="1:2" x14ac:dyDescent="0.25">
      <c r="A183" t="s">
        <v>173</v>
      </c>
      <c r="B183" t="s">
        <v>4986</v>
      </c>
    </row>
    <row r="184" spans="1:2" x14ac:dyDescent="0.25">
      <c r="A184" t="s">
        <v>167</v>
      </c>
      <c r="B184" t="s">
        <v>4987</v>
      </c>
    </row>
    <row r="185" spans="1:2" x14ac:dyDescent="0.25">
      <c r="A185" t="s">
        <v>169</v>
      </c>
      <c r="B185" t="s">
        <v>4988</v>
      </c>
    </row>
    <row r="186" spans="1:2" x14ac:dyDescent="0.25">
      <c r="A186" t="s">
        <v>444</v>
      </c>
      <c r="B186" t="s">
        <v>4989</v>
      </c>
    </row>
    <row r="187" spans="1:2" x14ac:dyDescent="0.25">
      <c r="A187" t="s">
        <v>18</v>
      </c>
      <c r="B187" t="s">
        <v>4990</v>
      </c>
    </row>
    <row r="188" spans="1:2" x14ac:dyDescent="0.25">
      <c r="A188" t="s">
        <v>175</v>
      </c>
      <c r="B188" t="s">
        <v>4991</v>
      </c>
    </row>
    <row r="189" spans="1:2" x14ac:dyDescent="0.25">
      <c r="A189" t="s">
        <v>181</v>
      </c>
      <c r="B189" t="s">
        <v>4992</v>
      </c>
    </row>
    <row r="190" spans="1:2" x14ac:dyDescent="0.25">
      <c r="A190" t="s">
        <v>64</v>
      </c>
      <c r="B190" t="s">
        <v>4993</v>
      </c>
    </row>
    <row r="191" spans="1:2" x14ac:dyDescent="0.25">
      <c r="A191" t="s">
        <v>185</v>
      </c>
      <c r="B191" t="s">
        <v>4994</v>
      </c>
    </row>
    <row r="192" spans="1:2" x14ac:dyDescent="0.25">
      <c r="A192" t="s">
        <v>192</v>
      </c>
      <c r="B192" t="s">
        <v>4995</v>
      </c>
    </row>
    <row r="193" spans="1:2" x14ac:dyDescent="0.25">
      <c r="A193" t="s">
        <v>67</v>
      </c>
      <c r="B193" t="s">
        <v>4996</v>
      </c>
    </row>
    <row r="194" spans="1:2" x14ac:dyDescent="0.25">
      <c r="A194" t="s">
        <v>197</v>
      </c>
      <c r="B194" t="s">
        <v>4997</v>
      </c>
    </row>
    <row r="195" spans="1:2" x14ac:dyDescent="0.25">
      <c r="A195" t="s">
        <v>199</v>
      </c>
      <c r="B195" t="s">
        <v>4998</v>
      </c>
    </row>
    <row r="196" spans="1:2" x14ac:dyDescent="0.25">
      <c r="A196" t="s">
        <v>44</v>
      </c>
      <c r="B196" t="s">
        <v>4999</v>
      </c>
    </row>
    <row r="197" spans="1:2" x14ac:dyDescent="0.25">
      <c r="A197" t="s">
        <v>46</v>
      </c>
      <c r="B197" t="s">
        <v>5000</v>
      </c>
    </row>
    <row r="198" spans="1:2" x14ac:dyDescent="0.25">
      <c r="A198" t="s">
        <v>212</v>
      </c>
      <c r="B198" t="s">
        <v>5001</v>
      </c>
    </row>
    <row r="199" spans="1:2" x14ac:dyDescent="0.25">
      <c r="A199" t="s">
        <v>215</v>
      </c>
      <c r="B199" t="s">
        <v>5002</v>
      </c>
    </row>
    <row r="200" spans="1:2" x14ac:dyDescent="0.25">
      <c r="A200" t="s">
        <v>77</v>
      </c>
      <c r="B200" t="s">
        <v>5003</v>
      </c>
    </row>
    <row r="201" spans="1:2" x14ac:dyDescent="0.25">
      <c r="A201" t="s">
        <v>223</v>
      </c>
      <c r="B201" t="s">
        <v>5004</v>
      </c>
    </row>
    <row r="202" spans="1:2" x14ac:dyDescent="0.25">
      <c r="A202" t="s">
        <v>1</v>
      </c>
      <c r="B202" t="s">
        <v>5005</v>
      </c>
    </row>
    <row r="203" spans="1:2" x14ac:dyDescent="0.25">
      <c r="A203" t="s">
        <v>225</v>
      </c>
      <c r="B203" t="s">
        <v>5006</v>
      </c>
    </row>
    <row r="204" spans="1:2" x14ac:dyDescent="0.25">
      <c r="A204" t="s">
        <v>4</v>
      </c>
      <c r="B204" t="s">
        <v>5007</v>
      </c>
    </row>
    <row r="205" spans="1:2" x14ac:dyDescent="0.25">
      <c r="A205" t="s">
        <v>233</v>
      </c>
      <c r="B205" t="s">
        <v>5008</v>
      </c>
    </row>
    <row r="206" spans="1:2" x14ac:dyDescent="0.25">
      <c r="A206" t="s">
        <v>6</v>
      </c>
      <c r="B206" t="s">
        <v>5009</v>
      </c>
    </row>
    <row r="207" spans="1:2" x14ac:dyDescent="0.25">
      <c r="A207" t="s">
        <v>241</v>
      </c>
      <c r="B207" t="s">
        <v>5010</v>
      </c>
    </row>
    <row r="208" spans="1:2" x14ac:dyDescent="0.25">
      <c r="A208" t="s">
        <v>11</v>
      </c>
      <c r="B208" t="s">
        <v>5011</v>
      </c>
    </row>
    <row r="209" spans="1:103" x14ac:dyDescent="0.25">
      <c r="A209" t="s">
        <v>13</v>
      </c>
      <c r="B209" t="s">
        <v>5012</v>
      </c>
    </row>
    <row r="210" spans="1:103" x14ac:dyDescent="0.25">
      <c r="A210" t="s">
        <v>254</v>
      </c>
      <c r="B210" t="s">
        <v>5013</v>
      </c>
    </row>
    <row r="211" spans="1:103" x14ac:dyDescent="0.25">
      <c r="A211" t="s">
        <v>256</v>
      </c>
      <c r="B211" t="s">
        <v>5014</v>
      </c>
    </row>
    <row r="212" spans="1:103" x14ac:dyDescent="0.25">
      <c r="A212" t="s">
        <v>258</v>
      </c>
      <c r="B212" t="s">
        <v>5015</v>
      </c>
    </row>
    <row r="213" spans="1:103" x14ac:dyDescent="0.25">
      <c r="A213" t="s">
        <v>533</v>
      </c>
      <c r="B213" t="s">
        <v>5016</v>
      </c>
      <c r="BS213" t="b">
        <v>1</v>
      </c>
    </row>
    <row r="214" spans="1:103" x14ac:dyDescent="0.25">
      <c r="A214" t="s">
        <v>17</v>
      </c>
      <c r="B214" t="s">
        <v>5017</v>
      </c>
    </row>
    <row r="215" spans="1:103" x14ac:dyDescent="0.25">
      <c r="A215" t="s">
        <v>265</v>
      </c>
      <c r="B215" t="s">
        <v>5018</v>
      </c>
    </row>
    <row r="216" spans="1:103" x14ac:dyDescent="0.25">
      <c r="A216" t="s">
        <v>550</v>
      </c>
      <c r="B216" t="s">
        <v>5019</v>
      </c>
    </row>
    <row r="217" spans="1:103" x14ac:dyDescent="0.25">
      <c r="A217" t="s">
        <v>267</v>
      </c>
      <c r="B217" t="s">
        <v>5020</v>
      </c>
    </row>
    <row r="218" spans="1:103" x14ac:dyDescent="0.25">
      <c r="A218" t="s">
        <v>262</v>
      </c>
      <c r="B218" t="s">
        <v>5021</v>
      </c>
    </row>
    <row r="219" spans="1:103" x14ac:dyDescent="0.25">
      <c r="A219" t="s">
        <v>272</v>
      </c>
      <c r="B219" t="s">
        <v>5022</v>
      </c>
    </row>
    <row r="220" spans="1:103" x14ac:dyDescent="0.25">
      <c r="A220" t="s">
        <v>36</v>
      </c>
      <c r="B220" t="s">
        <v>5023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5024</v>
      </c>
      <c r="AE221" t="b">
        <v>1</v>
      </c>
    </row>
    <row r="222" spans="1:103" x14ac:dyDescent="0.25">
      <c r="A222" t="s">
        <v>269</v>
      </c>
      <c r="B222" t="s">
        <v>5025</v>
      </c>
      <c r="CY222" t="b">
        <v>1</v>
      </c>
    </row>
    <row r="223" spans="1:103" x14ac:dyDescent="0.25">
      <c r="A223" t="s">
        <v>40</v>
      </c>
      <c r="B223" t="s">
        <v>5026</v>
      </c>
    </row>
    <row r="224" spans="1:103" x14ac:dyDescent="0.25">
      <c r="A224" t="s">
        <v>42</v>
      </c>
      <c r="B224" t="s">
        <v>5027</v>
      </c>
      <c r="CI224" t="b">
        <v>1</v>
      </c>
    </row>
    <row r="225" spans="1:2" x14ac:dyDescent="0.25">
      <c r="A225" t="s">
        <v>275</v>
      </c>
      <c r="B225" t="s">
        <v>5028</v>
      </c>
    </row>
    <row r="226" spans="1:2" x14ac:dyDescent="0.25">
      <c r="A226" t="s">
        <v>73</v>
      </c>
      <c r="B226" t="s">
        <v>5029</v>
      </c>
    </row>
    <row r="227" spans="1:2" x14ac:dyDescent="0.25">
      <c r="A227" t="s">
        <v>75</v>
      </c>
      <c r="B227" t="s">
        <v>5030</v>
      </c>
    </row>
    <row r="228" spans="1:2" x14ac:dyDescent="0.25">
      <c r="A228" t="s">
        <v>88</v>
      </c>
      <c r="B228" t="s">
        <v>5031</v>
      </c>
    </row>
    <row r="229" spans="1:2" x14ac:dyDescent="0.25">
      <c r="A229" t="s">
        <v>49</v>
      </c>
      <c r="B229" t="s">
        <v>5032</v>
      </c>
    </row>
    <row r="230" spans="1:2" x14ac:dyDescent="0.25">
      <c r="A230" t="s">
        <v>51</v>
      </c>
      <c r="B230" t="s">
        <v>5033</v>
      </c>
    </row>
    <row r="231" spans="1:2" x14ac:dyDescent="0.25">
      <c r="A231" t="s">
        <v>53</v>
      </c>
      <c r="B231" t="s">
        <v>5034</v>
      </c>
    </row>
    <row r="232" spans="1:2" x14ac:dyDescent="0.25">
      <c r="A232" t="s">
        <v>55</v>
      </c>
      <c r="B232" t="s">
        <v>5035</v>
      </c>
    </row>
    <row r="233" spans="1:2" x14ac:dyDescent="0.25">
      <c r="A233" t="s">
        <v>57</v>
      </c>
      <c r="B233" t="s">
        <v>5036</v>
      </c>
    </row>
    <row r="234" spans="1:2" x14ac:dyDescent="0.25">
      <c r="A234" t="s">
        <v>59</v>
      </c>
      <c r="B234" t="s">
        <v>5037</v>
      </c>
    </row>
    <row r="235" spans="1:2" x14ac:dyDescent="0.25">
      <c r="A235" t="s">
        <v>24</v>
      </c>
      <c r="B235" t="s">
        <v>5038</v>
      </c>
    </row>
    <row r="236" spans="1:2" x14ac:dyDescent="0.25">
      <c r="A236" t="s">
        <v>32</v>
      </c>
      <c r="B236" t="s">
        <v>5039</v>
      </c>
    </row>
    <row r="237" spans="1:2" x14ac:dyDescent="0.25">
      <c r="A237" t="s">
        <v>101</v>
      </c>
      <c r="B237" t="s">
        <v>5040</v>
      </c>
    </row>
    <row r="238" spans="1:2" x14ac:dyDescent="0.25">
      <c r="A238" t="s">
        <v>159</v>
      </c>
      <c r="B238" t="s">
        <v>5041</v>
      </c>
    </row>
    <row r="239" spans="1:2" x14ac:dyDescent="0.25">
      <c r="A239" t="s">
        <v>107</v>
      </c>
      <c r="B239" t="s">
        <v>5042</v>
      </c>
    </row>
    <row r="240" spans="1:2" x14ac:dyDescent="0.25">
      <c r="A240" t="s">
        <v>15</v>
      </c>
      <c r="B240" t="s">
        <v>5043</v>
      </c>
    </row>
    <row r="241" spans="1:2" x14ac:dyDescent="0.25">
      <c r="A241" t="s">
        <v>171</v>
      </c>
      <c r="B241" t="s">
        <v>5044</v>
      </c>
    </row>
    <row r="242" spans="1:2" x14ac:dyDescent="0.25">
      <c r="A242" t="s">
        <v>117</v>
      </c>
      <c r="B242" t="s">
        <v>5045</v>
      </c>
    </row>
    <row r="243" spans="1:2" x14ac:dyDescent="0.25">
      <c r="A243" t="s">
        <v>119</v>
      </c>
      <c r="B243" t="s">
        <v>5046</v>
      </c>
    </row>
    <row r="244" spans="1:2" x14ac:dyDescent="0.25">
      <c r="A244" t="s">
        <v>122</v>
      </c>
      <c r="B244" t="s">
        <v>5047</v>
      </c>
    </row>
    <row r="245" spans="1:2" x14ac:dyDescent="0.25">
      <c r="A245" t="s">
        <v>176</v>
      </c>
      <c r="B245" t="s">
        <v>5048</v>
      </c>
    </row>
    <row r="246" spans="1:2" x14ac:dyDescent="0.25">
      <c r="A246" t="s">
        <v>126</v>
      </c>
      <c r="B246" t="s">
        <v>5049</v>
      </c>
    </row>
    <row r="247" spans="1:2" x14ac:dyDescent="0.25">
      <c r="A247" t="s">
        <v>130</v>
      </c>
      <c r="B247" t="s">
        <v>5050</v>
      </c>
    </row>
    <row r="248" spans="1:2" x14ac:dyDescent="0.25">
      <c r="A248" t="s">
        <v>39</v>
      </c>
      <c r="B248" t="s">
        <v>5051</v>
      </c>
    </row>
    <row r="249" spans="1:2" x14ac:dyDescent="0.25">
      <c r="A249" t="s">
        <v>133</v>
      </c>
      <c r="B249" t="s">
        <v>5052</v>
      </c>
    </row>
    <row r="250" spans="1:2" x14ac:dyDescent="0.25">
      <c r="A250" t="s">
        <v>69</v>
      </c>
      <c r="B250" t="s">
        <v>5053</v>
      </c>
    </row>
    <row r="251" spans="1:2" x14ac:dyDescent="0.25">
      <c r="A251" t="s">
        <v>71</v>
      </c>
      <c r="B251" t="s">
        <v>5054</v>
      </c>
    </row>
    <row r="252" spans="1:2" x14ac:dyDescent="0.25">
      <c r="A252" t="s">
        <v>141</v>
      </c>
      <c r="B252" t="s">
        <v>5055</v>
      </c>
    </row>
    <row r="253" spans="1:2" x14ac:dyDescent="0.25">
      <c r="A253" t="s">
        <v>143</v>
      </c>
      <c r="B253" t="s">
        <v>5056</v>
      </c>
    </row>
    <row r="254" spans="1:2" x14ac:dyDescent="0.25">
      <c r="A254" t="s">
        <v>145</v>
      </c>
      <c r="B254" t="s">
        <v>5057</v>
      </c>
    </row>
    <row r="255" spans="1:2" x14ac:dyDescent="0.25">
      <c r="A255" t="s">
        <v>386</v>
      </c>
      <c r="B255" t="s">
        <v>5058</v>
      </c>
    </row>
    <row r="256" spans="1:2" x14ac:dyDescent="0.25">
      <c r="A256" t="s">
        <v>30</v>
      </c>
      <c r="B256" t="s">
        <v>5059</v>
      </c>
    </row>
    <row r="257" spans="1:2" x14ac:dyDescent="0.25">
      <c r="A257" t="s">
        <v>33</v>
      </c>
      <c r="B257" t="s">
        <v>5060</v>
      </c>
    </row>
    <row r="258" spans="1:2" x14ac:dyDescent="0.25">
      <c r="A258" t="s">
        <v>153</v>
      </c>
      <c r="B258" t="s">
        <v>5061</v>
      </c>
    </row>
    <row r="259" spans="1:2" x14ac:dyDescent="0.25">
      <c r="A259" t="s">
        <v>155</v>
      </c>
      <c r="B259" t="s">
        <v>5062</v>
      </c>
    </row>
    <row r="260" spans="1:2" x14ac:dyDescent="0.25">
      <c r="A260" t="s">
        <v>157</v>
      </c>
      <c r="B260" t="s">
        <v>5063</v>
      </c>
    </row>
    <row r="261" spans="1:2" x14ac:dyDescent="0.25">
      <c r="A261" t="s">
        <v>3</v>
      </c>
      <c r="B261" t="s">
        <v>5064</v>
      </c>
    </row>
    <row r="262" spans="1:2" x14ac:dyDescent="0.25">
      <c r="A262" t="s">
        <v>78</v>
      </c>
      <c r="B262" t="s">
        <v>5065</v>
      </c>
    </row>
    <row r="263" spans="1:2" x14ac:dyDescent="0.25">
      <c r="A263" t="s">
        <v>80</v>
      </c>
      <c r="B263" t="s">
        <v>5066</v>
      </c>
    </row>
    <row r="264" spans="1:2" x14ac:dyDescent="0.25">
      <c r="A264" t="s">
        <v>82</v>
      </c>
      <c r="B264" t="s">
        <v>5067</v>
      </c>
    </row>
    <row r="265" spans="1:2" x14ac:dyDescent="0.25">
      <c r="A265" t="s">
        <v>84</v>
      </c>
      <c r="B265" t="s">
        <v>5068</v>
      </c>
    </row>
    <row r="266" spans="1:2" x14ac:dyDescent="0.25">
      <c r="A266" t="s">
        <v>86</v>
      </c>
      <c r="B266" t="s">
        <v>5069</v>
      </c>
    </row>
    <row r="267" spans="1:2" x14ac:dyDescent="0.25">
      <c r="A267" t="s">
        <v>29</v>
      </c>
      <c r="B267" t="s">
        <v>5070</v>
      </c>
    </row>
    <row r="268" spans="1:2" x14ac:dyDescent="0.25">
      <c r="A268" t="s">
        <v>90</v>
      </c>
      <c r="B268" t="s">
        <v>5071</v>
      </c>
    </row>
    <row r="269" spans="1:2" x14ac:dyDescent="0.25">
      <c r="A269" t="s">
        <v>95</v>
      </c>
      <c r="B269" t="s">
        <v>5072</v>
      </c>
    </row>
    <row r="270" spans="1:2" x14ac:dyDescent="0.25">
      <c r="A270" t="s">
        <v>2</v>
      </c>
      <c r="B270" t="s">
        <v>5073</v>
      </c>
    </row>
    <row r="271" spans="1:2" x14ac:dyDescent="0.25">
      <c r="A271" t="s">
        <v>7</v>
      </c>
      <c r="B271" t="s">
        <v>5074</v>
      </c>
    </row>
    <row r="273" spans="1:2" x14ac:dyDescent="0.25">
      <c r="A273" t="s">
        <v>9</v>
      </c>
      <c r="B273" t="s">
        <v>5075</v>
      </c>
    </row>
    <row r="274" spans="1:2" x14ac:dyDescent="0.25">
      <c r="A274" t="s">
        <v>163</v>
      </c>
      <c r="B274" t="s">
        <v>5076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4815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551</v>
      </c>
      <c r="AD2">
        <v>152</v>
      </c>
      <c r="AE2" t="s">
        <v>2292</v>
      </c>
      <c r="AF2">
        <v>4</v>
      </c>
      <c r="AH2" s="1" t="s">
        <v>656</v>
      </c>
      <c r="AK2">
        <v>515</v>
      </c>
      <c r="AL2">
        <v>223</v>
      </c>
      <c r="AM2" t="s">
        <v>6874</v>
      </c>
      <c r="AN2">
        <v>5</v>
      </c>
      <c r="AP2" s="1" t="s">
        <v>657</v>
      </c>
      <c r="AS2">
        <v>546</v>
      </c>
      <c r="AT2">
        <v>312</v>
      </c>
      <c r="AU2" t="s">
        <v>2241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2242</v>
      </c>
      <c r="BL2">
        <v>5</v>
      </c>
      <c r="BN2" s="1" t="s">
        <v>659</v>
      </c>
      <c r="BQ2">
        <v>523</v>
      </c>
      <c r="BR2">
        <v>293</v>
      </c>
      <c r="BS2" t="s">
        <v>2243</v>
      </c>
      <c r="BT2">
        <v>5</v>
      </c>
      <c r="BV2" s="1" t="s">
        <v>660</v>
      </c>
      <c r="BY2">
        <v>523</v>
      </c>
      <c r="BZ2">
        <v>195</v>
      </c>
      <c r="CA2" t="s">
        <v>2244</v>
      </c>
      <c r="CB2">
        <v>5</v>
      </c>
      <c r="CD2" s="1" t="s">
        <v>661</v>
      </c>
      <c r="CG2">
        <v>523</v>
      </c>
      <c r="CH2">
        <v>203</v>
      </c>
      <c r="CI2" t="s">
        <v>6875</v>
      </c>
      <c r="CJ2">
        <v>5</v>
      </c>
      <c r="CL2" s="1" t="s">
        <v>662</v>
      </c>
      <c r="CO2">
        <v>523</v>
      </c>
      <c r="CP2">
        <v>263</v>
      </c>
      <c r="CQ2" t="s">
        <v>2246</v>
      </c>
      <c r="CR2">
        <v>5</v>
      </c>
      <c r="CT2" s="1" t="s">
        <v>663</v>
      </c>
      <c r="CW2">
        <v>516</v>
      </c>
      <c r="CX2">
        <v>298</v>
      </c>
      <c r="CY2" t="s">
        <v>2247</v>
      </c>
      <c r="CZ2">
        <v>4</v>
      </c>
    </row>
    <row r="3" spans="1:104" x14ac:dyDescent="0.25">
      <c r="W3" t="str">
        <f>dbCorrelationTitle</f>
        <v>Correlação</v>
      </c>
      <c r="Z3">
        <v>1</v>
      </c>
      <c r="AA3">
        <v>449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449</v>
      </c>
      <c r="AB4">
        <v>30</v>
      </c>
      <c r="AC4">
        <v>88</v>
      </c>
      <c r="AE4" t="s">
        <v>2248</v>
      </c>
      <c r="AH4">
        <v>2</v>
      </c>
      <c r="AI4">
        <v>412</v>
      </c>
      <c r="AJ4">
        <v>30</v>
      </c>
      <c r="AK4">
        <v>90</v>
      </c>
      <c r="AM4" t="s">
        <v>2248</v>
      </c>
      <c r="AP4">
        <v>2</v>
      </c>
      <c r="AQ4">
        <v>443</v>
      </c>
      <c r="AR4">
        <v>31</v>
      </c>
      <c r="AS4">
        <v>90</v>
      </c>
      <c r="AU4" t="s">
        <v>2248</v>
      </c>
      <c r="AX4">
        <v>2</v>
      </c>
      <c r="AY4">
        <v>418</v>
      </c>
      <c r="AZ4">
        <v>33</v>
      </c>
      <c r="BA4">
        <v>104</v>
      </c>
      <c r="BC4" t="s">
        <v>2248</v>
      </c>
      <c r="BF4">
        <v>2</v>
      </c>
      <c r="BG4">
        <v>407</v>
      </c>
      <c r="BH4">
        <v>30</v>
      </c>
      <c r="BI4">
        <v>90</v>
      </c>
      <c r="BK4" t="s">
        <v>2248</v>
      </c>
      <c r="BN4">
        <v>2</v>
      </c>
      <c r="BO4">
        <v>407</v>
      </c>
      <c r="BP4">
        <v>30</v>
      </c>
      <c r="BQ4">
        <v>90</v>
      </c>
      <c r="BS4" t="s">
        <v>2248</v>
      </c>
      <c r="BV4">
        <v>2</v>
      </c>
      <c r="BW4">
        <v>407</v>
      </c>
      <c r="BX4">
        <v>30</v>
      </c>
      <c r="BY4">
        <v>90</v>
      </c>
      <c r="CA4" t="s">
        <v>2248</v>
      </c>
      <c r="CD4">
        <v>2</v>
      </c>
      <c r="CE4">
        <v>407</v>
      </c>
      <c r="CF4">
        <v>30</v>
      </c>
      <c r="CG4">
        <v>90</v>
      </c>
      <c r="CI4" t="s">
        <v>2248</v>
      </c>
      <c r="CL4">
        <v>2</v>
      </c>
      <c r="CM4">
        <v>407</v>
      </c>
      <c r="CN4">
        <v>30</v>
      </c>
      <c r="CO4">
        <v>90</v>
      </c>
      <c r="CQ4" t="s">
        <v>2248</v>
      </c>
      <c r="CT4">
        <v>2</v>
      </c>
      <c r="CU4">
        <v>410</v>
      </c>
      <c r="CV4">
        <v>31</v>
      </c>
      <c r="CW4">
        <v>90</v>
      </c>
      <c r="CY4" t="s">
        <v>2248</v>
      </c>
    </row>
    <row r="5" spans="1:104" x14ac:dyDescent="0.25">
      <c r="T5">
        <v>0</v>
      </c>
      <c r="U5" t="str">
        <f>dbAnova1Title</f>
        <v>Anova: fator único</v>
      </c>
      <c r="V5">
        <v>0</v>
      </c>
      <c r="W5" t="str">
        <f>dbAnova1Title</f>
        <v>Anova: fator único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2249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2250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2250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2251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2250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2250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2250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2250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2250</v>
      </c>
      <c r="CT5">
        <v>5</v>
      </c>
      <c r="CU5">
        <v>17</v>
      </c>
      <c r="CV5">
        <v>12</v>
      </c>
      <c r="CY5" t="s">
        <v>6876</v>
      </c>
    </row>
    <row r="6" spans="1:104" x14ac:dyDescent="0.25">
      <c r="T6">
        <v>1</v>
      </c>
      <c r="U6" t="str">
        <f>dbAnova2Title</f>
        <v>Anova: fator duplo com repetição</v>
      </c>
      <c r="V6">
        <v>1</v>
      </c>
      <c r="W6" t="str">
        <f>dbAnova2Title</f>
        <v>Anova: fator duplo com repetição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419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2253</v>
      </c>
      <c r="AP6">
        <v>5</v>
      </c>
      <c r="AQ6">
        <v>24</v>
      </c>
      <c r="AR6">
        <v>22</v>
      </c>
      <c r="AU6" t="s">
        <v>6877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2253</v>
      </c>
      <c r="BN6">
        <v>5</v>
      </c>
      <c r="BO6">
        <v>18</v>
      </c>
      <c r="BP6">
        <v>19</v>
      </c>
      <c r="BS6" t="s">
        <v>2253</v>
      </c>
      <c r="BV6">
        <v>5</v>
      </c>
      <c r="BW6">
        <v>18</v>
      </c>
      <c r="BX6">
        <v>19</v>
      </c>
      <c r="CA6" t="s">
        <v>2253</v>
      </c>
      <c r="CD6">
        <v>5</v>
      </c>
      <c r="CE6">
        <v>18</v>
      </c>
      <c r="CF6">
        <v>19</v>
      </c>
      <c r="CI6" t="s">
        <v>2255</v>
      </c>
      <c r="CL6">
        <v>5</v>
      </c>
      <c r="CM6">
        <v>18</v>
      </c>
      <c r="CN6">
        <v>19</v>
      </c>
      <c r="CQ6" t="s">
        <v>2253</v>
      </c>
      <c r="CT6">
        <v>7</v>
      </c>
      <c r="CU6">
        <v>224</v>
      </c>
      <c r="CV6">
        <v>10</v>
      </c>
      <c r="CW6">
        <v>170</v>
      </c>
    </row>
    <row r="7" spans="1:104" x14ac:dyDescent="0.25">
      <c r="T7">
        <v>2</v>
      </c>
      <c r="U7" t="str">
        <f>dbAnova3Title</f>
        <v>Anova: fator duplo sem repetição</v>
      </c>
      <c r="V7">
        <v>2</v>
      </c>
      <c r="W7" t="str">
        <f>dbAnova3Title</f>
        <v>Anova: fator duplo sem repetição</v>
      </c>
      <c r="X7" t="s">
        <v>315</v>
      </c>
      <c r="Y7" s="1" t="s">
        <v>665</v>
      </c>
      <c r="Z7">
        <v>24</v>
      </c>
      <c r="AA7">
        <v>449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6878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6879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Correlação</v>
      </c>
      <c r="V8">
        <v>3</v>
      </c>
      <c r="W8" t="str">
        <f>dbCorrelationTitle</f>
        <v>Correlação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2258</v>
      </c>
      <c r="AP8">
        <v>5</v>
      </c>
      <c r="AQ8">
        <v>24</v>
      </c>
      <c r="AR8">
        <v>48</v>
      </c>
      <c r="AU8" t="s">
        <v>6880</v>
      </c>
      <c r="AX8">
        <v>12</v>
      </c>
      <c r="AZ8">
        <v>90</v>
      </c>
      <c r="BC8" t="s">
        <v>6881</v>
      </c>
      <c r="BF8">
        <v>5</v>
      </c>
      <c r="BG8">
        <v>18</v>
      </c>
      <c r="BH8">
        <v>44</v>
      </c>
      <c r="BK8" t="s">
        <v>2258</v>
      </c>
      <c r="BN8">
        <v>5</v>
      </c>
      <c r="BO8">
        <v>18</v>
      </c>
      <c r="BP8">
        <v>44</v>
      </c>
      <c r="BS8" t="s">
        <v>2258</v>
      </c>
      <c r="BV8">
        <v>5</v>
      </c>
      <c r="BW8">
        <v>17</v>
      </c>
      <c r="BX8">
        <v>40</v>
      </c>
      <c r="CA8" t="s">
        <v>6882</v>
      </c>
      <c r="CD8">
        <v>5</v>
      </c>
      <c r="CE8">
        <v>18</v>
      </c>
      <c r="CF8">
        <v>41</v>
      </c>
      <c r="CI8" t="s">
        <v>2262</v>
      </c>
      <c r="CL8">
        <v>13</v>
      </c>
      <c r="CM8">
        <v>18</v>
      </c>
      <c r="CN8">
        <v>39</v>
      </c>
      <c r="CQ8" t="s">
        <v>2263</v>
      </c>
      <c r="CR8" t="b">
        <v>0</v>
      </c>
      <c r="CT8">
        <v>7</v>
      </c>
      <c r="CU8">
        <v>224</v>
      </c>
      <c r="CV8">
        <v>34</v>
      </c>
      <c r="CW8">
        <v>170</v>
      </c>
    </row>
    <row r="9" spans="1:104" x14ac:dyDescent="0.25">
      <c r="A9" t="s">
        <v>481</v>
      </c>
      <c r="B9" t="s">
        <v>4798</v>
      </c>
      <c r="T9">
        <v>4</v>
      </c>
      <c r="U9" t="str">
        <f>dbCovarianceTitle</f>
        <v>Covariância</v>
      </c>
      <c r="V9">
        <v>4</v>
      </c>
      <c r="W9" t="str">
        <f>dbCovarianceTitle</f>
        <v>Covariância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6883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2265</v>
      </c>
      <c r="CT9">
        <v>5</v>
      </c>
      <c r="CU9">
        <v>17</v>
      </c>
      <c r="CV9">
        <v>63</v>
      </c>
      <c r="CY9" t="s">
        <v>2266</v>
      </c>
    </row>
    <row r="10" spans="1:104" x14ac:dyDescent="0.25">
      <c r="A10" t="s">
        <v>505</v>
      </c>
      <c r="B10" t="s">
        <v>2267</v>
      </c>
      <c r="T10">
        <v>5</v>
      </c>
      <c r="U10" t="str">
        <f>dbDescripTitle</f>
        <v>Estatística descritiva</v>
      </c>
      <c r="V10">
        <v>5</v>
      </c>
      <c r="W10" t="str">
        <f>dbDescripTitle</f>
        <v>Estatística descritiva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2268</v>
      </c>
      <c r="AP10">
        <v>13</v>
      </c>
      <c r="AQ10">
        <v>25</v>
      </c>
      <c r="AR10">
        <v>75</v>
      </c>
      <c r="AU10" t="s">
        <v>2263</v>
      </c>
      <c r="AV10" t="b">
        <v>0</v>
      </c>
      <c r="AX10">
        <v>12</v>
      </c>
      <c r="AZ10">
        <v>130</v>
      </c>
      <c r="BC10" t="s">
        <v>6884</v>
      </c>
      <c r="BF10">
        <v>12</v>
      </c>
      <c r="BG10">
        <v>220</v>
      </c>
      <c r="BH10">
        <v>40</v>
      </c>
      <c r="BK10" t="s">
        <v>2268</v>
      </c>
      <c r="BN10">
        <v>12</v>
      </c>
      <c r="BO10">
        <v>220</v>
      </c>
      <c r="BP10">
        <v>40</v>
      </c>
      <c r="BS10" t="s">
        <v>2268</v>
      </c>
      <c r="BV10">
        <v>13</v>
      </c>
      <c r="BW10">
        <v>17</v>
      </c>
      <c r="BX10">
        <v>60</v>
      </c>
      <c r="CA10" t="s">
        <v>2263</v>
      </c>
      <c r="CB10" t="b">
        <v>0</v>
      </c>
      <c r="CD10">
        <v>13</v>
      </c>
      <c r="CE10">
        <v>18</v>
      </c>
      <c r="CF10">
        <v>64</v>
      </c>
      <c r="CI10" t="s">
        <v>2263</v>
      </c>
      <c r="CJ10" t="b">
        <v>0</v>
      </c>
      <c r="CL10">
        <v>111</v>
      </c>
      <c r="CR10">
        <v>2</v>
      </c>
      <c r="CT10">
        <v>121</v>
      </c>
      <c r="CU10">
        <v>224</v>
      </c>
      <c r="CV10">
        <v>61</v>
      </c>
      <c r="CW10">
        <v>170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2270</v>
      </c>
      <c r="T11">
        <v>6</v>
      </c>
      <c r="U11" t="str">
        <f>dbExponentTitle</f>
        <v>Ajuste exponencial</v>
      </c>
      <c r="V11">
        <v>6</v>
      </c>
      <c r="W11" t="str">
        <f>dbExponentTitle</f>
        <v>Ajuste exponencial</v>
      </c>
      <c r="X11" t="s">
        <v>452</v>
      </c>
      <c r="Y11" s="1" t="s">
        <v>660</v>
      </c>
      <c r="AH11">
        <v>12</v>
      </c>
      <c r="AM11" t="s">
        <v>6885</v>
      </c>
      <c r="AP11">
        <v>13</v>
      </c>
      <c r="AQ11">
        <v>210</v>
      </c>
      <c r="AR11">
        <v>75</v>
      </c>
      <c r="AU11" t="s">
        <v>2272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6886</v>
      </c>
      <c r="BF11">
        <v>12</v>
      </c>
      <c r="BK11" t="s">
        <v>6885</v>
      </c>
      <c r="BN11">
        <v>12</v>
      </c>
      <c r="BS11" t="s">
        <v>6885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2251</v>
      </c>
      <c r="CD11">
        <v>5</v>
      </c>
      <c r="CE11">
        <v>18</v>
      </c>
      <c r="CF11">
        <v>85</v>
      </c>
      <c r="CI11" t="s">
        <v>4183</v>
      </c>
      <c r="CL11">
        <v>12</v>
      </c>
      <c r="CM11">
        <v>18</v>
      </c>
      <c r="CN11">
        <v>82</v>
      </c>
      <c r="CQ11" t="s">
        <v>2274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2275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Teste-F: duas amostras para variâncias</v>
      </c>
      <c r="V12">
        <v>7</v>
      </c>
      <c r="W12" t="str">
        <f>dbFTestTitle</f>
        <v>Teste-F: duas amostras para variâncias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2270</v>
      </c>
      <c r="AN12" t="b">
        <v>0</v>
      </c>
      <c r="AP12">
        <v>113</v>
      </c>
      <c r="AQ12">
        <v>25</v>
      </c>
      <c r="AR12">
        <v>93</v>
      </c>
      <c r="AU12" t="s">
        <v>6887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6888</v>
      </c>
      <c r="BF12">
        <v>13</v>
      </c>
      <c r="BG12">
        <v>20</v>
      </c>
      <c r="BH12">
        <v>75</v>
      </c>
      <c r="BK12" t="s">
        <v>2270</v>
      </c>
      <c r="BL12" t="b">
        <v>0</v>
      </c>
      <c r="BN12">
        <v>13</v>
      </c>
      <c r="BO12">
        <v>18</v>
      </c>
      <c r="BP12">
        <v>75</v>
      </c>
      <c r="BS12" t="s">
        <v>2270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6889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Análise de Fourier</v>
      </c>
      <c r="V13">
        <v>8</v>
      </c>
      <c r="W13" t="str">
        <f>dbFourierTitle</f>
        <v>Análise de Fourier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4183</v>
      </c>
      <c r="AP13">
        <v>208</v>
      </c>
      <c r="AQ13">
        <v>210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2251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2251</v>
      </c>
      <c r="BV13">
        <v>5</v>
      </c>
      <c r="BW13">
        <v>17</v>
      </c>
      <c r="BX13">
        <v>99</v>
      </c>
      <c r="CA13" t="s">
        <v>6890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2251</v>
      </c>
      <c r="CL13">
        <v>5</v>
      </c>
      <c r="CM13">
        <v>42</v>
      </c>
      <c r="CN13">
        <v>103</v>
      </c>
      <c r="CQ13" t="s">
        <v>2279</v>
      </c>
      <c r="CT13">
        <v>5</v>
      </c>
    </row>
    <row r="14" spans="1:104" x14ac:dyDescent="0.25">
      <c r="A14" t="s">
        <v>404</v>
      </c>
      <c r="B14" t="s">
        <v>2280</v>
      </c>
      <c r="T14">
        <v>9</v>
      </c>
      <c r="U14" t="str">
        <f>dbHistogramTitle</f>
        <v>Histograma</v>
      </c>
      <c r="V14">
        <v>9</v>
      </c>
      <c r="W14" t="str">
        <f>dbHistogramTitle</f>
        <v>Histograma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268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6891</v>
      </c>
      <c r="T15">
        <v>10</v>
      </c>
      <c r="U15" t="str">
        <f>dbMovingTitle</f>
        <v>Média móvel</v>
      </c>
      <c r="V15">
        <v>10</v>
      </c>
      <c r="W15" t="str">
        <f>dbMovingTitle</f>
        <v>Média móvel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2251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2251</v>
      </c>
      <c r="AX15">
        <v>24</v>
      </c>
      <c r="AY15">
        <v>418</v>
      </c>
      <c r="AZ15">
        <v>66</v>
      </c>
      <c r="BA15">
        <v>104</v>
      </c>
      <c r="BC15" t="s">
        <v>2283</v>
      </c>
      <c r="BF15">
        <v>12</v>
      </c>
      <c r="BG15">
        <v>20</v>
      </c>
      <c r="BH15">
        <v>120</v>
      </c>
      <c r="BK15" t="s">
        <v>2278</v>
      </c>
      <c r="BN15">
        <v>12</v>
      </c>
      <c r="BO15">
        <v>18</v>
      </c>
      <c r="BP15">
        <v>127</v>
      </c>
      <c r="BS15" t="s">
        <v>6892</v>
      </c>
      <c r="BV15">
        <v>205</v>
      </c>
      <c r="BW15">
        <v>17</v>
      </c>
      <c r="BX15">
        <v>119</v>
      </c>
      <c r="CA15" t="s">
        <v>6883</v>
      </c>
      <c r="CD15">
        <v>12</v>
      </c>
      <c r="CE15">
        <v>18</v>
      </c>
      <c r="CF15">
        <v>132</v>
      </c>
      <c r="CI15" t="s">
        <v>2278</v>
      </c>
      <c r="CL15">
        <v>5</v>
      </c>
      <c r="CM15">
        <v>42</v>
      </c>
      <c r="CN15">
        <v>146</v>
      </c>
      <c r="CQ15" t="s">
        <v>2285</v>
      </c>
      <c r="CT15">
        <v>5</v>
      </c>
    </row>
    <row r="16" spans="1:104" x14ac:dyDescent="0.25">
      <c r="A16" t="s">
        <v>526</v>
      </c>
      <c r="B16" t="s">
        <v>6893</v>
      </c>
      <c r="T16">
        <v>11</v>
      </c>
      <c r="U16" t="str">
        <f>dbRandomTitle</f>
        <v>Geração de número aleatório</v>
      </c>
      <c r="V16">
        <v>11</v>
      </c>
      <c r="W16" t="str">
        <f>dbRandomTitle</f>
        <v>Geração de número aleatório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6883</v>
      </c>
      <c r="BN16">
        <v>12</v>
      </c>
      <c r="BP16">
        <v>147</v>
      </c>
      <c r="BS16" t="s">
        <v>6883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6883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2287</v>
      </c>
      <c r="T17">
        <v>12</v>
      </c>
      <c r="U17" t="str">
        <f>dbRankPerTitle</f>
        <v>Ordem e percentil</v>
      </c>
      <c r="V17">
        <v>12</v>
      </c>
      <c r="W17" t="str">
        <f>dbRankPerTitle</f>
        <v>Ordem e percentil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2278</v>
      </c>
      <c r="AP17">
        <v>12</v>
      </c>
      <c r="AQ17">
        <v>24</v>
      </c>
      <c r="AR17">
        <v>142</v>
      </c>
      <c r="AU17" t="s">
        <v>2278</v>
      </c>
      <c r="BF17">
        <v>12</v>
      </c>
      <c r="BH17">
        <v>160</v>
      </c>
      <c r="BK17" t="s">
        <v>6884</v>
      </c>
      <c r="BN17">
        <v>12</v>
      </c>
      <c r="BP17">
        <v>167</v>
      </c>
      <c r="BS17" t="s">
        <v>6884</v>
      </c>
      <c r="BV17">
        <v>205</v>
      </c>
      <c r="BW17">
        <v>17</v>
      </c>
      <c r="BX17">
        <v>139</v>
      </c>
      <c r="CA17" t="s">
        <v>6884</v>
      </c>
      <c r="CD17">
        <v>12</v>
      </c>
      <c r="CF17">
        <v>172</v>
      </c>
      <c r="CI17" t="s">
        <v>6884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2251</v>
      </c>
      <c r="CT17">
        <v>5</v>
      </c>
    </row>
    <row r="18" spans="1:104" x14ac:dyDescent="0.25">
      <c r="A18" t="s">
        <v>531</v>
      </c>
      <c r="B18" t="s">
        <v>2288</v>
      </c>
      <c r="T18">
        <v>13</v>
      </c>
      <c r="U18" t="str">
        <f>dbRegressionTitle</f>
        <v>Regressão</v>
      </c>
      <c r="V18">
        <v>13</v>
      </c>
      <c r="W18" t="str">
        <f>dbRegressionTitle</f>
        <v>Regressão</v>
      </c>
      <c r="X18" t="s">
        <v>448</v>
      </c>
      <c r="Y18" s="1" t="s">
        <v>657</v>
      </c>
      <c r="AH18">
        <v>12</v>
      </c>
      <c r="AJ18">
        <v>169</v>
      </c>
      <c r="AM18" t="s">
        <v>6883</v>
      </c>
      <c r="AP18">
        <v>12</v>
      </c>
      <c r="AR18">
        <v>162</v>
      </c>
      <c r="AU18" t="s">
        <v>6883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6894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2290</v>
      </c>
      <c r="T19">
        <v>14</v>
      </c>
      <c r="U19" t="str">
        <f>dbSamplingTitle</f>
        <v>Amostragem</v>
      </c>
      <c r="V19">
        <v>14</v>
      </c>
      <c r="W19" t="str">
        <f>dbSamplingTitle</f>
        <v>Amostragem</v>
      </c>
      <c r="X19" t="s">
        <v>585</v>
      </c>
      <c r="Y19" s="1" t="s">
        <v>662</v>
      </c>
      <c r="AH19">
        <v>12</v>
      </c>
      <c r="AJ19">
        <v>189</v>
      </c>
      <c r="AM19" t="s">
        <v>6884</v>
      </c>
      <c r="AP19">
        <v>12</v>
      </c>
      <c r="AR19">
        <v>182</v>
      </c>
      <c r="AU19" t="s">
        <v>6884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6895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2278</v>
      </c>
      <c r="CT19">
        <v>5</v>
      </c>
    </row>
    <row r="20" spans="1:104" x14ac:dyDescent="0.25">
      <c r="A20" t="s">
        <v>343</v>
      </c>
      <c r="B20" t="s">
        <v>2292</v>
      </c>
      <c r="T20">
        <v>15</v>
      </c>
      <c r="U20" t="str">
        <f>dbTTest1Title</f>
        <v>Teste-T: duas amostras em par para médias</v>
      </c>
      <c r="V20">
        <v>15</v>
      </c>
      <c r="W20" t="str">
        <f>dbTTest1Title</f>
        <v>Teste-T: duas amostras em par para médias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6896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6883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Teste-T: duas amostras presumindo variâncias equivalentes</v>
      </c>
      <c r="V21">
        <v>16</v>
      </c>
      <c r="W21" t="str">
        <f>dbTTest2Title</f>
        <v>Teste-T: duas amostras presumindo variâncias equivalentes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6897</v>
      </c>
      <c r="BT21" t="b">
        <v>0</v>
      </c>
      <c r="CL21">
        <v>12</v>
      </c>
      <c r="CN21">
        <v>230</v>
      </c>
      <c r="CQ21" t="s">
        <v>6884</v>
      </c>
      <c r="CT21">
        <v>5</v>
      </c>
    </row>
    <row r="22" spans="1:104" x14ac:dyDescent="0.25">
      <c r="A22" t="s">
        <v>440</v>
      </c>
      <c r="B22" t="s">
        <v>6874</v>
      </c>
      <c r="T22">
        <v>17</v>
      </c>
      <c r="U22" t="str">
        <f>dbTTest3Title</f>
        <v>Teste-T: duas amostras presumindo variâncias diferentes</v>
      </c>
      <c r="V22">
        <v>17</v>
      </c>
      <c r="W22" t="str">
        <f>dbTTest3Title</f>
        <v>Teste-T: duas amostras presumindo variâncias diferentes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6898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6899</v>
      </c>
    </row>
    <row r="23" spans="1:104" x14ac:dyDescent="0.25">
      <c r="A23" t="s">
        <v>443</v>
      </c>
      <c r="B23" t="s">
        <v>6900</v>
      </c>
      <c r="T23">
        <v>18</v>
      </c>
      <c r="U23" t="str">
        <f>dbZTestTitle</f>
        <v>Teste-Z: duas amostras para médias</v>
      </c>
      <c r="V23">
        <v>18</v>
      </c>
      <c r="W23" t="str">
        <f>dbZTestTitle</f>
        <v>Teste-Z: duas amostras para médias</v>
      </c>
      <c r="X23" t="s">
        <v>357</v>
      </c>
      <c r="Y23" s="1" t="s">
        <v>674</v>
      </c>
      <c r="AP23">
        <v>13</v>
      </c>
      <c r="AR23">
        <v>216</v>
      </c>
      <c r="AU23" t="s">
        <v>6901</v>
      </c>
      <c r="AV23" t="b">
        <v>0</v>
      </c>
      <c r="BF23" s="1" t="s">
        <v>666</v>
      </c>
      <c r="BI23">
        <v>523</v>
      </c>
      <c r="BJ23">
        <v>191</v>
      </c>
      <c r="BK23" t="s">
        <v>2299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6902</v>
      </c>
      <c r="X24" t="s">
        <v>551</v>
      </c>
      <c r="AP24">
        <v>13</v>
      </c>
      <c r="AR24">
        <v>231</v>
      </c>
      <c r="AU24" t="s">
        <v>6903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6904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6905</v>
      </c>
    </row>
    <row r="25" spans="1:104" x14ac:dyDescent="0.25">
      <c r="A25" t="s">
        <v>552</v>
      </c>
      <c r="B25" t="s">
        <v>6906</v>
      </c>
      <c r="X25" t="s">
        <v>554</v>
      </c>
      <c r="AH25" t="s">
        <v>614</v>
      </c>
      <c r="AP25">
        <v>13</v>
      </c>
      <c r="AQ25">
        <v>210</v>
      </c>
      <c r="AR25">
        <v>216</v>
      </c>
      <c r="AU25" t="s">
        <v>6907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2248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6908</v>
      </c>
      <c r="CJ25">
        <v>5</v>
      </c>
      <c r="CT25">
        <v>7</v>
      </c>
      <c r="CU25">
        <v>224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6909</v>
      </c>
      <c r="X26" t="s">
        <v>376</v>
      </c>
      <c r="AH26" s="1" t="s">
        <v>664</v>
      </c>
      <c r="AK26">
        <v>509</v>
      </c>
      <c r="AL26">
        <v>187</v>
      </c>
      <c r="AM26" t="s">
        <v>6900</v>
      </c>
      <c r="AN26">
        <v>5</v>
      </c>
      <c r="AP26">
        <v>13</v>
      </c>
      <c r="AR26">
        <v>231</v>
      </c>
      <c r="AU26" t="s">
        <v>6910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2250</v>
      </c>
      <c r="BN26">
        <v>113</v>
      </c>
      <c r="BO26">
        <v>18</v>
      </c>
      <c r="BP26">
        <v>247</v>
      </c>
      <c r="BS26" t="s">
        <v>6911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2251</v>
      </c>
    </row>
    <row r="27" spans="1:104" x14ac:dyDescent="0.25">
      <c r="A27" t="s">
        <v>377</v>
      </c>
      <c r="B27" t="s">
        <v>2310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2311</v>
      </c>
      <c r="BF27">
        <v>5</v>
      </c>
      <c r="BG27">
        <v>18</v>
      </c>
      <c r="BH27">
        <v>19</v>
      </c>
      <c r="BK27" t="s">
        <v>2253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2248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2312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2248</v>
      </c>
      <c r="AP28">
        <v>13</v>
      </c>
      <c r="AR28">
        <v>270</v>
      </c>
      <c r="AU28" t="s">
        <v>6912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2250</v>
      </c>
      <c r="CT28">
        <v>12</v>
      </c>
      <c r="CU28">
        <v>17</v>
      </c>
      <c r="CV28">
        <v>225</v>
      </c>
      <c r="CY28" t="s">
        <v>6890</v>
      </c>
    </row>
    <row r="29" spans="1:104" x14ac:dyDescent="0.25">
      <c r="A29" t="s">
        <v>383</v>
      </c>
      <c r="B29" t="s">
        <v>2314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2250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2258</v>
      </c>
      <c r="CD29">
        <v>5</v>
      </c>
      <c r="CE29">
        <v>17</v>
      </c>
      <c r="CF29">
        <v>18</v>
      </c>
      <c r="CI29" t="s">
        <v>2255</v>
      </c>
      <c r="CT29">
        <v>12</v>
      </c>
      <c r="CV29">
        <v>245</v>
      </c>
      <c r="CY29" t="s">
        <v>6883</v>
      </c>
    </row>
    <row r="30" spans="1:104" x14ac:dyDescent="0.25">
      <c r="A30" t="s">
        <v>600</v>
      </c>
      <c r="B30" t="s">
        <v>2316</v>
      </c>
      <c r="X30" t="s">
        <v>332</v>
      </c>
      <c r="AH30">
        <v>5</v>
      </c>
      <c r="AI30">
        <v>20</v>
      </c>
      <c r="AJ30">
        <v>19</v>
      </c>
      <c r="AM30" t="s">
        <v>2253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6884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2268</v>
      </c>
      <c r="CD31">
        <v>5</v>
      </c>
      <c r="CE31">
        <v>17</v>
      </c>
      <c r="CF31">
        <v>41</v>
      </c>
      <c r="CI31" t="s">
        <v>2262</v>
      </c>
      <c r="CT31">
        <v>210</v>
      </c>
      <c r="CU31">
        <v>224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6913</v>
      </c>
      <c r="AH32">
        <v>5</v>
      </c>
      <c r="AI32">
        <v>20</v>
      </c>
      <c r="AJ32">
        <v>45</v>
      </c>
      <c r="AM32" t="s">
        <v>6914</v>
      </c>
      <c r="BF32">
        <v>12</v>
      </c>
      <c r="BK32" t="s">
        <v>6885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224</v>
      </c>
      <c r="CV32">
        <v>243</v>
      </c>
      <c r="CW32">
        <v>160</v>
      </c>
    </row>
    <row r="33" spans="1:104" x14ac:dyDescent="0.25">
      <c r="A33" t="s">
        <v>307</v>
      </c>
      <c r="B33" t="s">
        <v>2319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2270</v>
      </c>
      <c r="BL33" t="b">
        <v>0</v>
      </c>
      <c r="CD33">
        <v>5</v>
      </c>
      <c r="CE33">
        <v>17</v>
      </c>
      <c r="CF33">
        <v>70</v>
      </c>
      <c r="CI33" t="s">
        <v>2373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2321</v>
      </c>
      <c r="AH34">
        <v>5</v>
      </c>
      <c r="AI34">
        <v>20</v>
      </c>
      <c r="AJ34">
        <v>68</v>
      </c>
      <c r="AM34" t="s">
        <v>4183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2251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2322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2263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2251</v>
      </c>
      <c r="BF36">
        <v>12</v>
      </c>
      <c r="BG36">
        <v>18</v>
      </c>
      <c r="BH36">
        <v>120</v>
      </c>
      <c r="BK36" t="s">
        <v>2278</v>
      </c>
      <c r="CD36">
        <v>5</v>
      </c>
      <c r="CE36">
        <v>17</v>
      </c>
      <c r="CF36">
        <v>114</v>
      </c>
      <c r="CI36" t="s">
        <v>4183</v>
      </c>
      <c r="CT36">
        <v>5</v>
      </c>
      <c r="CZ36" t="s">
        <v>551</v>
      </c>
    </row>
    <row r="37" spans="1:104" x14ac:dyDescent="0.25">
      <c r="A37" t="s">
        <v>473</v>
      </c>
      <c r="B37" t="s">
        <v>6915</v>
      </c>
      <c r="AH37">
        <v>111</v>
      </c>
      <c r="AN37">
        <v>2</v>
      </c>
      <c r="BF37">
        <v>12</v>
      </c>
      <c r="BH37">
        <v>140</v>
      </c>
      <c r="BK37" t="s">
        <v>6883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2324</v>
      </c>
      <c r="AH38">
        <v>12</v>
      </c>
      <c r="AI38">
        <v>20</v>
      </c>
      <c r="AJ38">
        <v>115</v>
      </c>
      <c r="AM38" t="s">
        <v>2278</v>
      </c>
      <c r="BF38">
        <v>12</v>
      </c>
      <c r="BH38">
        <v>160</v>
      </c>
      <c r="BK38" t="s">
        <v>6884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2251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6883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2325</v>
      </c>
      <c r="AH40">
        <v>12</v>
      </c>
      <c r="AJ40">
        <v>155</v>
      </c>
      <c r="AM40" t="s">
        <v>6884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2278</v>
      </c>
      <c r="CT40">
        <v>5</v>
      </c>
    </row>
    <row r="41" spans="1:104" x14ac:dyDescent="0.25">
      <c r="A41" t="s">
        <v>492</v>
      </c>
      <c r="B41" t="s">
        <v>6916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6883</v>
      </c>
      <c r="CT41">
        <v>5</v>
      </c>
    </row>
    <row r="42" spans="1:104" x14ac:dyDescent="0.25">
      <c r="A42" t="s">
        <v>494</v>
      </c>
      <c r="B42" t="s">
        <v>2327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6884</v>
      </c>
      <c r="CT42">
        <v>5</v>
      </c>
    </row>
    <row r="43" spans="1:104" x14ac:dyDescent="0.25">
      <c r="A43" t="s">
        <v>496</v>
      </c>
      <c r="B43" t="s">
        <v>2328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6917</v>
      </c>
      <c r="BF44" s="1" t="s">
        <v>670</v>
      </c>
      <c r="BI44">
        <v>523</v>
      </c>
      <c r="BJ44">
        <v>191</v>
      </c>
      <c r="BK44" t="s">
        <v>2330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5077</v>
      </c>
    </row>
    <row r="45" spans="1:104" x14ac:dyDescent="0.25">
      <c r="A45" t="s">
        <v>422</v>
      </c>
      <c r="B45" t="s">
        <v>2332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2333</v>
      </c>
      <c r="BF46">
        <v>2</v>
      </c>
      <c r="BG46">
        <v>407</v>
      </c>
      <c r="BH46">
        <v>30</v>
      </c>
      <c r="BI46">
        <v>90</v>
      </c>
      <c r="BK46" t="s">
        <v>2248</v>
      </c>
      <c r="CT46">
        <v>5</v>
      </c>
      <c r="CU46">
        <v>184</v>
      </c>
      <c r="CV46">
        <v>114</v>
      </c>
      <c r="CY46" t="s">
        <v>6918</v>
      </c>
    </row>
    <row r="47" spans="1:104" x14ac:dyDescent="0.25">
      <c r="A47" t="s">
        <v>427</v>
      </c>
      <c r="B47" t="s">
        <v>2335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2250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2336</v>
      </c>
      <c r="AH48" s="1" t="s">
        <v>665</v>
      </c>
      <c r="AK48">
        <v>523</v>
      </c>
      <c r="AL48">
        <v>185</v>
      </c>
      <c r="AM48" t="s">
        <v>6902</v>
      </c>
      <c r="AN48">
        <v>5</v>
      </c>
      <c r="BF48">
        <v>5</v>
      </c>
      <c r="BG48">
        <v>18</v>
      </c>
      <c r="BH48">
        <v>19</v>
      </c>
      <c r="BK48" t="s">
        <v>2253</v>
      </c>
    </row>
    <row r="49" spans="1:104" x14ac:dyDescent="0.25">
      <c r="A49" t="s">
        <v>431</v>
      </c>
      <c r="B49" t="s">
        <v>2243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2314</v>
      </c>
      <c r="AH50">
        <v>2</v>
      </c>
      <c r="AI50">
        <v>407</v>
      </c>
      <c r="AJ50">
        <v>30</v>
      </c>
      <c r="AK50">
        <v>90</v>
      </c>
      <c r="AM50" t="s">
        <v>2248</v>
      </c>
      <c r="BF50">
        <v>5</v>
      </c>
      <c r="BG50">
        <v>18</v>
      </c>
      <c r="BH50">
        <v>44</v>
      </c>
      <c r="BK50" t="s">
        <v>2258</v>
      </c>
      <c r="CD50" s="1" t="s">
        <v>672</v>
      </c>
      <c r="CG50">
        <v>550</v>
      </c>
      <c r="CH50">
        <v>227</v>
      </c>
      <c r="CI50" t="s">
        <v>6919</v>
      </c>
      <c r="CJ50">
        <v>5</v>
      </c>
      <c r="CT50">
        <v>5</v>
      </c>
      <c r="CU50">
        <v>17</v>
      </c>
      <c r="CV50">
        <v>101</v>
      </c>
      <c r="CY50" t="s">
        <v>768</v>
      </c>
      <c r="CZ50" t="s">
        <v>599</v>
      </c>
    </row>
    <row r="51" spans="1:104" x14ac:dyDescent="0.25">
      <c r="A51" t="s">
        <v>439</v>
      </c>
      <c r="B51" t="s">
        <v>6920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2250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45</v>
      </c>
      <c r="CV51">
        <v>99</v>
      </c>
      <c r="CW51">
        <v>60</v>
      </c>
    </row>
    <row r="52" spans="1:104" x14ac:dyDescent="0.25">
      <c r="A52" t="s">
        <v>419</v>
      </c>
      <c r="B52" t="s">
        <v>2339</v>
      </c>
      <c r="AH52">
        <v>5</v>
      </c>
      <c r="AI52">
        <v>18</v>
      </c>
      <c r="AJ52">
        <v>19</v>
      </c>
      <c r="AM52" t="s">
        <v>2253</v>
      </c>
      <c r="BF52">
        <v>12</v>
      </c>
      <c r="BG52">
        <v>220</v>
      </c>
      <c r="BH52">
        <v>40</v>
      </c>
      <c r="BK52" t="s">
        <v>2268</v>
      </c>
      <c r="CD52">
        <v>2</v>
      </c>
      <c r="CE52">
        <v>440</v>
      </c>
      <c r="CF52">
        <v>30</v>
      </c>
      <c r="CG52">
        <v>90</v>
      </c>
      <c r="CI52" t="s">
        <v>2248</v>
      </c>
      <c r="CT52">
        <v>5</v>
      </c>
      <c r="CU52">
        <v>122</v>
      </c>
      <c r="CV52">
        <v>101</v>
      </c>
      <c r="CY52" t="s">
        <v>6921</v>
      </c>
    </row>
    <row r="53" spans="1:104" x14ac:dyDescent="0.25">
      <c r="A53" t="s">
        <v>338</v>
      </c>
      <c r="B53" t="s">
        <v>6922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6885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2250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6923</v>
      </c>
      <c r="AH54">
        <v>13</v>
      </c>
      <c r="AI54">
        <v>19</v>
      </c>
      <c r="AJ54">
        <v>41</v>
      </c>
      <c r="AM54" t="s">
        <v>2263</v>
      </c>
      <c r="AN54" t="b">
        <v>0</v>
      </c>
      <c r="BF54">
        <v>13</v>
      </c>
      <c r="BG54">
        <v>18</v>
      </c>
      <c r="BH54">
        <v>75</v>
      </c>
      <c r="BK54" t="s">
        <v>2270</v>
      </c>
      <c r="BL54" t="b">
        <v>0</v>
      </c>
      <c r="CD54">
        <v>5</v>
      </c>
      <c r="CE54">
        <v>17</v>
      </c>
      <c r="CF54">
        <v>18</v>
      </c>
      <c r="CI54" t="s">
        <v>2255</v>
      </c>
      <c r="CT54">
        <v>5</v>
      </c>
      <c r="CU54">
        <v>232</v>
      </c>
      <c r="CV54">
        <v>101</v>
      </c>
      <c r="CY54" t="s">
        <v>2343</v>
      </c>
    </row>
    <row r="55" spans="1:104" x14ac:dyDescent="0.25">
      <c r="A55" t="s">
        <v>177</v>
      </c>
      <c r="B55" t="s">
        <v>2344</v>
      </c>
      <c r="AH55">
        <v>5</v>
      </c>
      <c r="AI55">
        <v>20</v>
      </c>
      <c r="AJ55">
        <v>62</v>
      </c>
      <c r="AM55" t="s">
        <v>4183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2251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2345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2262</v>
      </c>
      <c r="CT56">
        <v>5</v>
      </c>
      <c r="CU56">
        <v>17</v>
      </c>
      <c r="CV56">
        <v>131</v>
      </c>
      <c r="CY56" t="s">
        <v>6924</v>
      </c>
    </row>
    <row r="57" spans="1:104" x14ac:dyDescent="0.25">
      <c r="A57" t="s">
        <v>557</v>
      </c>
      <c r="B57" t="s">
        <v>2347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2251</v>
      </c>
      <c r="BF57">
        <v>12</v>
      </c>
      <c r="BG57">
        <v>18</v>
      </c>
      <c r="BH57">
        <v>120</v>
      </c>
      <c r="BK57" t="s">
        <v>2278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2348</v>
      </c>
      <c r="AH58">
        <v>111</v>
      </c>
      <c r="AN58">
        <v>2</v>
      </c>
      <c r="BF58">
        <v>12</v>
      </c>
      <c r="BH58">
        <v>140</v>
      </c>
      <c r="BK58" t="s">
        <v>6883</v>
      </c>
      <c r="CD58">
        <v>5</v>
      </c>
      <c r="CE58">
        <v>17</v>
      </c>
      <c r="CF58">
        <v>70</v>
      </c>
      <c r="CI58" t="s">
        <v>2373</v>
      </c>
      <c r="CT58">
        <v>5</v>
      </c>
      <c r="CU58">
        <v>288</v>
      </c>
      <c r="CV58">
        <v>131</v>
      </c>
      <c r="CY58" t="s">
        <v>2349</v>
      </c>
    </row>
    <row r="59" spans="1:104" x14ac:dyDescent="0.25">
      <c r="A59" t="s">
        <v>188</v>
      </c>
      <c r="B59" t="s">
        <v>2350</v>
      </c>
      <c r="AH59">
        <v>12</v>
      </c>
      <c r="AI59">
        <v>20</v>
      </c>
      <c r="AJ59">
        <v>107</v>
      </c>
      <c r="AM59" t="s">
        <v>2278</v>
      </c>
      <c r="BF59">
        <v>12</v>
      </c>
      <c r="BH59">
        <v>160</v>
      </c>
      <c r="BK59" t="s">
        <v>6884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6925</v>
      </c>
    </row>
    <row r="60" spans="1:104" x14ac:dyDescent="0.25">
      <c r="A60" t="s">
        <v>564</v>
      </c>
      <c r="B60" t="s">
        <v>2352</v>
      </c>
      <c r="AH60">
        <v>12</v>
      </c>
      <c r="AJ60">
        <v>127</v>
      </c>
      <c r="AM60" t="s">
        <v>6883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2263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2353</v>
      </c>
      <c r="AH61">
        <v>12</v>
      </c>
      <c r="AJ61">
        <v>147</v>
      </c>
      <c r="AM61" t="s">
        <v>6884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4183</v>
      </c>
      <c r="CT61">
        <v>5</v>
      </c>
      <c r="CU61">
        <v>288</v>
      </c>
      <c r="CV61">
        <v>153</v>
      </c>
      <c r="CY61" t="s">
        <v>2349</v>
      </c>
    </row>
    <row r="62" spans="1:104" x14ac:dyDescent="0.25">
      <c r="A62" t="s">
        <v>568</v>
      </c>
      <c r="B62" t="s">
        <v>2354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2355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2251</v>
      </c>
      <c r="CT63" t="s">
        <v>554</v>
      </c>
    </row>
    <row r="64" spans="1:104" x14ac:dyDescent="0.25">
      <c r="A64" t="s">
        <v>572</v>
      </c>
      <c r="B64" t="s">
        <v>2242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2299</v>
      </c>
      <c r="CD65">
        <v>12</v>
      </c>
      <c r="CE65">
        <v>17</v>
      </c>
      <c r="CF65">
        <v>156</v>
      </c>
      <c r="CI65" t="s">
        <v>2278</v>
      </c>
      <c r="CT65">
        <v>5</v>
      </c>
    </row>
    <row r="66" spans="1:104" x14ac:dyDescent="0.25">
      <c r="A66" t="s">
        <v>194</v>
      </c>
      <c r="B66" t="s">
        <v>2244</v>
      </c>
      <c r="BF66" t="s">
        <v>334</v>
      </c>
      <c r="CD66">
        <v>12</v>
      </c>
      <c r="CF66">
        <v>176</v>
      </c>
      <c r="CI66" t="s">
        <v>6883</v>
      </c>
      <c r="CT66">
        <v>5</v>
      </c>
    </row>
    <row r="67" spans="1:104" x14ac:dyDescent="0.25">
      <c r="A67" t="s">
        <v>195</v>
      </c>
      <c r="B67" t="s">
        <v>2356</v>
      </c>
      <c r="BF67" s="1" t="s">
        <v>667</v>
      </c>
      <c r="BI67">
        <v>523</v>
      </c>
      <c r="BJ67">
        <v>181</v>
      </c>
      <c r="BK67" t="s">
        <v>2357</v>
      </c>
      <c r="BL67">
        <v>5</v>
      </c>
      <c r="CD67">
        <v>12</v>
      </c>
      <c r="CF67">
        <v>196</v>
      </c>
      <c r="CI67" t="s">
        <v>6884</v>
      </c>
      <c r="CT67">
        <v>5</v>
      </c>
    </row>
    <row r="68" spans="1:104" x14ac:dyDescent="0.25">
      <c r="A68" t="s">
        <v>576</v>
      </c>
      <c r="B68" t="s">
        <v>5078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2358</v>
      </c>
      <c r="AH69" s="1" t="s">
        <v>669</v>
      </c>
      <c r="AK69">
        <v>523</v>
      </c>
      <c r="AL69">
        <v>205</v>
      </c>
      <c r="AM69" t="s">
        <v>2356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2248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2359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2250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2360</v>
      </c>
      <c r="AH71">
        <v>2</v>
      </c>
      <c r="AI71">
        <v>407</v>
      </c>
      <c r="AJ71">
        <v>30</v>
      </c>
      <c r="AK71">
        <v>90</v>
      </c>
      <c r="AM71" t="s">
        <v>2248</v>
      </c>
      <c r="BF71">
        <v>5</v>
      </c>
      <c r="BG71">
        <v>18</v>
      </c>
      <c r="BH71">
        <v>19</v>
      </c>
      <c r="BK71" t="s">
        <v>2253</v>
      </c>
      <c r="CT71">
        <v>5</v>
      </c>
    </row>
    <row r="72" spans="1:104" x14ac:dyDescent="0.25">
      <c r="A72" t="s">
        <v>200</v>
      </c>
      <c r="B72" t="s">
        <v>2361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2250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6926</v>
      </c>
    </row>
    <row r="73" spans="1:104" x14ac:dyDescent="0.25">
      <c r="A73" t="s">
        <v>203</v>
      </c>
      <c r="B73" t="s">
        <v>2363</v>
      </c>
      <c r="AH73">
        <v>5</v>
      </c>
      <c r="AI73">
        <v>18</v>
      </c>
      <c r="AJ73">
        <v>19</v>
      </c>
      <c r="AM73" t="s">
        <v>2253</v>
      </c>
      <c r="BF73">
        <v>13</v>
      </c>
      <c r="BG73">
        <v>18</v>
      </c>
      <c r="BH73">
        <v>40</v>
      </c>
      <c r="BK73" t="s">
        <v>6927</v>
      </c>
      <c r="BL73" t="b">
        <v>0</v>
      </c>
      <c r="CT73">
        <v>8</v>
      </c>
      <c r="CU73">
        <v>224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6928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2251</v>
      </c>
      <c r="CD74" t="s">
        <v>441</v>
      </c>
      <c r="CT74">
        <v>5</v>
      </c>
      <c r="CU74">
        <v>24</v>
      </c>
      <c r="CV74">
        <v>134</v>
      </c>
      <c r="CY74" t="s">
        <v>6929</v>
      </c>
    </row>
    <row r="75" spans="1:104" x14ac:dyDescent="0.25">
      <c r="A75" t="s">
        <v>207</v>
      </c>
      <c r="B75" t="s">
        <v>6930</v>
      </c>
      <c r="AH75">
        <v>13</v>
      </c>
      <c r="AI75">
        <v>18</v>
      </c>
      <c r="AJ75">
        <v>41</v>
      </c>
      <c r="AM75" t="s">
        <v>6927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6931</v>
      </c>
      <c r="CJ75">
        <v>5</v>
      </c>
      <c r="CT75">
        <v>8</v>
      </c>
      <c r="CU75">
        <v>224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2368</v>
      </c>
      <c r="AH76">
        <v>5</v>
      </c>
      <c r="AI76">
        <v>18</v>
      </c>
      <c r="AJ76">
        <v>69</v>
      </c>
      <c r="AM76" t="s">
        <v>5079</v>
      </c>
      <c r="BF76">
        <v>12</v>
      </c>
      <c r="BG76">
        <v>18</v>
      </c>
      <c r="BH76">
        <v>86</v>
      </c>
      <c r="BK76" t="s">
        <v>2278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6883</v>
      </c>
      <c r="CD77">
        <v>2</v>
      </c>
      <c r="CE77">
        <v>440</v>
      </c>
      <c r="CF77">
        <v>30</v>
      </c>
      <c r="CG77">
        <v>90</v>
      </c>
      <c r="CI77" t="s">
        <v>2248</v>
      </c>
      <c r="CT77" t="s">
        <v>376</v>
      </c>
    </row>
    <row r="78" spans="1:104" x14ac:dyDescent="0.25">
      <c r="A78" t="s">
        <v>219</v>
      </c>
      <c r="B78" t="s">
        <v>6875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2251</v>
      </c>
      <c r="BF78">
        <v>12</v>
      </c>
      <c r="BH78">
        <v>126</v>
      </c>
      <c r="BK78" t="s">
        <v>6884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2250</v>
      </c>
      <c r="CT78">
        <v>5</v>
      </c>
      <c r="CZ78" t="s">
        <v>376</v>
      </c>
    </row>
    <row r="79" spans="1:104" x14ac:dyDescent="0.25">
      <c r="A79" t="s">
        <v>220</v>
      </c>
      <c r="B79" t="s">
        <v>6932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2255</v>
      </c>
      <c r="CT79">
        <v>5</v>
      </c>
    </row>
    <row r="80" spans="1:104" x14ac:dyDescent="0.25">
      <c r="A80" t="s">
        <v>221</v>
      </c>
      <c r="B80" t="s">
        <v>6933</v>
      </c>
      <c r="AH80">
        <v>5</v>
      </c>
      <c r="AI80">
        <v>18</v>
      </c>
      <c r="AJ80">
        <v>112</v>
      </c>
      <c r="AM80" t="s">
        <v>6890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6934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6935</v>
      </c>
      <c r="BL81" t="b">
        <v>0</v>
      </c>
      <c r="CD81">
        <v>5</v>
      </c>
      <c r="CE81">
        <v>17</v>
      </c>
      <c r="CF81">
        <v>41</v>
      </c>
      <c r="CI81" t="s">
        <v>2262</v>
      </c>
      <c r="CT81">
        <v>5</v>
      </c>
    </row>
    <row r="82" spans="1:104" x14ac:dyDescent="0.25">
      <c r="A82" t="s">
        <v>606</v>
      </c>
      <c r="B82" t="s">
        <v>2371</v>
      </c>
      <c r="AH82">
        <v>205</v>
      </c>
      <c r="AI82">
        <v>18</v>
      </c>
      <c r="AJ82">
        <v>132</v>
      </c>
      <c r="AM82" t="s">
        <v>6883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2372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6936</v>
      </c>
      <c r="CT83">
        <v>5</v>
      </c>
    </row>
    <row r="84" spans="1:104" x14ac:dyDescent="0.25">
      <c r="A84" t="s">
        <v>303</v>
      </c>
      <c r="B84" t="s">
        <v>2374</v>
      </c>
      <c r="AH84">
        <v>205</v>
      </c>
      <c r="AI84">
        <v>18</v>
      </c>
      <c r="AJ84">
        <v>152</v>
      </c>
      <c r="AM84" t="s">
        <v>6884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6937</v>
      </c>
      <c r="AH85">
        <v>13</v>
      </c>
      <c r="AI85">
        <v>18</v>
      </c>
      <c r="AJ85">
        <v>175</v>
      </c>
      <c r="AM85" t="s">
        <v>6894</v>
      </c>
      <c r="AN85" t="b">
        <v>0</v>
      </c>
      <c r="CD85">
        <v>13</v>
      </c>
      <c r="CE85">
        <v>18</v>
      </c>
      <c r="CF85">
        <v>87</v>
      </c>
      <c r="CI85" t="s">
        <v>2263</v>
      </c>
      <c r="CJ85" t="b">
        <v>0</v>
      </c>
      <c r="CT85">
        <v>5</v>
      </c>
    </row>
    <row r="86" spans="1:104" x14ac:dyDescent="0.25">
      <c r="A86" t="s">
        <v>228</v>
      </c>
      <c r="B86" t="s">
        <v>2377</v>
      </c>
      <c r="AH86">
        <v>13</v>
      </c>
      <c r="AI86">
        <v>222</v>
      </c>
      <c r="AJ86">
        <v>175</v>
      </c>
      <c r="AM86" t="s">
        <v>6895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4183</v>
      </c>
      <c r="CT86">
        <v>5</v>
      </c>
    </row>
    <row r="87" spans="1:104" x14ac:dyDescent="0.25">
      <c r="A87" t="s">
        <v>231</v>
      </c>
      <c r="B87" t="s">
        <v>2378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2361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2379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2251</v>
      </c>
      <c r="CT88">
        <v>5</v>
      </c>
      <c r="CU88">
        <v>26</v>
      </c>
      <c r="CV88">
        <v>108</v>
      </c>
      <c r="CY88" t="s">
        <v>6938</v>
      </c>
    </row>
    <row r="89" spans="1:104" x14ac:dyDescent="0.25">
      <c r="A89" t="s">
        <v>299</v>
      </c>
      <c r="B89" t="s">
        <v>2381</v>
      </c>
      <c r="BF89">
        <v>2</v>
      </c>
      <c r="BG89">
        <v>407</v>
      </c>
      <c r="BH89">
        <v>30</v>
      </c>
      <c r="BI89">
        <v>90</v>
      </c>
      <c r="BK89" t="s">
        <v>2248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2382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2250</v>
      </c>
      <c r="CD90">
        <v>12</v>
      </c>
      <c r="CE90">
        <v>17</v>
      </c>
      <c r="CF90">
        <v>152</v>
      </c>
      <c r="CI90" t="s">
        <v>2278</v>
      </c>
    </row>
    <row r="91" spans="1:104" x14ac:dyDescent="0.25">
      <c r="A91" t="s">
        <v>237</v>
      </c>
      <c r="B91" t="s">
        <v>2383</v>
      </c>
      <c r="BF91">
        <v>5</v>
      </c>
      <c r="BG91">
        <v>18</v>
      </c>
      <c r="BH91">
        <v>19</v>
      </c>
      <c r="BK91" t="s">
        <v>2253</v>
      </c>
      <c r="CD91">
        <v>12</v>
      </c>
      <c r="CF91">
        <v>172</v>
      </c>
      <c r="CI91" t="s">
        <v>6883</v>
      </c>
      <c r="CT91" t="s">
        <v>379</v>
      </c>
    </row>
    <row r="92" spans="1:104" x14ac:dyDescent="0.25">
      <c r="A92" t="s">
        <v>239</v>
      </c>
      <c r="B92" t="s">
        <v>2384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6884</v>
      </c>
      <c r="CT92">
        <v>5</v>
      </c>
      <c r="CZ92" t="s">
        <v>379</v>
      </c>
    </row>
    <row r="93" spans="1:104" x14ac:dyDescent="0.25">
      <c r="A93" t="s">
        <v>485</v>
      </c>
      <c r="B93" t="s">
        <v>2385</v>
      </c>
      <c r="BF93">
        <v>5</v>
      </c>
      <c r="BG93">
        <v>18</v>
      </c>
      <c r="BH93">
        <v>43</v>
      </c>
      <c r="BK93" t="s">
        <v>6939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2387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6940</v>
      </c>
      <c r="BF95">
        <v>13</v>
      </c>
      <c r="BG95">
        <v>18</v>
      </c>
      <c r="BH95">
        <v>66</v>
      </c>
      <c r="BK95" t="s">
        <v>2263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2389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2251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2390</v>
      </c>
      <c r="BF98">
        <v>12</v>
      </c>
      <c r="BG98">
        <v>18</v>
      </c>
      <c r="BH98">
        <v>112</v>
      </c>
      <c r="BK98" t="s">
        <v>2278</v>
      </c>
      <c r="CT98">
        <v>5</v>
      </c>
    </row>
    <row r="99" spans="1:104" x14ac:dyDescent="0.25">
      <c r="A99" t="s">
        <v>252</v>
      </c>
      <c r="B99" t="s">
        <v>2391</v>
      </c>
      <c r="BF99">
        <v>12</v>
      </c>
      <c r="BH99">
        <v>132</v>
      </c>
      <c r="BK99" t="s">
        <v>6883</v>
      </c>
      <c r="CD99" t="s">
        <v>357</v>
      </c>
      <c r="CT99">
        <v>5</v>
      </c>
    </row>
    <row r="100" spans="1:104" x14ac:dyDescent="0.25">
      <c r="A100" t="s">
        <v>511</v>
      </c>
      <c r="B100" t="s">
        <v>2392</v>
      </c>
      <c r="BF100">
        <v>12</v>
      </c>
      <c r="BH100">
        <v>152</v>
      </c>
      <c r="BK100" t="s">
        <v>6884</v>
      </c>
      <c r="CD100" s="1" t="s">
        <v>674</v>
      </c>
      <c r="CG100">
        <v>577</v>
      </c>
      <c r="CH100">
        <v>281</v>
      </c>
      <c r="CI100" t="s">
        <v>6941</v>
      </c>
      <c r="CJ100">
        <v>5</v>
      </c>
      <c r="CT100">
        <v>5</v>
      </c>
      <c r="CU100">
        <v>23</v>
      </c>
      <c r="CV100">
        <v>131</v>
      </c>
      <c r="CY100" t="s">
        <v>6942</v>
      </c>
    </row>
    <row r="101" spans="1:104" x14ac:dyDescent="0.25">
      <c r="A101" t="s">
        <v>513</v>
      </c>
      <c r="B101" t="s">
        <v>2395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224</v>
      </c>
      <c r="CV101">
        <v>128</v>
      </c>
      <c r="CW101">
        <v>60</v>
      </c>
    </row>
    <row r="102" spans="1:104" x14ac:dyDescent="0.25">
      <c r="A102" t="s">
        <v>515</v>
      </c>
      <c r="B102" t="s">
        <v>2330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2248</v>
      </c>
      <c r="CT102">
        <v>5</v>
      </c>
      <c r="CU102">
        <v>25</v>
      </c>
      <c r="CV102">
        <v>108</v>
      </c>
      <c r="CY102" t="s">
        <v>6938</v>
      </c>
    </row>
    <row r="103" spans="1:104" x14ac:dyDescent="0.25">
      <c r="A103" t="s">
        <v>516</v>
      </c>
      <c r="B103" t="s">
        <v>2396</v>
      </c>
      <c r="BF103">
        <v>13</v>
      </c>
      <c r="BG103">
        <v>18</v>
      </c>
      <c r="BH103">
        <v>174</v>
      </c>
      <c r="BK103" t="s">
        <v>2397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2250</v>
      </c>
      <c r="CT103">
        <v>8</v>
      </c>
      <c r="CU103">
        <v>224</v>
      </c>
      <c r="CV103">
        <v>105</v>
      </c>
      <c r="CW103">
        <v>60</v>
      </c>
    </row>
    <row r="104" spans="1:104" x14ac:dyDescent="0.25">
      <c r="A104" t="s">
        <v>519</v>
      </c>
      <c r="B104" t="s">
        <v>6943</v>
      </c>
      <c r="BF104">
        <v>13</v>
      </c>
      <c r="BK104" t="s">
        <v>6944</v>
      </c>
      <c r="BL104" t="b">
        <v>0</v>
      </c>
      <c r="CD104">
        <v>5</v>
      </c>
      <c r="CE104">
        <v>17</v>
      </c>
      <c r="CF104">
        <v>18</v>
      </c>
      <c r="CI104" t="s">
        <v>2255</v>
      </c>
    </row>
    <row r="105" spans="1:104" x14ac:dyDescent="0.25">
      <c r="A105" t="s">
        <v>534</v>
      </c>
      <c r="B105" t="s">
        <v>2401</v>
      </c>
      <c r="BF105">
        <v>13</v>
      </c>
      <c r="BK105" t="s">
        <v>6894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2402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2262</v>
      </c>
      <c r="CT106">
        <v>5</v>
      </c>
      <c r="CZ106" t="s">
        <v>382</v>
      </c>
    </row>
    <row r="107" spans="1:104" x14ac:dyDescent="0.25">
      <c r="A107" t="s">
        <v>538</v>
      </c>
      <c r="B107" t="s">
        <v>2247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826</v>
      </c>
      <c r="CD108">
        <v>5</v>
      </c>
      <c r="CE108">
        <v>17</v>
      </c>
      <c r="CF108">
        <v>68</v>
      </c>
      <c r="CI108" t="s">
        <v>2373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6945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6946</v>
      </c>
      <c r="CT112">
        <v>5</v>
      </c>
    </row>
    <row r="113" spans="1:104" x14ac:dyDescent="0.25">
      <c r="A113" t="s">
        <v>539</v>
      </c>
      <c r="B113" t="s">
        <v>2405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2406</v>
      </c>
      <c r="CD114">
        <v>13</v>
      </c>
      <c r="CE114">
        <v>17</v>
      </c>
      <c r="CF114">
        <v>143</v>
      </c>
      <c r="CI114" t="s">
        <v>2263</v>
      </c>
      <c r="CJ114" t="b">
        <v>0</v>
      </c>
      <c r="CT114">
        <v>5</v>
      </c>
    </row>
    <row r="115" spans="1:104" x14ac:dyDescent="0.25">
      <c r="A115" t="s">
        <v>543</v>
      </c>
      <c r="B115" t="s">
        <v>2241</v>
      </c>
      <c r="CD115">
        <v>5</v>
      </c>
      <c r="CE115">
        <v>17</v>
      </c>
      <c r="CF115">
        <v>168</v>
      </c>
      <c r="CI115" t="s">
        <v>4183</v>
      </c>
      <c r="CT115">
        <v>5</v>
      </c>
    </row>
    <row r="116" spans="1:104" x14ac:dyDescent="0.25">
      <c r="A116" t="s">
        <v>544</v>
      </c>
      <c r="B116" t="s">
        <v>6947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2409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2251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6948</v>
      </c>
      <c r="CD118">
        <v>111</v>
      </c>
      <c r="CJ118">
        <v>2</v>
      </c>
    </row>
    <row r="119" spans="1:104" x14ac:dyDescent="0.25">
      <c r="A119" t="s">
        <v>562</v>
      </c>
      <c r="B119" t="s">
        <v>2411</v>
      </c>
      <c r="CD119">
        <v>12</v>
      </c>
      <c r="CE119">
        <v>17</v>
      </c>
      <c r="CF119">
        <v>211</v>
      </c>
      <c r="CI119" t="s">
        <v>2278</v>
      </c>
      <c r="CT119" t="s">
        <v>332</v>
      </c>
    </row>
    <row r="120" spans="1:104" x14ac:dyDescent="0.25">
      <c r="A120" t="s">
        <v>366</v>
      </c>
      <c r="B120" t="s">
        <v>6949</v>
      </c>
      <c r="CD120">
        <v>12</v>
      </c>
      <c r="CF120">
        <v>231</v>
      </c>
      <c r="CI120" t="s">
        <v>6883</v>
      </c>
      <c r="CT120">
        <v>5</v>
      </c>
      <c r="CZ120" t="s">
        <v>332</v>
      </c>
    </row>
    <row r="121" spans="1:104" x14ac:dyDescent="0.25">
      <c r="A121" t="s">
        <v>368</v>
      </c>
      <c r="B121" t="s">
        <v>2413</v>
      </c>
      <c r="CD121">
        <v>12</v>
      </c>
      <c r="CF121">
        <v>251</v>
      </c>
      <c r="CI121" t="s">
        <v>6884</v>
      </c>
      <c r="CT121">
        <v>5</v>
      </c>
    </row>
    <row r="122" spans="1:104" x14ac:dyDescent="0.25">
      <c r="A122" t="s">
        <v>370</v>
      </c>
      <c r="B122" t="s">
        <v>1135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6950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2415</v>
      </c>
      <c r="CT125">
        <v>5</v>
      </c>
    </row>
    <row r="126" spans="1:104" x14ac:dyDescent="0.25">
      <c r="A126" t="s">
        <v>590</v>
      </c>
      <c r="B126" t="s">
        <v>2416</v>
      </c>
      <c r="CT126">
        <v>5</v>
      </c>
    </row>
    <row r="127" spans="1:104" x14ac:dyDescent="0.25">
      <c r="A127" t="s">
        <v>592</v>
      </c>
      <c r="B127" t="s">
        <v>6951</v>
      </c>
      <c r="CT127">
        <v>5</v>
      </c>
    </row>
    <row r="128" spans="1:104" x14ac:dyDescent="0.25">
      <c r="A128" t="s">
        <v>594</v>
      </c>
      <c r="B128" t="s">
        <v>6952</v>
      </c>
      <c r="CT128">
        <v>5</v>
      </c>
    </row>
    <row r="129" spans="1:104" x14ac:dyDescent="0.25">
      <c r="A129" t="s">
        <v>596</v>
      </c>
      <c r="B129" t="s">
        <v>6953</v>
      </c>
      <c r="CT129">
        <v>5</v>
      </c>
    </row>
    <row r="130" spans="1:104" x14ac:dyDescent="0.25">
      <c r="A130" t="s">
        <v>277</v>
      </c>
      <c r="B130" t="s">
        <v>6954</v>
      </c>
      <c r="CT130">
        <v>5</v>
      </c>
      <c r="CU130">
        <v>23</v>
      </c>
      <c r="CV130">
        <v>107</v>
      </c>
      <c r="CY130" t="s">
        <v>6899</v>
      </c>
    </row>
    <row r="131" spans="1:104" x14ac:dyDescent="0.25">
      <c r="A131" t="s">
        <v>279</v>
      </c>
      <c r="B131" t="s">
        <v>6955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2421</v>
      </c>
    </row>
    <row r="133" spans="1:104" x14ac:dyDescent="0.25">
      <c r="A133" t="s">
        <v>283</v>
      </c>
      <c r="B133" t="s">
        <v>6956</v>
      </c>
    </row>
    <row r="134" spans="1:104" x14ac:dyDescent="0.25">
      <c r="A134" t="s">
        <v>285</v>
      </c>
      <c r="B134" t="s">
        <v>2423</v>
      </c>
      <c r="CT134" t="s">
        <v>287</v>
      </c>
    </row>
    <row r="135" spans="1:104" x14ac:dyDescent="0.25">
      <c r="A135" t="s">
        <v>288</v>
      </c>
      <c r="B135" t="s">
        <v>6957</v>
      </c>
      <c r="CT135" t="s">
        <v>507</v>
      </c>
    </row>
    <row r="136" spans="1:104" x14ac:dyDescent="0.25">
      <c r="A136" t="s">
        <v>290</v>
      </c>
      <c r="B136" t="s">
        <v>2425</v>
      </c>
      <c r="CT136" t="str">
        <f>mg01s.RandUniform</f>
        <v>Uniforme</v>
      </c>
      <c r="CU136" t="s">
        <v>551</v>
      </c>
    </row>
    <row r="137" spans="1:104" x14ac:dyDescent="0.25">
      <c r="A137" t="s">
        <v>292</v>
      </c>
      <c r="B137" t="s">
        <v>2426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6958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6959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6960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2430</v>
      </c>
      <c r="CT141" t="str">
        <f>mg01s.RandPatterned</f>
        <v>Padronizada</v>
      </c>
      <c r="CU141" t="s">
        <v>599</v>
      </c>
    </row>
    <row r="142" spans="1:104" x14ac:dyDescent="0.25">
      <c r="A142" t="s">
        <v>92</v>
      </c>
      <c r="B142" t="s">
        <v>2246</v>
      </c>
      <c r="CT142" t="str">
        <f>mg01s.RandDiscrete</f>
        <v>Discreta</v>
      </c>
      <c r="CU142" t="s">
        <v>332</v>
      </c>
    </row>
    <row r="143" spans="1:104" x14ac:dyDescent="0.25">
      <c r="A143" t="s">
        <v>304</v>
      </c>
      <c r="B143" t="s">
        <v>5080</v>
      </c>
    </row>
    <row r="144" spans="1:104" x14ac:dyDescent="0.25">
      <c r="A144" t="s">
        <v>306</v>
      </c>
      <c r="B144" t="s">
        <v>2432</v>
      </c>
    </row>
    <row r="145" spans="1:2" x14ac:dyDescent="0.25">
      <c r="A145" t="s">
        <v>98</v>
      </c>
      <c r="B145" t="s">
        <v>2433</v>
      </c>
    </row>
    <row r="146" spans="1:2" x14ac:dyDescent="0.25">
      <c r="A146" t="s">
        <v>311</v>
      </c>
      <c r="B146" t="s">
        <v>6961</v>
      </c>
    </row>
    <row r="147" spans="1:2" x14ac:dyDescent="0.25">
      <c r="A147" t="s">
        <v>313</v>
      </c>
      <c r="B147" t="s">
        <v>6962</v>
      </c>
    </row>
    <row r="148" spans="1:2" x14ac:dyDescent="0.25">
      <c r="A148" t="s">
        <v>102</v>
      </c>
      <c r="B148" t="s">
        <v>6963</v>
      </c>
    </row>
    <row r="149" spans="1:2" x14ac:dyDescent="0.25">
      <c r="A149" t="s">
        <v>319</v>
      </c>
      <c r="B149" t="s">
        <v>6964</v>
      </c>
    </row>
    <row r="150" spans="1:2" x14ac:dyDescent="0.25">
      <c r="A150" t="s">
        <v>105</v>
      </c>
      <c r="B150" t="s">
        <v>6965</v>
      </c>
    </row>
    <row r="151" spans="1:2" x14ac:dyDescent="0.25">
      <c r="A151" t="s">
        <v>323</v>
      </c>
      <c r="B151" t="s">
        <v>6966</v>
      </c>
    </row>
    <row r="152" spans="1:2" x14ac:dyDescent="0.25">
      <c r="A152" t="s">
        <v>108</v>
      </c>
      <c r="B152" t="s">
        <v>6967</v>
      </c>
    </row>
    <row r="153" spans="1:2" x14ac:dyDescent="0.25">
      <c r="A153" t="s">
        <v>110</v>
      </c>
      <c r="B153" t="s">
        <v>6968</v>
      </c>
    </row>
    <row r="154" spans="1:2" x14ac:dyDescent="0.25">
      <c r="A154" t="s">
        <v>112</v>
      </c>
      <c r="B154" t="s">
        <v>6969</v>
      </c>
    </row>
    <row r="155" spans="1:2" x14ac:dyDescent="0.25">
      <c r="A155" t="s">
        <v>336</v>
      </c>
      <c r="B155" t="s">
        <v>6970</v>
      </c>
    </row>
    <row r="156" spans="1:2" x14ac:dyDescent="0.25">
      <c r="A156" t="s">
        <v>120</v>
      </c>
      <c r="B156" t="s">
        <v>6971</v>
      </c>
    </row>
    <row r="157" spans="1:2" x14ac:dyDescent="0.25">
      <c r="A157" t="s">
        <v>349</v>
      </c>
      <c r="B157" t="s">
        <v>6972</v>
      </c>
    </row>
    <row r="158" spans="1:2" x14ac:dyDescent="0.25">
      <c r="A158" t="s">
        <v>350</v>
      </c>
      <c r="B158" t="s">
        <v>6973</v>
      </c>
    </row>
    <row r="159" spans="1:2" x14ac:dyDescent="0.25">
      <c r="A159" t="s">
        <v>438</v>
      </c>
      <c r="B159" t="s">
        <v>6974</v>
      </c>
    </row>
    <row r="160" spans="1:2" x14ac:dyDescent="0.25">
      <c r="A160" t="s">
        <v>353</v>
      </c>
      <c r="B160" t="s">
        <v>6975</v>
      </c>
    </row>
    <row r="161" spans="1:2" x14ac:dyDescent="0.25">
      <c r="A161" t="s">
        <v>355</v>
      </c>
      <c r="B161" t="s">
        <v>6976</v>
      </c>
    </row>
    <row r="162" spans="1:2" x14ac:dyDescent="0.25">
      <c r="A162" t="s">
        <v>129</v>
      </c>
      <c r="B162" t="s">
        <v>6977</v>
      </c>
    </row>
    <row r="163" spans="1:2" x14ac:dyDescent="0.25">
      <c r="A163" t="s">
        <v>363</v>
      </c>
      <c r="B163" t="s">
        <v>6978</v>
      </c>
    </row>
    <row r="164" spans="1:2" x14ac:dyDescent="0.25">
      <c r="A164" t="s">
        <v>365</v>
      </c>
      <c r="B164" t="s">
        <v>6979</v>
      </c>
    </row>
    <row r="165" spans="1:2" x14ac:dyDescent="0.25">
      <c r="A165" t="s">
        <v>374</v>
      </c>
      <c r="B165" t="s">
        <v>6980</v>
      </c>
    </row>
    <row r="166" spans="1:2" x14ac:dyDescent="0.25">
      <c r="A166" t="s">
        <v>135</v>
      </c>
      <c r="B166" t="s">
        <v>6981</v>
      </c>
    </row>
    <row r="167" spans="1:2" x14ac:dyDescent="0.25">
      <c r="A167" t="s">
        <v>137</v>
      </c>
      <c r="B167" t="s">
        <v>6982</v>
      </c>
    </row>
    <row r="168" spans="1:2" x14ac:dyDescent="0.25">
      <c r="A168" t="s">
        <v>139</v>
      </c>
      <c r="B168" t="s">
        <v>6983</v>
      </c>
    </row>
    <row r="169" spans="1:2" x14ac:dyDescent="0.25">
      <c r="A169" t="s">
        <v>384</v>
      </c>
      <c r="B169" t="s">
        <v>6984</v>
      </c>
    </row>
    <row r="170" spans="1:2" x14ac:dyDescent="0.25">
      <c r="A170" t="s">
        <v>462</v>
      </c>
      <c r="B170" t="s">
        <v>6985</v>
      </c>
    </row>
    <row r="171" spans="1:2" x14ac:dyDescent="0.25">
      <c r="A171" t="s">
        <v>464</v>
      </c>
      <c r="B171" t="s">
        <v>6986</v>
      </c>
    </row>
    <row r="172" spans="1:2" x14ac:dyDescent="0.25">
      <c r="A172" t="s">
        <v>388</v>
      </c>
      <c r="B172" t="s">
        <v>6987</v>
      </c>
    </row>
    <row r="173" spans="1:2" x14ac:dyDescent="0.25">
      <c r="A173" t="s">
        <v>147</v>
      </c>
      <c r="B173" t="s">
        <v>6988</v>
      </c>
    </row>
    <row r="174" spans="1:2" x14ac:dyDescent="0.25">
      <c r="A174" t="s">
        <v>385</v>
      </c>
      <c r="B174" t="s">
        <v>6989</v>
      </c>
    </row>
    <row r="175" spans="1:2" x14ac:dyDescent="0.25">
      <c r="A175" t="s">
        <v>151</v>
      </c>
      <c r="B175" t="s">
        <v>6990</v>
      </c>
    </row>
    <row r="176" spans="1:2" x14ac:dyDescent="0.25">
      <c r="A176" t="s">
        <v>406</v>
      </c>
      <c r="B176" t="s">
        <v>6991</v>
      </c>
    </row>
    <row r="177" spans="1:2" x14ac:dyDescent="0.25">
      <c r="A177" t="s">
        <v>408</v>
      </c>
      <c r="B177" t="s">
        <v>6992</v>
      </c>
    </row>
    <row r="178" spans="1:2" x14ac:dyDescent="0.25">
      <c r="A178" t="s">
        <v>503</v>
      </c>
      <c r="B178" t="s">
        <v>6993</v>
      </c>
    </row>
    <row r="179" spans="1:2" x14ac:dyDescent="0.25">
      <c r="A179" t="s">
        <v>410</v>
      </c>
      <c r="B179" t="s">
        <v>6994</v>
      </c>
    </row>
    <row r="180" spans="1:2" x14ac:dyDescent="0.25">
      <c r="A180" t="s">
        <v>412</v>
      </c>
      <c r="B180" t="s">
        <v>6995</v>
      </c>
    </row>
    <row r="181" spans="1:2" x14ac:dyDescent="0.25">
      <c r="A181" t="s">
        <v>161</v>
      </c>
      <c r="B181" t="s">
        <v>2469</v>
      </c>
    </row>
    <row r="182" spans="1:2" x14ac:dyDescent="0.25">
      <c r="A182" t="s">
        <v>415</v>
      </c>
      <c r="B182" t="s">
        <v>6996</v>
      </c>
    </row>
    <row r="183" spans="1:2" x14ac:dyDescent="0.25">
      <c r="A183" t="s">
        <v>173</v>
      </c>
      <c r="B183" t="s">
        <v>6997</v>
      </c>
    </row>
    <row r="184" spans="1:2" x14ac:dyDescent="0.25">
      <c r="A184" t="s">
        <v>167</v>
      </c>
      <c r="B184" t="s">
        <v>6998</v>
      </c>
    </row>
    <row r="185" spans="1:2" x14ac:dyDescent="0.25">
      <c r="A185" t="s">
        <v>169</v>
      </c>
      <c r="B185" t="s">
        <v>6999</v>
      </c>
    </row>
    <row r="186" spans="1:2" x14ac:dyDescent="0.25">
      <c r="A186" t="s">
        <v>444</v>
      </c>
      <c r="B186" t="s">
        <v>7000</v>
      </c>
    </row>
    <row r="187" spans="1:2" x14ac:dyDescent="0.25">
      <c r="A187" t="s">
        <v>18</v>
      </c>
      <c r="B187" t="s">
        <v>7001</v>
      </c>
    </row>
    <row r="188" spans="1:2" x14ac:dyDescent="0.25">
      <c r="A188" t="s">
        <v>175</v>
      </c>
      <c r="B188" t="s">
        <v>7002</v>
      </c>
    </row>
    <row r="189" spans="1:2" x14ac:dyDescent="0.25">
      <c r="A189" t="s">
        <v>181</v>
      </c>
      <c r="B189" t="s">
        <v>7003</v>
      </c>
    </row>
    <row r="190" spans="1:2" x14ac:dyDescent="0.25">
      <c r="A190" t="s">
        <v>64</v>
      </c>
      <c r="B190" t="s">
        <v>7004</v>
      </c>
    </row>
    <row r="191" spans="1:2" x14ac:dyDescent="0.25">
      <c r="A191" t="s">
        <v>185</v>
      </c>
      <c r="B191" t="s">
        <v>7005</v>
      </c>
    </row>
    <row r="192" spans="1:2" x14ac:dyDescent="0.25">
      <c r="A192" t="s">
        <v>192</v>
      </c>
      <c r="B192" t="s">
        <v>7006</v>
      </c>
    </row>
    <row r="193" spans="1:2" x14ac:dyDescent="0.25">
      <c r="A193" t="s">
        <v>67</v>
      </c>
      <c r="B193" t="s">
        <v>7007</v>
      </c>
    </row>
    <row r="194" spans="1:2" x14ac:dyDescent="0.25">
      <c r="A194" t="s">
        <v>197</v>
      </c>
      <c r="B194" t="s">
        <v>7008</v>
      </c>
    </row>
    <row r="195" spans="1:2" x14ac:dyDescent="0.25">
      <c r="A195" t="s">
        <v>199</v>
      </c>
      <c r="B195" t="s">
        <v>7009</v>
      </c>
    </row>
    <row r="196" spans="1:2" x14ac:dyDescent="0.25">
      <c r="A196" t="s">
        <v>44</v>
      </c>
      <c r="B196" t="s">
        <v>7010</v>
      </c>
    </row>
    <row r="197" spans="1:2" x14ac:dyDescent="0.25">
      <c r="A197" t="s">
        <v>46</v>
      </c>
      <c r="B197" t="s">
        <v>2485</v>
      </c>
    </row>
    <row r="198" spans="1:2" x14ac:dyDescent="0.25">
      <c r="A198" t="s">
        <v>212</v>
      </c>
      <c r="B198" t="s">
        <v>7011</v>
      </c>
    </row>
    <row r="199" spans="1:2" x14ac:dyDescent="0.25">
      <c r="A199" t="s">
        <v>215</v>
      </c>
      <c r="B199" t="s">
        <v>7012</v>
      </c>
    </row>
    <row r="200" spans="1:2" x14ac:dyDescent="0.25">
      <c r="A200" t="s">
        <v>77</v>
      </c>
      <c r="B200" t="s">
        <v>7013</v>
      </c>
    </row>
    <row r="201" spans="1:2" x14ac:dyDescent="0.25">
      <c r="A201" t="s">
        <v>223</v>
      </c>
      <c r="B201" t="s">
        <v>7014</v>
      </c>
    </row>
    <row r="202" spans="1:2" x14ac:dyDescent="0.25">
      <c r="A202" t="s">
        <v>1</v>
      </c>
      <c r="B202" t="s">
        <v>7015</v>
      </c>
    </row>
    <row r="203" spans="1:2" x14ac:dyDescent="0.25">
      <c r="A203" t="s">
        <v>225</v>
      </c>
      <c r="B203" t="s">
        <v>2491</v>
      </c>
    </row>
    <row r="204" spans="1:2" x14ac:dyDescent="0.25">
      <c r="A204" t="s">
        <v>4</v>
      </c>
      <c r="B204" t="s">
        <v>7016</v>
      </c>
    </row>
    <row r="205" spans="1:2" x14ac:dyDescent="0.25">
      <c r="A205" t="s">
        <v>233</v>
      </c>
      <c r="B205" t="s">
        <v>7017</v>
      </c>
    </row>
    <row r="206" spans="1:2" x14ac:dyDescent="0.25">
      <c r="A206" t="s">
        <v>6</v>
      </c>
      <c r="B206" t="s">
        <v>7018</v>
      </c>
    </row>
    <row r="207" spans="1:2" x14ac:dyDescent="0.25">
      <c r="A207" t="s">
        <v>241</v>
      </c>
      <c r="B207" t="s">
        <v>7019</v>
      </c>
    </row>
    <row r="208" spans="1:2" x14ac:dyDescent="0.25">
      <c r="A208" t="s">
        <v>11</v>
      </c>
      <c r="B208" t="s">
        <v>7020</v>
      </c>
    </row>
    <row r="209" spans="1:103" x14ac:dyDescent="0.25">
      <c r="A209" t="s">
        <v>13</v>
      </c>
      <c r="B209" t="s">
        <v>7021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7022</v>
      </c>
    </row>
    <row r="212" spans="1:103" x14ac:dyDescent="0.25">
      <c r="A212" t="s">
        <v>258</v>
      </c>
      <c r="B212" t="s">
        <v>7023</v>
      </c>
    </row>
    <row r="213" spans="1:103" x14ac:dyDescent="0.25">
      <c r="A213" t="s">
        <v>533</v>
      </c>
      <c r="B213" t="s">
        <v>7024</v>
      </c>
      <c r="BS213" t="b">
        <v>1</v>
      </c>
    </row>
    <row r="214" spans="1:103" x14ac:dyDescent="0.25">
      <c r="A214" t="s">
        <v>17</v>
      </c>
      <c r="B214" t="s">
        <v>7025</v>
      </c>
    </row>
    <row r="215" spans="1:103" x14ac:dyDescent="0.25">
      <c r="A215" t="s">
        <v>265</v>
      </c>
      <c r="B215" t="s">
        <v>7026</v>
      </c>
    </row>
    <row r="216" spans="1:103" x14ac:dyDescent="0.25">
      <c r="A216" t="s">
        <v>550</v>
      </c>
      <c r="B216" t="s">
        <v>7027</v>
      </c>
    </row>
    <row r="217" spans="1:103" x14ac:dyDescent="0.25">
      <c r="A217" t="s">
        <v>267</v>
      </c>
      <c r="B217" t="s">
        <v>7028</v>
      </c>
    </row>
    <row r="218" spans="1:103" x14ac:dyDescent="0.25">
      <c r="A218" t="s">
        <v>262</v>
      </c>
      <c r="B218" t="s">
        <v>7029</v>
      </c>
    </row>
    <row r="219" spans="1:103" x14ac:dyDescent="0.25">
      <c r="A219" t="s">
        <v>272</v>
      </c>
      <c r="B219" t="s">
        <v>2507</v>
      </c>
    </row>
    <row r="220" spans="1:103" x14ac:dyDescent="0.25">
      <c r="A220" t="s">
        <v>36</v>
      </c>
      <c r="B220" t="s">
        <v>7030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7031</v>
      </c>
      <c r="AE221" t="b">
        <v>1</v>
      </c>
    </row>
    <row r="222" spans="1:103" x14ac:dyDescent="0.25">
      <c r="A222" t="s">
        <v>269</v>
      </c>
      <c r="B222" t="s">
        <v>2510</v>
      </c>
      <c r="CY222" t="b">
        <v>1</v>
      </c>
    </row>
    <row r="223" spans="1:103" x14ac:dyDescent="0.25">
      <c r="A223" t="s">
        <v>40</v>
      </c>
      <c r="B223" t="s">
        <v>7032</v>
      </c>
    </row>
    <row r="224" spans="1:103" x14ac:dyDescent="0.25">
      <c r="A224" t="s">
        <v>42</v>
      </c>
      <c r="B224" t="s">
        <v>7033</v>
      </c>
      <c r="CI224" t="b">
        <v>1</v>
      </c>
    </row>
    <row r="225" spans="1:2" x14ac:dyDescent="0.25">
      <c r="A225" t="s">
        <v>275</v>
      </c>
      <c r="B225" t="s">
        <v>7034</v>
      </c>
    </row>
    <row r="226" spans="1:2" x14ac:dyDescent="0.25">
      <c r="A226" t="s">
        <v>73</v>
      </c>
      <c r="B226" t="s">
        <v>7035</v>
      </c>
    </row>
    <row r="227" spans="1:2" x14ac:dyDescent="0.25">
      <c r="A227" t="s">
        <v>75</v>
      </c>
      <c r="B227" t="s">
        <v>7036</v>
      </c>
    </row>
    <row r="228" spans="1:2" x14ac:dyDescent="0.25">
      <c r="A228" t="s">
        <v>88</v>
      </c>
      <c r="B228" t="s">
        <v>7037</v>
      </c>
    </row>
    <row r="229" spans="1:2" x14ac:dyDescent="0.25">
      <c r="A229" t="s">
        <v>49</v>
      </c>
      <c r="B229" t="s">
        <v>7038</v>
      </c>
    </row>
    <row r="230" spans="1:2" x14ac:dyDescent="0.25">
      <c r="A230" t="s">
        <v>51</v>
      </c>
      <c r="B230" t="s">
        <v>7039</v>
      </c>
    </row>
    <row r="231" spans="1:2" x14ac:dyDescent="0.25">
      <c r="A231" t="s">
        <v>53</v>
      </c>
      <c r="B231" t="s">
        <v>7040</v>
      </c>
    </row>
    <row r="232" spans="1:2" x14ac:dyDescent="0.25">
      <c r="A232" t="s">
        <v>55</v>
      </c>
      <c r="B232" t="s">
        <v>7041</v>
      </c>
    </row>
    <row r="233" spans="1:2" x14ac:dyDescent="0.25">
      <c r="A233" t="s">
        <v>57</v>
      </c>
      <c r="B233" t="s">
        <v>7042</v>
      </c>
    </row>
    <row r="234" spans="1:2" x14ac:dyDescent="0.25">
      <c r="A234" t="s">
        <v>59</v>
      </c>
      <c r="B234" t="s">
        <v>7043</v>
      </c>
    </row>
    <row r="235" spans="1:2" x14ac:dyDescent="0.25">
      <c r="A235" t="s">
        <v>24</v>
      </c>
      <c r="B235" t="s">
        <v>7044</v>
      </c>
    </row>
    <row r="236" spans="1:2" x14ac:dyDescent="0.25">
      <c r="A236" t="s">
        <v>32</v>
      </c>
      <c r="B236" t="s">
        <v>7045</v>
      </c>
    </row>
    <row r="237" spans="1:2" x14ac:dyDescent="0.25">
      <c r="A237" t="s">
        <v>101</v>
      </c>
      <c r="B237" t="s">
        <v>7046</v>
      </c>
    </row>
    <row r="238" spans="1:2" x14ac:dyDescent="0.25">
      <c r="A238" t="s">
        <v>159</v>
      </c>
      <c r="B238" t="s">
        <v>7047</v>
      </c>
    </row>
    <row r="239" spans="1:2" x14ac:dyDescent="0.25">
      <c r="A239" t="s">
        <v>107</v>
      </c>
      <c r="B239" t="s">
        <v>7048</v>
      </c>
    </row>
    <row r="240" spans="1:2" x14ac:dyDescent="0.25">
      <c r="A240" t="s">
        <v>15</v>
      </c>
      <c r="B240" t="s">
        <v>7049</v>
      </c>
    </row>
    <row r="241" spans="1:2" x14ac:dyDescent="0.25">
      <c r="A241" t="s">
        <v>171</v>
      </c>
      <c r="B241" t="s">
        <v>2529</v>
      </c>
    </row>
    <row r="242" spans="1:2" x14ac:dyDescent="0.25">
      <c r="A242" t="s">
        <v>117</v>
      </c>
      <c r="B242" t="s">
        <v>7050</v>
      </c>
    </row>
    <row r="243" spans="1:2" x14ac:dyDescent="0.25">
      <c r="A243" t="s">
        <v>119</v>
      </c>
      <c r="B243" t="s">
        <v>7051</v>
      </c>
    </row>
    <row r="244" spans="1:2" x14ac:dyDescent="0.25">
      <c r="A244" t="s">
        <v>122</v>
      </c>
      <c r="B244" t="s">
        <v>7052</v>
      </c>
    </row>
    <row r="245" spans="1:2" x14ac:dyDescent="0.25">
      <c r="A245" t="s">
        <v>176</v>
      </c>
      <c r="B245" t="s">
        <v>7053</v>
      </c>
    </row>
    <row r="246" spans="1:2" x14ac:dyDescent="0.25">
      <c r="A246" t="s">
        <v>126</v>
      </c>
      <c r="B246" t="s">
        <v>7054</v>
      </c>
    </row>
    <row r="247" spans="1:2" x14ac:dyDescent="0.25">
      <c r="A247" t="s">
        <v>130</v>
      </c>
      <c r="B247" t="s">
        <v>7055</v>
      </c>
    </row>
    <row r="248" spans="1:2" x14ac:dyDescent="0.25">
      <c r="A248" t="s">
        <v>39</v>
      </c>
      <c r="B248" t="s">
        <v>7056</v>
      </c>
    </row>
    <row r="249" spans="1:2" x14ac:dyDescent="0.25">
      <c r="A249" t="s">
        <v>133</v>
      </c>
      <c r="B249" t="s">
        <v>7057</v>
      </c>
    </row>
    <row r="250" spans="1:2" x14ac:dyDescent="0.25">
      <c r="A250" t="s">
        <v>69</v>
      </c>
      <c r="B250" t="s">
        <v>7058</v>
      </c>
    </row>
    <row r="251" spans="1:2" x14ac:dyDescent="0.25">
      <c r="A251" t="s">
        <v>71</v>
      </c>
      <c r="B251" t="s">
        <v>7059</v>
      </c>
    </row>
    <row r="252" spans="1:2" x14ac:dyDescent="0.25">
      <c r="A252" t="s">
        <v>141</v>
      </c>
      <c r="B252" t="s">
        <v>7060</v>
      </c>
    </row>
    <row r="253" spans="1:2" x14ac:dyDescent="0.25">
      <c r="A253" t="s">
        <v>143</v>
      </c>
      <c r="B253" t="s">
        <v>7061</v>
      </c>
    </row>
    <row r="254" spans="1:2" x14ac:dyDescent="0.25">
      <c r="A254" t="s">
        <v>145</v>
      </c>
      <c r="B254" t="s">
        <v>7062</v>
      </c>
    </row>
    <row r="255" spans="1:2" x14ac:dyDescent="0.25">
      <c r="A255" t="s">
        <v>386</v>
      </c>
      <c r="B255" t="s">
        <v>7063</v>
      </c>
    </row>
    <row r="256" spans="1:2" x14ac:dyDescent="0.25">
      <c r="A256" t="s">
        <v>30</v>
      </c>
      <c r="B256" t="s">
        <v>7064</v>
      </c>
    </row>
    <row r="257" spans="1:2" x14ac:dyDescent="0.25">
      <c r="A257" t="s">
        <v>33</v>
      </c>
      <c r="B257" t="s">
        <v>7065</v>
      </c>
    </row>
    <row r="258" spans="1:2" x14ac:dyDescent="0.25">
      <c r="A258" t="s">
        <v>153</v>
      </c>
      <c r="B258" t="s">
        <v>7066</v>
      </c>
    </row>
    <row r="259" spans="1:2" x14ac:dyDescent="0.25">
      <c r="A259" t="s">
        <v>155</v>
      </c>
      <c r="B259" t="s">
        <v>7067</v>
      </c>
    </row>
    <row r="260" spans="1:2" x14ac:dyDescent="0.25">
      <c r="A260" t="s">
        <v>157</v>
      </c>
      <c r="B260" t="s">
        <v>7068</v>
      </c>
    </row>
    <row r="261" spans="1:2" x14ac:dyDescent="0.25">
      <c r="A261" t="s">
        <v>3</v>
      </c>
      <c r="B261" t="s">
        <v>2549</v>
      </c>
    </row>
    <row r="262" spans="1:2" x14ac:dyDescent="0.25">
      <c r="A262" t="s">
        <v>78</v>
      </c>
      <c r="B262" t="s">
        <v>7069</v>
      </c>
    </row>
    <row r="263" spans="1:2" x14ac:dyDescent="0.25">
      <c r="A263" t="s">
        <v>80</v>
      </c>
      <c r="B263" t="s">
        <v>7005</v>
      </c>
    </row>
    <row r="264" spans="1:2" x14ac:dyDescent="0.25">
      <c r="A264" t="s">
        <v>82</v>
      </c>
      <c r="B264" t="s">
        <v>7070</v>
      </c>
    </row>
    <row r="265" spans="1:2" x14ac:dyDescent="0.25">
      <c r="A265" t="s">
        <v>84</v>
      </c>
      <c r="B265" t="s">
        <v>7071</v>
      </c>
    </row>
    <row r="266" spans="1:2" x14ac:dyDescent="0.25">
      <c r="A266" t="s">
        <v>86</v>
      </c>
      <c r="B266" t="s">
        <v>7072</v>
      </c>
    </row>
    <row r="267" spans="1:2" x14ac:dyDescent="0.25">
      <c r="A267" t="s">
        <v>29</v>
      </c>
      <c r="B267" t="s">
        <v>7073</v>
      </c>
    </row>
    <row r="268" spans="1:2" x14ac:dyDescent="0.25">
      <c r="A268" t="s">
        <v>90</v>
      </c>
      <c r="B268" t="s">
        <v>7074</v>
      </c>
    </row>
    <row r="269" spans="1:2" x14ac:dyDescent="0.25">
      <c r="A269" t="s">
        <v>95</v>
      </c>
      <c r="B269" t="s">
        <v>7075</v>
      </c>
    </row>
    <row r="270" spans="1:2" x14ac:dyDescent="0.25">
      <c r="A270" t="s">
        <v>2</v>
      </c>
      <c r="B270" t="s">
        <v>7076</v>
      </c>
    </row>
    <row r="271" spans="1:2" x14ac:dyDescent="0.25">
      <c r="A271" t="s">
        <v>7</v>
      </c>
      <c r="B271" t="s">
        <v>7077</v>
      </c>
    </row>
    <row r="273" spans="1:2" x14ac:dyDescent="0.25">
      <c r="A273" t="s">
        <v>9</v>
      </c>
      <c r="B273" t="s">
        <v>7078</v>
      </c>
    </row>
    <row r="274" spans="1:2" x14ac:dyDescent="0.25">
      <c r="A274" t="s">
        <v>163</v>
      </c>
      <c r="B274" t="s">
        <v>7079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6898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551</v>
      </c>
      <c r="AD2">
        <v>152</v>
      </c>
      <c r="AE2" t="s">
        <v>2239</v>
      </c>
      <c r="AF2">
        <v>4</v>
      </c>
      <c r="AH2" s="1" t="s">
        <v>656</v>
      </c>
      <c r="AK2">
        <v>515</v>
      </c>
      <c r="AL2">
        <v>223</v>
      </c>
      <c r="AM2" t="s">
        <v>2240</v>
      </c>
      <c r="AN2">
        <v>5</v>
      </c>
      <c r="AP2" s="1" t="s">
        <v>657</v>
      </c>
      <c r="AS2">
        <v>558</v>
      </c>
      <c r="AT2">
        <v>312</v>
      </c>
      <c r="AU2" t="s">
        <v>2241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515</v>
      </c>
      <c r="BJ2">
        <v>191</v>
      </c>
      <c r="BK2" t="s">
        <v>2242</v>
      </c>
      <c r="BL2">
        <v>5</v>
      </c>
      <c r="BN2" s="1" t="s">
        <v>659</v>
      </c>
      <c r="BQ2">
        <v>515</v>
      </c>
      <c r="BR2">
        <v>293</v>
      </c>
      <c r="BS2" t="s">
        <v>2243</v>
      </c>
      <c r="BT2">
        <v>5</v>
      </c>
      <c r="BV2" s="1" t="s">
        <v>660</v>
      </c>
      <c r="BY2">
        <v>515</v>
      </c>
      <c r="BZ2">
        <v>195</v>
      </c>
      <c r="CA2" t="s">
        <v>2244</v>
      </c>
      <c r="CB2">
        <v>5</v>
      </c>
      <c r="CD2" s="1" t="s">
        <v>661</v>
      </c>
      <c r="CG2">
        <v>515</v>
      </c>
      <c r="CH2">
        <v>203</v>
      </c>
      <c r="CI2" t="s">
        <v>2245</v>
      </c>
      <c r="CJ2">
        <v>5</v>
      </c>
      <c r="CL2" s="1" t="s">
        <v>662</v>
      </c>
      <c r="CO2">
        <v>515</v>
      </c>
      <c r="CP2">
        <v>263</v>
      </c>
      <c r="CQ2" t="s">
        <v>2246</v>
      </c>
      <c r="CR2">
        <v>5</v>
      </c>
      <c r="CT2" s="1" t="s">
        <v>663</v>
      </c>
      <c r="CW2">
        <v>515</v>
      </c>
      <c r="CX2">
        <v>298</v>
      </c>
      <c r="CY2" t="s">
        <v>2247</v>
      </c>
      <c r="CZ2">
        <v>4</v>
      </c>
    </row>
    <row r="3" spans="1:104" x14ac:dyDescent="0.25">
      <c r="W3" t="str">
        <f>dbCorrelationTitle</f>
        <v>Correlação</v>
      </c>
      <c r="Z3">
        <v>1</v>
      </c>
      <c r="AA3">
        <v>449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455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449</v>
      </c>
      <c r="AB4">
        <v>30</v>
      </c>
      <c r="AC4">
        <v>88</v>
      </c>
      <c r="AE4" t="s">
        <v>2248</v>
      </c>
      <c r="AH4">
        <v>2</v>
      </c>
      <c r="AI4">
        <v>412</v>
      </c>
      <c r="AJ4">
        <v>30</v>
      </c>
      <c r="AK4">
        <v>90</v>
      </c>
      <c r="AM4" t="s">
        <v>2248</v>
      </c>
      <c r="AP4">
        <v>2</v>
      </c>
      <c r="AQ4">
        <v>455</v>
      </c>
      <c r="AR4">
        <v>31</v>
      </c>
      <c r="AS4">
        <v>90</v>
      </c>
      <c r="AU4" t="s">
        <v>2248</v>
      </c>
      <c r="AX4">
        <v>2</v>
      </c>
      <c r="AY4">
        <v>418</v>
      </c>
      <c r="AZ4">
        <v>33</v>
      </c>
      <c r="BA4">
        <v>104</v>
      </c>
      <c r="BC4" t="s">
        <v>2248</v>
      </c>
      <c r="BF4">
        <v>2</v>
      </c>
      <c r="BG4">
        <v>407</v>
      </c>
      <c r="BH4">
        <v>30</v>
      </c>
      <c r="BI4">
        <v>90</v>
      </c>
      <c r="BK4" t="s">
        <v>2248</v>
      </c>
      <c r="BN4">
        <v>2</v>
      </c>
      <c r="BO4">
        <v>407</v>
      </c>
      <c r="BP4">
        <v>30</v>
      </c>
      <c r="BQ4">
        <v>90</v>
      </c>
      <c r="BS4" t="s">
        <v>2248</v>
      </c>
      <c r="BV4">
        <v>2</v>
      </c>
      <c r="BW4">
        <v>407</v>
      </c>
      <c r="BX4">
        <v>30</v>
      </c>
      <c r="BY4">
        <v>90</v>
      </c>
      <c r="CA4" t="s">
        <v>2248</v>
      </c>
      <c r="CD4">
        <v>2</v>
      </c>
      <c r="CE4">
        <v>407</v>
      </c>
      <c r="CF4">
        <v>30</v>
      </c>
      <c r="CG4">
        <v>90</v>
      </c>
      <c r="CI4" t="s">
        <v>2248</v>
      </c>
      <c r="CL4">
        <v>2</v>
      </c>
      <c r="CM4">
        <v>407</v>
      </c>
      <c r="CN4">
        <v>30</v>
      </c>
      <c r="CO4">
        <v>90</v>
      </c>
      <c r="CQ4" t="s">
        <v>2248</v>
      </c>
      <c r="CT4">
        <v>2</v>
      </c>
      <c r="CU4">
        <v>410</v>
      </c>
      <c r="CV4">
        <v>31</v>
      </c>
      <c r="CW4">
        <v>90</v>
      </c>
      <c r="CY4" t="s">
        <v>2248</v>
      </c>
    </row>
    <row r="5" spans="1:104" x14ac:dyDescent="0.25">
      <c r="T5">
        <v>0</v>
      </c>
      <c r="U5" t="str">
        <f>dbAnova1Title</f>
        <v>Anova: factor único</v>
      </c>
      <c r="V5">
        <v>0</v>
      </c>
      <c r="W5" t="str">
        <f>dbAnova1Title</f>
        <v>Anova: factor único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2249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2250</v>
      </c>
      <c r="AP5">
        <v>14</v>
      </c>
      <c r="AQ5">
        <v>7</v>
      </c>
      <c r="AR5">
        <v>4</v>
      </c>
      <c r="AS5">
        <v>440</v>
      </c>
      <c r="AT5">
        <v>113</v>
      </c>
      <c r="AU5" t="s">
        <v>2250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2251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2250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2250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2250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2250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2250</v>
      </c>
      <c r="CT5">
        <v>5</v>
      </c>
      <c r="CU5">
        <v>17</v>
      </c>
      <c r="CV5">
        <v>12</v>
      </c>
      <c r="CY5" t="s">
        <v>2252</v>
      </c>
    </row>
    <row r="6" spans="1:104" x14ac:dyDescent="0.25">
      <c r="T6">
        <v>1</v>
      </c>
      <c r="U6" t="str">
        <f>dbAnova2Title</f>
        <v>Anova: factor duplo com repetição</v>
      </c>
      <c r="V6">
        <v>1</v>
      </c>
      <c r="W6" t="str">
        <f>dbAnova2Title</f>
        <v>Anova: factor duplo com repetição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419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2253</v>
      </c>
      <c r="AP6">
        <v>5</v>
      </c>
      <c r="AQ6">
        <v>24</v>
      </c>
      <c r="AR6">
        <v>22</v>
      </c>
      <c r="AU6" t="s">
        <v>2254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2253</v>
      </c>
      <c r="BN6">
        <v>5</v>
      </c>
      <c r="BO6">
        <v>18</v>
      </c>
      <c r="BP6">
        <v>19</v>
      </c>
      <c r="BS6" t="s">
        <v>2253</v>
      </c>
      <c r="BV6">
        <v>5</v>
      </c>
      <c r="BW6">
        <v>18</v>
      </c>
      <c r="BX6">
        <v>19</v>
      </c>
      <c r="CA6" t="s">
        <v>2253</v>
      </c>
      <c r="CD6">
        <v>5</v>
      </c>
      <c r="CE6">
        <v>18</v>
      </c>
      <c r="CF6">
        <v>19</v>
      </c>
      <c r="CI6" t="s">
        <v>2255</v>
      </c>
      <c r="CL6">
        <v>5</v>
      </c>
      <c r="CM6">
        <v>18</v>
      </c>
      <c r="CN6">
        <v>19</v>
      </c>
      <c r="CQ6" t="s">
        <v>2253</v>
      </c>
      <c r="CT6">
        <v>7</v>
      </c>
      <c r="CU6">
        <v>224</v>
      </c>
      <c r="CV6">
        <v>10</v>
      </c>
      <c r="CW6">
        <v>170</v>
      </c>
    </row>
    <row r="7" spans="1:104" x14ac:dyDescent="0.25">
      <c r="T7">
        <v>2</v>
      </c>
      <c r="U7" t="str">
        <f>dbAnova3Title</f>
        <v>Anova: factor duplo sem repetição</v>
      </c>
      <c r="V7">
        <v>2</v>
      </c>
      <c r="W7" t="str">
        <f>dbAnova3Title</f>
        <v>Anova: factor duplo sem repetição</v>
      </c>
      <c r="X7" t="s">
        <v>315</v>
      </c>
      <c r="Y7" s="1" t="s">
        <v>665</v>
      </c>
      <c r="Z7">
        <v>24</v>
      </c>
      <c r="AA7">
        <v>449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198</v>
      </c>
      <c r="AV7" t="s">
        <v>316</v>
      </c>
      <c r="AX7">
        <v>12</v>
      </c>
      <c r="AY7">
        <v>18</v>
      </c>
      <c r="AZ7">
        <v>55</v>
      </c>
      <c r="BC7" t="s">
        <v>2256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2257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Correlação</v>
      </c>
      <c r="V8">
        <v>3</v>
      </c>
      <c r="W8" t="str">
        <f>dbCorrelationTitle</f>
        <v>Correlação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2258</v>
      </c>
      <c r="AP8">
        <v>5</v>
      </c>
      <c r="AQ8">
        <v>24</v>
      </c>
      <c r="AR8">
        <v>48</v>
      </c>
      <c r="AU8" t="s">
        <v>2259</v>
      </c>
      <c r="AX8">
        <v>12</v>
      </c>
      <c r="AZ8">
        <v>90</v>
      </c>
      <c r="BC8" t="s">
        <v>2260</v>
      </c>
      <c r="BF8">
        <v>5</v>
      </c>
      <c r="BG8">
        <v>18</v>
      </c>
      <c r="BH8">
        <v>44</v>
      </c>
      <c r="BK8" t="s">
        <v>2258</v>
      </c>
      <c r="BN8">
        <v>5</v>
      </c>
      <c r="BO8">
        <v>18</v>
      </c>
      <c r="BP8">
        <v>44</v>
      </c>
      <c r="BS8" t="s">
        <v>2258</v>
      </c>
      <c r="BV8">
        <v>5</v>
      </c>
      <c r="BW8">
        <v>17</v>
      </c>
      <c r="BX8">
        <v>40</v>
      </c>
      <c r="CA8" t="s">
        <v>2261</v>
      </c>
      <c r="CD8">
        <v>5</v>
      </c>
      <c r="CE8">
        <v>18</v>
      </c>
      <c r="CF8">
        <v>41</v>
      </c>
      <c r="CI8" t="s">
        <v>2262</v>
      </c>
      <c r="CL8">
        <v>13</v>
      </c>
      <c r="CM8">
        <v>18</v>
      </c>
      <c r="CN8">
        <v>39</v>
      </c>
      <c r="CQ8" t="s">
        <v>2263</v>
      </c>
      <c r="CR8" t="b">
        <v>0</v>
      </c>
      <c r="CT8">
        <v>7</v>
      </c>
      <c r="CU8">
        <v>224</v>
      </c>
      <c r="CV8">
        <v>34</v>
      </c>
      <c r="CW8">
        <v>170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Covariância</v>
      </c>
      <c r="V9">
        <v>4</v>
      </c>
      <c r="W9" t="str">
        <f>dbCovarianceTitle</f>
        <v>Covariância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40</v>
      </c>
      <c r="AS9">
        <v>198</v>
      </c>
      <c r="AV9" t="s">
        <v>316</v>
      </c>
      <c r="AX9">
        <v>12</v>
      </c>
      <c r="AZ9">
        <v>110</v>
      </c>
      <c r="BC9" t="s">
        <v>2264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2265</v>
      </c>
      <c r="CT9">
        <v>5</v>
      </c>
      <c r="CU9">
        <v>17</v>
      </c>
      <c r="CV9">
        <v>63</v>
      </c>
      <c r="CY9" t="s">
        <v>2266</v>
      </c>
    </row>
    <row r="10" spans="1:104" x14ac:dyDescent="0.25">
      <c r="A10" t="s">
        <v>505</v>
      </c>
      <c r="B10" t="s">
        <v>2267</v>
      </c>
      <c r="T10">
        <v>5</v>
      </c>
      <c r="U10" t="str">
        <f>dbDescripTitle</f>
        <v>Estatística descritiva</v>
      </c>
      <c r="V10">
        <v>5</v>
      </c>
      <c r="W10" t="str">
        <f>dbDescripTitle</f>
        <v>Estatística descritiva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2268</v>
      </c>
      <c r="AP10">
        <v>13</v>
      </c>
      <c r="AQ10">
        <v>25</v>
      </c>
      <c r="AR10">
        <v>75</v>
      </c>
      <c r="AU10" t="s">
        <v>2263</v>
      </c>
      <c r="AV10" t="b">
        <v>0</v>
      </c>
      <c r="AX10">
        <v>12</v>
      </c>
      <c r="AZ10">
        <v>130</v>
      </c>
      <c r="BC10" t="s">
        <v>2269</v>
      </c>
      <c r="BF10">
        <v>12</v>
      </c>
      <c r="BG10">
        <v>220</v>
      </c>
      <c r="BH10">
        <v>40</v>
      </c>
      <c r="BK10" t="s">
        <v>2268</v>
      </c>
      <c r="BN10">
        <v>12</v>
      </c>
      <c r="BO10">
        <v>220</v>
      </c>
      <c r="BP10">
        <v>40</v>
      </c>
      <c r="BS10" t="s">
        <v>2268</v>
      </c>
      <c r="BV10">
        <v>13</v>
      </c>
      <c r="BW10">
        <v>17</v>
      </c>
      <c r="BX10">
        <v>60</v>
      </c>
      <c r="CA10" t="s">
        <v>2263</v>
      </c>
      <c r="CB10" t="b">
        <v>0</v>
      </c>
      <c r="CD10">
        <v>13</v>
      </c>
      <c r="CE10">
        <v>18</v>
      </c>
      <c r="CF10">
        <v>64</v>
      </c>
      <c r="CI10" t="s">
        <v>2263</v>
      </c>
      <c r="CJ10" t="b">
        <v>0</v>
      </c>
      <c r="CL10">
        <v>111</v>
      </c>
      <c r="CR10">
        <v>2</v>
      </c>
      <c r="CT10">
        <v>121</v>
      </c>
      <c r="CU10">
        <v>224</v>
      </c>
      <c r="CV10">
        <v>61</v>
      </c>
      <c r="CW10">
        <v>170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2270</v>
      </c>
      <c r="T11">
        <v>6</v>
      </c>
      <c r="U11" t="str">
        <f>dbExponentTitle</f>
        <v>Ajuste exponencial</v>
      </c>
      <c r="V11">
        <v>6</v>
      </c>
      <c r="W11" t="str">
        <f>dbExponentTitle</f>
        <v>Ajuste exponencial</v>
      </c>
      <c r="X11" t="s">
        <v>452</v>
      </c>
      <c r="Y11" s="1" t="s">
        <v>660</v>
      </c>
      <c r="AH11">
        <v>12</v>
      </c>
      <c r="AM11" t="s">
        <v>2271</v>
      </c>
      <c r="AP11">
        <v>13</v>
      </c>
      <c r="AQ11">
        <v>204</v>
      </c>
      <c r="AR11">
        <v>75</v>
      </c>
      <c r="AU11" t="s">
        <v>2272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2273</v>
      </c>
      <c r="BF11">
        <v>12</v>
      </c>
      <c r="BK11" t="s">
        <v>2271</v>
      </c>
      <c r="BN11">
        <v>12</v>
      </c>
      <c r="BS11" t="s">
        <v>2271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2251</v>
      </c>
      <c r="CD11">
        <v>5</v>
      </c>
      <c r="CE11">
        <v>18</v>
      </c>
      <c r="CF11">
        <v>85</v>
      </c>
      <c r="CI11" t="s">
        <v>1019</v>
      </c>
      <c r="CL11">
        <v>12</v>
      </c>
      <c r="CM11">
        <v>18</v>
      </c>
      <c r="CN11">
        <v>82</v>
      </c>
      <c r="CQ11" t="s">
        <v>2274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2275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Teste F: duas amostras para variâncias</v>
      </c>
      <c r="V12">
        <v>7</v>
      </c>
      <c r="W12" t="str">
        <f>dbFTestTitle</f>
        <v>Teste F: duas amostras para variâncias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2270</v>
      </c>
      <c r="AN12" t="b">
        <v>0</v>
      </c>
      <c r="AP12">
        <v>113</v>
      </c>
      <c r="AQ12">
        <v>25</v>
      </c>
      <c r="AR12">
        <v>93</v>
      </c>
      <c r="AU12" t="s">
        <v>2276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2270</v>
      </c>
      <c r="BL12" t="b">
        <v>0</v>
      </c>
      <c r="BN12">
        <v>13</v>
      </c>
      <c r="BO12">
        <v>18</v>
      </c>
      <c r="BP12">
        <v>75</v>
      </c>
      <c r="BS12" t="s">
        <v>2270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2277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Análise de Fourier</v>
      </c>
      <c r="V13">
        <v>8</v>
      </c>
      <c r="W13" t="str">
        <f>dbFourierTitle</f>
        <v>Análise de Fourier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1019</v>
      </c>
      <c r="AP13">
        <v>208</v>
      </c>
      <c r="AQ13">
        <v>204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2251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2251</v>
      </c>
      <c r="BV13">
        <v>5</v>
      </c>
      <c r="BW13">
        <v>17</v>
      </c>
      <c r="BX13">
        <v>99</v>
      </c>
      <c r="CA13" t="s">
        <v>2278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2251</v>
      </c>
      <c r="CL13">
        <v>5</v>
      </c>
      <c r="CM13">
        <v>42</v>
      </c>
      <c r="CN13">
        <v>103</v>
      </c>
      <c r="CQ13" t="s">
        <v>2279</v>
      </c>
      <c r="CT13">
        <v>5</v>
      </c>
    </row>
    <row r="14" spans="1:104" x14ac:dyDescent="0.25">
      <c r="A14" t="s">
        <v>404</v>
      </c>
      <c r="B14" t="s">
        <v>2280</v>
      </c>
      <c r="T14">
        <v>9</v>
      </c>
      <c r="U14" t="str">
        <f>dbHistogramTitle</f>
        <v>Histograma</v>
      </c>
      <c r="V14">
        <v>9</v>
      </c>
      <c r="W14" t="str">
        <f>dbHistogramTitle</f>
        <v>Histograma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270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160</v>
      </c>
      <c r="CT14">
        <v>5</v>
      </c>
    </row>
    <row r="15" spans="1:104" x14ac:dyDescent="0.25">
      <c r="A15" t="s">
        <v>522</v>
      </c>
      <c r="B15" t="s">
        <v>2282</v>
      </c>
      <c r="T15">
        <v>10</v>
      </c>
      <c r="U15" t="str">
        <f>dbMovingTitle</f>
        <v>Média móvel</v>
      </c>
      <c r="V15">
        <v>10</v>
      </c>
      <c r="W15" t="str">
        <f>dbMovingTitle</f>
        <v>Média móvel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2251</v>
      </c>
      <c r="AP15">
        <v>14</v>
      </c>
      <c r="AQ15">
        <v>7</v>
      </c>
      <c r="AR15">
        <v>124</v>
      </c>
      <c r="AS15">
        <v>440</v>
      </c>
      <c r="AT15">
        <v>179</v>
      </c>
      <c r="AU15" t="s">
        <v>2251</v>
      </c>
      <c r="AX15">
        <v>24</v>
      </c>
      <c r="AY15">
        <v>418</v>
      </c>
      <c r="AZ15">
        <v>66</v>
      </c>
      <c r="BA15">
        <v>104</v>
      </c>
      <c r="BC15" t="s">
        <v>2283</v>
      </c>
      <c r="BF15">
        <v>12</v>
      </c>
      <c r="BG15">
        <v>20</v>
      </c>
      <c r="BH15">
        <v>120</v>
      </c>
      <c r="BK15" t="s">
        <v>2278</v>
      </c>
      <c r="BN15">
        <v>12</v>
      </c>
      <c r="BO15">
        <v>18</v>
      </c>
      <c r="BP15">
        <v>127</v>
      </c>
      <c r="BS15" t="s">
        <v>2278</v>
      </c>
      <c r="BV15">
        <v>205</v>
      </c>
      <c r="BW15">
        <v>17</v>
      </c>
      <c r="BX15">
        <v>119</v>
      </c>
      <c r="CA15" t="s">
        <v>2281</v>
      </c>
      <c r="CD15">
        <v>12</v>
      </c>
      <c r="CE15">
        <v>18</v>
      </c>
      <c r="CF15">
        <v>132</v>
      </c>
      <c r="CI15" t="s">
        <v>2278</v>
      </c>
      <c r="CL15">
        <v>5</v>
      </c>
      <c r="CM15">
        <v>42</v>
      </c>
      <c r="CN15">
        <v>146</v>
      </c>
      <c r="CQ15" t="s">
        <v>2285</v>
      </c>
      <c r="CT15">
        <v>5</v>
      </c>
    </row>
    <row r="16" spans="1:104" x14ac:dyDescent="0.25">
      <c r="A16" t="s">
        <v>526</v>
      </c>
      <c r="B16" t="s">
        <v>2286</v>
      </c>
      <c r="T16">
        <v>11</v>
      </c>
      <c r="U16" t="str">
        <f>dbRandomTitle</f>
        <v>Geração de número aleatório</v>
      </c>
      <c r="V16">
        <v>11</v>
      </c>
      <c r="W16" t="str">
        <f>dbRandomTitle</f>
        <v>Geração de número aleatório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2264</v>
      </c>
      <c r="BN16">
        <v>12</v>
      </c>
      <c r="BP16">
        <v>147</v>
      </c>
      <c r="BS16" t="s">
        <v>2264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2264</v>
      </c>
      <c r="CL16">
        <v>7</v>
      </c>
      <c r="CM16">
        <v>220</v>
      </c>
      <c r="CN16">
        <v>142</v>
      </c>
      <c r="CO16">
        <v>160</v>
      </c>
      <c r="CT16">
        <v>5</v>
      </c>
    </row>
    <row r="17" spans="1:104" x14ac:dyDescent="0.25">
      <c r="A17" t="s">
        <v>528</v>
      </c>
      <c r="B17" t="s">
        <v>2287</v>
      </c>
      <c r="T17">
        <v>12</v>
      </c>
      <c r="U17" t="str">
        <f>dbRankPerTitle</f>
        <v>Ordem e percentil</v>
      </c>
      <c r="V17">
        <v>12</v>
      </c>
      <c r="W17" t="str">
        <f>dbRankPerTitle</f>
        <v>Ordem e percentil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2278</v>
      </c>
      <c r="AP17">
        <v>12</v>
      </c>
      <c r="AQ17">
        <v>24</v>
      </c>
      <c r="AR17">
        <v>142</v>
      </c>
      <c r="AU17" t="s">
        <v>2278</v>
      </c>
      <c r="BF17">
        <v>12</v>
      </c>
      <c r="BH17">
        <v>160</v>
      </c>
      <c r="BK17" t="s">
        <v>2284</v>
      </c>
      <c r="BN17">
        <v>12</v>
      </c>
      <c r="BP17">
        <v>167</v>
      </c>
      <c r="BS17" t="s">
        <v>2284</v>
      </c>
      <c r="BV17">
        <v>205</v>
      </c>
      <c r="BW17">
        <v>17</v>
      </c>
      <c r="BX17">
        <v>139</v>
      </c>
      <c r="CA17" t="s">
        <v>2284</v>
      </c>
      <c r="CD17">
        <v>12</v>
      </c>
      <c r="CF17">
        <v>172</v>
      </c>
      <c r="CI17" t="s">
        <v>2284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2251</v>
      </c>
      <c r="CT17">
        <v>5</v>
      </c>
    </row>
    <row r="18" spans="1:104" x14ac:dyDescent="0.25">
      <c r="A18" t="s">
        <v>531</v>
      </c>
      <c r="B18" t="s">
        <v>2288</v>
      </c>
      <c r="T18">
        <v>13</v>
      </c>
      <c r="U18" t="str">
        <f>dbRegressionTitle</f>
        <v>Regressão</v>
      </c>
      <c r="V18">
        <v>13</v>
      </c>
      <c r="W18" t="str">
        <f>dbRegressionTitle</f>
        <v>Regressão</v>
      </c>
      <c r="X18" t="s">
        <v>448</v>
      </c>
      <c r="Y18" s="1" t="s">
        <v>657</v>
      </c>
      <c r="AH18">
        <v>12</v>
      </c>
      <c r="AJ18">
        <v>169</v>
      </c>
      <c r="AM18" t="s">
        <v>2264</v>
      </c>
      <c r="AP18">
        <v>12</v>
      </c>
      <c r="AR18">
        <v>162</v>
      </c>
      <c r="AU18" t="s">
        <v>2264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2289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2290</v>
      </c>
      <c r="T19">
        <v>14</v>
      </c>
      <c r="U19" t="str">
        <f>dbSamplingTitle</f>
        <v>Amostragem</v>
      </c>
      <c r="V19">
        <v>14</v>
      </c>
      <c r="W19" t="str">
        <f>dbSamplingTitle</f>
        <v>Amostragem</v>
      </c>
      <c r="X19" t="s">
        <v>585</v>
      </c>
      <c r="Y19" s="1" t="s">
        <v>662</v>
      </c>
      <c r="AH19">
        <v>12</v>
      </c>
      <c r="AJ19">
        <v>189</v>
      </c>
      <c r="AM19" t="s">
        <v>2284</v>
      </c>
      <c r="AP19">
        <v>12</v>
      </c>
      <c r="AR19">
        <v>182</v>
      </c>
      <c r="AU19" t="s">
        <v>2284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2291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2278</v>
      </c>
      <c r="CT19">
        <v>5</v>
      </c>
    </row>
    <row r="20" spans="1:104" x14ac:dyDescent="0.25">
      <c r="A20" t="s">
        <v>343</v>
      </c>
      <c r="B20" t="s">
        <v>2292</v>
      </c>
      <c r="T20">
        <v>15</v>
      </c>
      <c r="U20" t="str">
        <f>dbTTest1Title</f>
        <v>Teste T: duas amostras emparelhadas para médias</v>
      </c>
      <c r="V20">
        <v>15</v>
      </c>
      <c r="W20" t="str">
        <f>dbTTest1Title</f>
        <v>Teste T: duas amostras emparelhadas para médias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198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2293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2264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Teste T: duas amostras com variâncias iguais</v>
      </c>
      <c r="V21">
        <v>16</v>
      </c>
      <c r="W21" t="str">
        <f>dbTTest2Title</f>
        <v>Teste T: duas amostras com variâncias iguais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198</v>
      </c>
      <c r="BN21">
        <v>113</v>
      </c>
      <c r="BO21">
        <v>18</v>
      </c>
      <c r="BP21">
        <v>209</v>
      </c>
      <c r="BS21" t="s">
        <v>2294</v>
      </c>
      <c r="BT21" t="b">
        <v>0</v>
      </c>
      <c r="CL21">
        <v>12</v>
      </c>
      <c r="CN21">
        <v>230</v>
      </c>
      <c r="CQ21" t="s">
        <v>2284</v>
      </c>
      <c r="CT21">
        <v>5</v>
      </c>
    </row>
    <row r="22" spans="1:104" x14ac:dyDescent="0.25">
      <c r="A22" t="s">
        <v>440</v>
      </c>
      <c r="B22" t="s">
        <v>2240</v>
      </c>
      <c r="T22">
        <v>17</v>
      </c>
      <c r="U22" t="str">
        <f>dbTTest3Title</f>
        <v>Teste T: duas amostras com variâncias desiguais</v>
      </c>
      <c r="V22">
        <v>17</v>
      </c>
      <c r="W22" t="str">
        <f>dbTTest3Title</f>
        <v>Teste T: duas amostras com variâncias desiguais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420</v>
      </c>
      <c r="AT22">
        <v>53</v>
      </c>
      <c r="AU22" t="s">
        <v>2295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2296</v>
      </c>
    </row>
    <row r="23" spans="1:104" x14ac:dyDescent="0.25">
      <c r="A23" t="s">
        <v>443</v>
      </c>
      <c r="B23" t="s">
        <v>2297</v>
      </c>
      <c r="T23">
        <v>18</v>
      </c>
      <c r="U23" t="str">
        <f>dbZTestTitle</f>
        <v>Teste Z: duas amostras para médias</v>
      </c>
      <c r="V23">
        <v>18</v>
      </c>
      <c r="W23" t="str">
        <f>dbZTestTitle</f>
        <v>Teste Z: duas amostras para médias</v>
      </c>
      <c r="X23" t="s">
        <v>357</v>
      </c>
      <c r="Y23" s="1" t="s">
        <v>674</v>
      </c>
      <c r="AP23">
        <v>13</v>
      </c>
      <c r="AR23">
        <v>216</v>
      </c>
      <c r="AU23" t="s">
        <v>2298</v>
      </c>
      <c r="AV23" t="b">
        <v>0</v>
      </c>
      <c r="BF23" s="1" t="s">
        <v>666</v>
      </c>
      <c r="BI23">
        <v>515</v>
      </c>
      <c r="BJ23">
        <v>191</v>
      </c>
      <c r="BK23" t="s">
        <v>2299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2300</v>
      </c>
      <c r="X24" t="s">
        <v>551</v>
      </c>
      <c r="AP24">
        <v>13</v>
      </c>
      <c r="AR24">
        <v>231</v>
      </c>
      <c r="AU24" t="s">
        <v>2301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2302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2303</v>
      </c>
    </row>
    <row r="25" spans="1:104" x14ac:dyDescent="0.25">
      <c r="A25" t="s">
        <v>552</v>
      </c>
      <c r="B25" t="s">
        <v>2304</v>
      </c>
      <c r="X25" t="s">
        <v>554</v>
      </c>
      <c r="AH25" t="s">
        <v>614</v>
      </c>
      <c r="AP25">
        <v>13</v>
      </c>
      <c r="AQ25">
        <v>204</v>
      </c>
      <c r="AR25">
        <v>216</v>
      </c>
      <c r="AU25" t="s">
        <v>2305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2248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547</v>
      </c>
      <c r="CH25">
        <v>227</v>
      </c>
      <c r="CI25" t="s">
        <v>2306</v>
      </c>
      <c r="CJ25">
        <v>5</v>
      </c>
      <c r="CT25">
        <v>7</v>
      </c>
      <c r="CU25">
        <v>224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2307</v>
      </c>
      <c r="X26" t="s">
        <v>376</v>
      </c>
      <c r="AH26" s="1" t="s">
        <v>664</v>
      </c>
      <c r="AK26">
        <v>509</v>
      </c>
      <c r="AL26">
        <v>187</v>
      </c>
      <c r="AM26" t="s">
        <v>2297</v>
      </c>
      <c r="AN26">
        <v>5</v>
      </c>
      <c r="AP26">
        <v>13</v>
      </c>
      <c r="AR26">
        <v>231</v>
      </c>
      <c r="AU26" t="s">
        <v>2308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2250</v>
      </c>
      <c r="BN26">
        <v>113</v>
      </c>
      <c r="BO26">
        <v>18</v>
      </c>
      <c r="BP26">
        <v>247</v>
      </c>
      <c r="BS26" t="s">
        <v>2309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2251</v>
      </c>
    </row>
    <row r="27" spans="1:104" x14ac:dyDescent="0.25">
      <c r="A27" t="s">
        <v>377</v>
      </c>
      <c r="B27" t="s">
        <v>2310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420</v>
      </c>
      <c r="AT27">
        <v>35</v>
      </c>
      <c r="AU27" t="s">
        <v>2311</v>
      </c>
      <c r="BF27">
        <v>5</v>
      </c>
      <c r="BG27">
        <v>18</v>
      </c>
      <c r="BH27">
        <v>19</v>
      </c>
      <c r="BK27" t="s">
        <v>2253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2248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2312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2248</v>
      </c>
      <c r="AP28">
        <v>13</v>
      </c>
      <c r="AR28">
        <v>270</v>
      </c>
      <c r="AU28" t="s">
        <v>2313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2250</v>
      </c>
      <c r="CT28">
        <v>12</v>
      </c>
      <c r="CU28">
        <v>17</v>
      </c>
      <c r="CV28">
        <v>225</v>
      </c>
      <c r="CY28" t="s">
        <v>2278</v>
      </c>
    </row>
    <row r="29" spans="1:104" x14ac:dyDescent="0.25">
      <c r="A29" t="s">
        <v>383</v>
      </c>
      <c r="B29" t="s">
        <v>2314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2250</v>
      </c>
      <c r="AP29">
        <v>24</v>
      </c>
      <c r="AQ29">
        <v>455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2258</v>
      </c>
      <c r="CD29">
        <v>5</v>
      </c>
      <c r="CE29">
        <v>17</v>
      </c>
      <c r="CF29">
        <v>18</v>
      </c>
      <c r="CI29" t="s">
        <v>2255</v>
      </c>
      <c r="CT29">
        <v>12</v>
      </c>
      <c r="CV29">
        <v>245</v>
      </c>
      <c r="CY29" t="s">
        <v>2315</v>
      </c>
    </row>
    <row r="30" spans="1:104" x14ac:dyDescent="0.25">
      <c r="A30" t="s">
        <v>600</v>
      </c>
      <c r="B30" t="s">
        <v>2316</v>
      </c>
      <c r="X30" t="s">
        <v>332</v>
      </c>
      <c r="AH30">
        <v>5</v>
      </c>
      <c r="AI30">
        <v>20</v>
      </c>
      <c r="AJ30">
        <v>19</v>
      </c>
      <c r="AM30" t="s">
        <v>2253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2284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2268</v>
      </c>
      <c r="CD31">
        <v>5</v>
      </c>
      <c r="CE31">
        <v>17</v>
      </c>
      <c r="CF31">
        <v>41</v>
      </c>
      <c r="CI31" t="s">
        <v>2262</v>
      </c>
      <c r="CT31">
        <v>210</v>
      </c>
      <c r="CU31">
        <v>224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2317</v>
      </c>
      <c r="AH32">
        <v>5</v>
      </c>
      <c r="AI32">
        <v>20</v>
      </c>
      <c r="AJ32">
        <v>45</v>
      </c>
      <c r="AM32" t="s">
        <v>2318</v>
      </c>
      <c r="BF32">
        <v>12</v>
      </c>
      <c r="BK32" t="s">
        <v>2271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224</v>
      </c>
      <c r="CV32">
        <v>243</v>
      </c>
      <c r="CW32">
        <v>160</v>
      </c>
    </row>
    <row r="33" spans="1:104" x14ac:dyDescent="0.25">
      <c r="A33" t="s">
        <v>307</v>
      </c>
      <c r="B33" t="s">
        <v>2319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2270</v>
      </c>
      <c r="BL33" t="b">
        <v>0</v>
      </c>
      <c r="CD33">
        <v>5</v>
      </c>
      <c r="CE33">
        <v>17</v>
      </c>
      <c r="CF33">
        <v>70</v>
      </c>
      <c r="CI33" t="s">
        <v>2320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2321</v>
      </c>
      <c r="AH34">
        <v>5</v>
      </c>
      <c r="AI34">
        <v>20</v>
      </c>
      <c r="AJ34">
        <v>68</v>
      </c>
      <c r="AM34" t="s">
        <v>1019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2251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2322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2263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2251</v>
      </c>
      <c r="BF36">
        <v>12</v>
      </c>
      <c r="BG36">
        <v>18</v>
      </c>
      <c r="BH36">
        <v>120</v>
      </c>
      <c r="BK36" t="s">
        <v>2278</v>
      </c>
      <c r="CD36">
        <v>5</v>
      </c>
      <c r="CE36">
        <v>17</v>
      </c>
      <c r="CF36">
        <v>114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2323</v>
      </c>
      <c r="AH37">
        <v>111</v>
      </c>
      <c r="AN37">
        <v>2</v>
      </c>
      <c r="BF37">
        <v>12</v>
      </c>
      <c r="BH37">
        <v>140</v>
      </c>
      <c r="BK37" t="s">
        <v>2264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2324</v>
      </c>
      <c r="AH38">
        <v>12</v>
      </c>
      <c r="AI38">
        <v>20</v>
      </c>
      <c r="AJ38">
        <v>115</v>
      </c>
      <c r="AM38" t="s">
        <v>2278</v>
      </c>
      <c r="BF38">
        <v>12</v>
      </c>
      <c r="BH38">
        <v>160</v>
      </c>
      <c r="BK38" t="s">
        <v>2284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2251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2264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2325</v>
      </c>
      <c r="AH40">
        <v>12</v>
      </c>
      <c r="AJ40">
        <v>155</v>
      </c>
      <c r="AM40" t="s">
        <v>2284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2278</v>
      </c>
      <c r="CT40">
        <v>5</v>
      </c>
    </row>
    <row r="41" spans="1:104" x14ac:dyDescent="0.25">
      <c r="A41" t="s">
        <v>492</v>
      </c>
      <c r="B41" t="s">
        <v>2326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2264</v>
      </c>
      <c r="CT41">
        <v>5</v>
      </c>
    </row>
    <row r="42" spans="1:104" x14ac:dyDescent="0.25">
      <c r="A42" t="s">
        <v>494</v>
      </c>
      <c r="B42" t="s">
        <v>2327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2284</v>
      </c>
      <c r="CT42">
        <v>5</v>
      </c>
    </row>
    <row r="43" spans="1:104" x14ac:dyDescent="0.25">
      <c r="A43" t="s">
        <v>496</v>
      </c>
      <c r="B43" t="s">
        <v>2328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2329</v>
      </c>
      <c r="BF44" s="1" t="s">
        <v>670</v>
      </c>
      <c r="BI44">
        <v>515</v>
      </c>
      <c r="BJ44">
        <v>191</v>
      </c>
      <c r="BK44" t="s">
        <v>2330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2331</v>
      </c>
    </row>
    <row r="45" spans="1:104" x14ac:dyDescent="0.25">
      <c r="A45" t="s">
        <v>422</v>
      </c>
      <c r="B45" t="s">
        <v>2332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2333</v>
      </c>
      <c r="BF46">
        <v>2</v>
      </c>
      <c r="BG46">
        <v>407</v>
      </c>
      <c r="BH46">
        <v>30</v>
      </c>
      <c r="BI46">
        <v>90</v>
      </c>
      <c r="BK46" t="s">
        <v>2248</v>
      </c>
      <c r="CT46">
        <v>5</v>
      </c>
      <c r="CU46">
        <v>184</v>
      </c>
      <c r="CV46">
        <v>114</v>
      </c>
      <c r="CY46" t="s">
        <v>2334</v>
      </c>
    </row>
    <row r="47" spans="1:104" x14ac:dyDescent="0.25">
      <c r="A47" t="s">
        <v>427</v>
      </c>
      <c r="B47" t="s">
        <v>2335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2250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2336</v>
      </c>
      <c r="AH48" s="1" t="s">
        <v>665</v>
      </c>
      <c r="AK48">
        <v>515</v>
      </c>
      <c r="AL48">
        <v>185</v>
      </c>
      <c r="AM48" t="s">
        <v>2300</v>
      </c>
      <c r="AN48">
        <v>5</v>
      </c>
      <c r="BF48">
        <v>5</v>
      </c>
      <c r="BG48">
        <v>18</v>
      </c>
      <c r="BH48">
        <v>19</v>
      </c>
      <c r="BK48" t="s">
        <v>2253</v>
      </c>
    </row>
    <row r="49" spans="1:104" x14ac:dyDescent="0.25">
      <c r="A49" t="s">
        <v>431</v>
      </c>
      <c r="B49" t="s">
        <v>2243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2314</v>
      </c>
      <c r="AH50">
        <v>2</v>
      </c>
      <c r="AI50">
        <v>407</v>
      </c>
      <c r="AJ50">
        <v>30</v>
      </c>
      <c r="AK50">
        <v>90</v>
      </c>
      <c r="AM50" t="s">
        <v>2248</v>
      </c>
      <c r="BF50">
        <v>5</v>
      </c>
      <c r="BG50">
        <v>18</v>
      </c>
      <c r="BH50">
        <v>44</v>
      </c>
      <c r="BK50" t="s">
        <v>2258</v>
      </c>
      <c r="CD50" s="1" t="s">
        <v>672</v>
      </c>
      <c r="CG50">
        <v>550</v>
      </c>
      <c r="CH50">
        <v>227</v>
      </c>
      <c r="CI50" t="s">
        <v>2337</v>
      </c>
      <c r="CJ50">
        <v>5</v>
      </c>
      <c r="CT50">
        <v>5</v>
      </c>
      <c r="CU50">
        <v>17</v>
      </c>
      <c r="CV50">
        <v>101</v>
      </c>
      <c r="CY50" t="s">
        <v>768</v>
      </c>
      <c r="CZ50" t="s">
        <v>599</v>
      </c>
    </row>
    <row r="51" spans="1:104" x14ac:dyDescent="0.25">
      <c r="A51" t="s">
        <v>439</v>
      </c>
      <c r="B51" t="s">
        <v>2338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2250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45</v>
      </c>
      <c r="CV51">
        <v>99</v>
      </c>
      <c r="CW51">
        <v>60</v>
      </c>
    </row>
    <row r="52" spans="1:104" x14ac:dyDescent="0.25">
      <c r="A52" t="s">
        <v>419</v>
      </c>
      <c r="B52" t="s">
        <v>2339</v>
      </c>
      <c r="AH52">
        <v>5</v>
      </c>
      <c r="AI52">
        <v>18</v>
      </c>
      <c r="AJ52">
        <v>19</v>
      </c>
      <c r="AM52" t="s">
        <v>2253</v>
      </c>
      <c r="BF52">
        <v>12</v>
      </c>
      <c r="BG52">
        <v>220</v>
      </c>
      <c r="BH52">
        <v>40</v>
      </c>
      <c r="BK52" t="s">
        <v>2268</v>
      </c>
      <c r="CD52">
        <v>2</v>
      </c>
      <c r="CE52">
        <v>440</v>
      </c>
      <c r="CF52">
        <v>30</v>
      </c>
      <c r="CG52">
        <v>90</v>
      </c>
      <c r="CI52" t="s">
        <v>2248</v>
      </c>
      <c r="CT52">
        <v>5</v>
      </c>
      <c r="CU52">
        <v>122</v>
      </c>
      <c r="CV52">
        <v>101</v>
      </c>
      <c r="CY52" t="s">
        <v>2340</v>
      </c>
    </row>
    <row r="53" spans="1:104" x14ac:dyDescent="0.25">
      <c r="A53" t="s">
        <v>338</v>
      </c>
      <c r="B53" t="s">
        <v>2341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2271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2250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2342</v>
      </c>
      <c r="AH54">
        <v>13</v>
      </c>
      <c r="AI54">
        <v>19</v>
      </c>
      <c r="AJ54">
        <v>41</v>
      </c>
      <c r="AM54" t="s">
        <v>2263</v>
      </c>
      <c r="AN54" t="b">
        <v>0</v>
      </c>
      <c r="BF54">
        <v>13</v>
      </c>
      <c r="BG54">
        <v>18</v>
      </c>
      <c r="BH54">
        <v>75</v>
      </c>
      <c r="BK54" t="s">
        <v>2270</v>
      </c>
      <c r="BL54" t="b">
        <v>0</v>
      </c>
      <c r="CD54">
        <v>5</v>
      </c>
      <c r="CE54">
        <v>17</v>
      </c>
      <c r="CF54">
        <v>18</v>
      </c>
      <c r="CI54" t="s">
        <v>2255</v>
      </c>
      <c r="CT54">
        <v>5</v>
      </c>
      <c r="CU54">
        <v>232</v>
      </c>
      <c r="CV54">
        <v>101</v>
      </c>
      <c r="CY54" t="s">
        <v>2343</v>
      </c>
    </row>
    <row r="55" spans="1:104" x14ac:dyDescent="0.25">
      <c r="A55" t="s">
        <v>177</v>
      </c>
      <c r="B55" t="s">
        <v>2344</v>
      </c>
      <c r="AH55">
        <v>5</v>
      </c>
      <c r="AI55">
        <v>20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2251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2345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2262</v>
      </c>
      <c r="CT56">
        <v>5</v>
      </c>
      <c r="CU56">
        <v>17</v>
      </c>
      <c r="CV56">
        <v>131</v>
      </c>
      <c r="CY56" t="s">
        <v>2346</v>
      </c>
    </row>
    <row r="57" spans="1:104" x14ac:dyDescent="0.25">
      <c r="A57" t="s">
        <v>557</v>
      </c>
      <c r="B57" t="s">
        <v>2347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2251</v>
      </c>
      <c r="BF57">
        <v>12</v>
      </c>
      <c r="BG57">
        <v>18</v>
      </c>
      <c r="BH57">
        <v>120</v>
      </c>
      <c r="BK57" t="s">
        <v>2278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2348</v>
      </c>
      <c r="AH58">
        <v>111</v>
      </c>
      <c r="AN58">
        <v>2</v>
      </c>
      <c r="BF58">
        <v>12</v>
      </c>
      <c r="BH58">
        <v>140</v>
      </c>
      <c r="BK58" t="s">
        <v>2264</v>
      </c>
      <c r="CD58">
        <v>5</v>
      </c>
      <c r="CE58">
        <v>17</v>
      </c>
      <c r="CF58">
        <v>70</v>
      </c>
      <c r="CI58" t="s">
        <v>2320</v>
      </c>
      <c r="CT58">
        <v>5</v>
      </c>
      <c r="CU58">
        <v>288</v>
      </c>
      <c r="CV58">
        <v>131</v>
      </c>
      <c r="CY58" t="s">
        <v>2349</v>
      </c>
    </row>
    <row r="59" spans="1:104" x14ac:dyDescent="0.25">
      <c r="A59" t="s">
        <v>188</v>
      </c>
      <c r="B59" t="s">
        <v>2350</v>
      </c>
      <c r="AH59">
        <v>12</v>
      </c>
      <c r="AI59">
        <v>20</v>
      </c>
      <c r="AJ59">
        <v>107</v>
      </c>
      <c r="AM59" t="s">
        <v>2278</v>
      </c>
      <c r="BF59">
        <v>12</v>
      </c>
      <c r="BH59">
        <v>160</v>
      </c>
      <c r="BK59" t="s">
        <v>2284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2351</v>
      </c>
    </row>
    <row r="60" spans="1:104" x14ac:dyDescent="0.25">
      <c r="A60" t="s">
        <v>564</v>
      </c>
      <c r="B60" t="s">
        <v>2352</v>
      </c>
      <c r="AH60">
        <v>12</v>
      </c>
      <c r="AJ60">
        <v>127</v>
      </c>
      <c r="AM60" t="s">
        <v>2264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2263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2353</v>
      </c>
      <c r="AH61">
        <v>12</v>
      </c>
      <c r="AJ61">
        <v>147</v>
      </c>
      <c r="AM61" t="s">
        <v>2284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1019</v>
      </c>
      <c r="CT61">
        <v>5</v>
      </c>
      <c r="CU61">
        <v>288</v>
      </c>
      <c r="CV61">
        <v>153</v>
      </c>
      <c r="CY61" t="s">
        <v>2349</v>
      </c>
    </row>
    <row r="62" spans="1:104" x14ac:dyDescent="0.25">
      <c r="A62" t="s">
        <v>568</v>
      </c>
      <c r="B62" t="s">
        <v>2354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2355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2251</v>
      </c>
      <c r="CT63" t="s">
        <v>554</v>
      </c>
    </row>
    <row r="64" spans="1:104" x14ac:dyDescent="0.25">
      <c r="A64" t="s">
        <v>572</v>
      </c>
      <c r="B64" t="s">
        <v>2242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2299</v>
      </c>
      <c r="CD65">
        <v>12</v>
      </c>
      <c r="CE65">
        <v>17</v>
      </c>
      <c r="CF65">
        <v>156</v>
      </c>
      <c r="CI65" t="s">
        <v>2278</v>
      </c>
      <c r="CT65">
        <v>5</v>
      </c>
    </row>
    <row r="66" spans="1:104" x14ac:dyDescent="0.25">
      <c r="A66" t="s">
        <v>194</v>
      </c>
      <c r="B66" t="s">
        <v>2244</v>
      </c>
      <c r="BF66" t="s">
        <v>334</v>
      </c>
      <c r="CD66">
        <v>12</v>
      </c>
      <c r="CF66">
        <v>176</v>
      </c>
      <c r="CI66" t="s">
        <v>2264</v>
      </c>
      <c r="CT66">
        <v>5</v>
      </c>
    </row>
    <row r="67" spans="1:104" x14ac:dyDescent="0.25">
      <c r="A67" t="s">
        <v>195</v>
      </c>
      <c r="B67" t="s">
        <v>2356</v>
      </c>
      <c r="BF67" s="1" t="s">
        <v>667</v>
      </c>
      <c r="BI67">
        <v>515</v>
      </c>
      <c r="BJ67">
        <v>181</v>
      </c>
      <c r="BK67" t="s">
        <v>2357</v>
      </c>
      <c r="BL67">
        <v>5</v>
      </c>
      <c r="CD67">
        <v>12</v>
      </c>
      <c r="CF67">
        <v>196</v>
      </c>
      <c r="CI67" t="s">
        <v>2284</v>
      </c>
      <c r="CT67">
        <v>5</v>
      </c>
    </row>
    <row r="68" spans="1:104" x14ac:dyDescent="0.25">
      <c r="A68" t="s">
        <v>576</v>
      </c>
      <c r="B68" t="s">
        <v>577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2358</v>
      </c>
      <c r="AH69" s="1" t="s">
        <v>669</v>
      </c>
      <c r="AK69">
        <v>515</v>
      </c>
      <c r="AL69">
        <v>205</v>
      </c>
      <c r="AM69" t="s">
        <v>2356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2248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2359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2250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2360</v>
      </c>
      <c r="AH71">
        <v>2</v>
      </c>
      <c r="AI71">
        <v>407</v>
      </c>
      <c r="AJ71">
        <v>30</v>
      </c>
      <c r="AK71">
        <v>90</v>
      </c>
      <c r="AM71" t="s">
        <v>2248</v>
      </c>
      <c r="BF71">
        <v>5</v>
      </c>
      <c r="BG71">
        <v>18</v>
      </c>
      <c r="BH71">
        <v>19</v>
      </c>
      <c r="BK71" t="s">
        <v>2253</v>
      </c>
      <c r="CT71">
        <v>5</v>
      </c>
    </row>
    <row r="72" spans="1:104" x14ac:dyDescent="0.25">
      <c r="A72" t="s">
        <v>200</v>
      </c>
      <c r="B72" t="s">
        <v>2361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2250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2362</v>
      </c>
    </row>
    <row r="73" spans="1:104" x14ac:dyDescent="0.25">
      <c r="A73" t="s">
        <v>203</v>
      </c>
      <c r="B73" t="s">
        <v>2363</v>
      </c>
      <c r="AH73">
        <v>5</v>
      </c>
      <c r="AI73">
        <v>18</v>
      </c>
      <c r="AJ73">
        <v>19</v>
      </c>
      <c r="AM73" t="s">
        <v>2253</v>
      </c>
      <c r="BF73">
        <v>13</v>
      </c>
      <c r="BG73">
        <v>18</v>
      </c>
      <c r="BH73">
        <v>40</v>
      </c>
      <c r="BK73" t="s">
        <v>2270</v>
      </c>
      <c r="BL73" t="b">
        <v>0</v>
      </c>
      <c r="CT73">
        <v>8</v>
      </c>
      <c r="CU73">
        <v>224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2364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2251</v>
      </c>
      <c r="CD74" t="s">
        <v>441</v>
      </c>
      <c r="CT74">
        <v>5</v>
      </c>
      <c r="CU74">
        <v>24</v>
      </c>
      <c r="CV74">
        <v>134</v>
      </c>
      <c r="CY74" t="s">
        <v>2365</v>
      </c>
    </row>
    <row r="75" spans="1:104" x14ac:dyDescent="0.25">
      <c r="A75" t="s">
        <v>207</v>
      </c>
      <c r="B75" t="s">
        <v>2366</v>
      </c>
      <c r="AH75">
        <v>13</v>
      </c>
      <c r="AI75">
        <v>18</v>
      </c>
      <c r="AJ75">
        <v>41</v>
      </c>
      <c r="AM75" t="s">
        <v>2270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2367</v>
      </c>
      <c r="CJ75">
        <v>5</v>
      </c>
      <c r="CT75">
        <v>8</v>
      </c>
      <c r="CU75">
        <v>224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2368</v>
      </c>
      <c r="AH76">
        <v>5</v>
      </c>
      <c r="AI76">
        <v>18</v>
      </c>
      <c r="AJ76">
        <v>69</v>
      </c>
      <c r="AM76" t="s">
        <v>2369</v>
      </c>
      <c r="BF76">
        <v>12</v>
      </c>
      <c r="BG76">
        <v>18</v>
      </c>
      <c r="BH76">
        <v>86</v>
      </c>
      <c r="BK76" t="s">
        <v>2278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2264</v>
      </c>
      <c r="CD77">
        <v>2</v>
      </c>
      <c r="CE77">
        <v>440</v>
      </c>
      <c r="CF77">
        <v>30</v>
      </c>
      <c r="CG77">
        <v>90</v>
      </c>
      <c r="CI77" t="s">
        <v>2248</v>
      </c>
      <c r="CT77" t="s">
        <v>376</v>
      </c>
    </row>
    <row r="78" spans="1:104" x14ac:dyDescent="0.25">
      <c r="A78" t="s">
        <v>219</v>
      </c>
      <c r="B78" t="s">
        <v>2245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2251</v>
      </c>
      <c r="BF78">
        <v>12</v>
      </c>
      <c r="BH78">
        <v>126</v>
      </c>
      <c r="BK78" t="s">
        <v>2284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2250</v>
      </c>
      <c r="CT78">
        <v>5</v>
      </c>
      <c r="CZ78" t="s">
        <v>376</v>
      </c>
    </row>
    <row r="79" spans="1:104" x14ac:dyDescent="0.25">
      <c r="A79" t="s">
        <v>220</v>
      </c>
      <c r="B79" t="s">
        <v>2337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2255</v>
      </c>
      <c r="CT79">
        <v>5</v>
      </c>
    </row>
    <row r="80" spans="1:104" x14ac:dyDescent="0.25">
      <c r="A80" t="s">
        <v>221</v>
      </c>
      <c r="B80" t="s">
        <v>2306</v>
      </c>
      <c r="AH80">
        <v>5</v>
      </c>
      <c r="AI80">
        <v>18</v>
      </c>
      <c r="AJ80">
        <v>112</v>
      </c>
      <c r="AM80" t="s">
        <v>2278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2367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2370</v>
      </c>
      <c r="BL81" t="b">
        <v>0</v>
      </c>
      <c r="CD81">
        <v>5</v>
      </c>
      <c r="CE81">
        <v>17</v>
      </c>
      <c r="CF81">
        <v>41</v>
      </c>
      <c r="CI81" t="s">
        <v>2262</v>
      </c>
      <c r="CT81">
        <v>5</v>
      </c>
    </row>
    <row r="82" spans="1:104" x14ac:dyDescent="0.25">
      <c r="A82" t="s">
        <v>606</v>
      </c>
      <c r="B82" t="s">
        <v>2371</v>
      </c>
      <c r="AH82">
        <v>205</v>
      </c>
      <c r="AI82">
        <v>18</v>
      </c>
      <c r="AJ82">
        <v>132</v>
      </c>
      <c r="AM82" t="s">
        <v>2264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2372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2373</v>
      </c>
      <c r="CT83">
        <v>5</v>
      </c>
    </row>
    <row r="84" spans="1:104" x14ac:dyDescent="0.25">
      <c r="A84" t="s">
        <v>303</v>
      </c>
      <c r="B84" t="s">
        <v>2374</v>
      </c>
      <c r="AH84">
        <v>205</v>
      </c>
      <c r="AI84">
        <v>18</v>
      </c>
      <c r="AJ84">
        <v>152</v>
      </c>
      <c r="AM84" t="s">
        <v>2284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2375</v>
      </c>
      <c r="AH85">
        <v>13</v>
      </c>
      <c r="AI85">
        <v>18</v>
      </c>
      <c r="AJ85">
        <v>175</v>
      </c>
      <c r="AM85" t="s">
        <v>2376</v>
      </c>
      <c r="AN85" t="b">
        <v>0</v>
      </c>
      <c r="CD85">
        <v>13</v>
      </c>
      <c r="CE85">
        <v>18</v>
      </c>
      <c r="CF85">
        <v>87</v>
      </c>
      <c r="CI85" t="s">
        <v>2263</v>
      </c>
      <c r="CJ85" t="b">
        <v>0</v>
      </c>
      <c r="CT85">
        <v>5</v>
      </c>
    </row>
    <row r="86" spans="1:104" x14ac:dyDescent="0.25">
      <c r="A86" t="s">
        <v>228</v>
      </c>
      <c r="B86" t="s">
        <v>2377</v>
      </c>
      <c r="AH86">
        <v>13</v>
      </c>
      <c r="AI86">
        <v>222</v>
      </c>
      <c r="AJ86">
        <v>175</v>
      </c>
      <c r="AM86" t="s">
        <v>2291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1019</v>
      </c>
      <c r="CT86">
        <v>5</v>
      </c>
    </row>
    <row r="87" spans="1:104" x14ac:dyDescent="0.25">
      <c r="A87" t="s">
        <v>231</v>
      </c>
      <c r="B87" t="s">
        <v>2378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515</v>
      </c>
      <c r="BJ87">
        <v>241</v>
      </c>
      <c r="BK87" t="s">
        <v>2361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2379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2251</v>
      </c>
      <c r="CT88">
        <v>5</v>
      </c>
      <c r="CU88">
        <v>26</v>
      </c>
      <c r="CV88">
        <v>108</v>
      </c>
      <c r="CY88" t="s">
        <v>2380</v>
      </c>
    </row>
    <row r="89" spans="1:104" x14ac:dyDescent="0.25">
      <c r="A89" t="s">
        <v>299</v>
      </c>
      <c r="B89" t="s">
        <v>2381</v>
      </c>
      <c r="BF89">
        <v>2</v>
      </c>
      <c r="BG89">
        <v>407</v>
      </c>
      <c r="BH89">
        <v>30</v>
      </c>
      <c r="BI89">
        <v>90</v>
      </c>
      <c r="BK89" t="s">
        <v>2248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2382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2250</v>
      </c>
      <c r="CD90">
        <v>12</v>
      </c>
      <c r="CE90">
        <v>17</v>
      </c>
      <c r="CF90">
        <v>152</v>
      </c>
      <c r="CI90" t="s">
        <v>2278</v>
      </c>
    </row>
    <row r="91" spans="1:104" x14ac:dyDescent="0.25">
      <c r="A91" t="s">
        <v>237</v>
      </c>
      <c r="B91" t="s">
        <v>2383</v>
      </c>
      <c r="BF91">
        <v>5</v>
      </c>
      <c r="BG91">
        <v>18</v>
      </c>
      <c r="BH91">
        <v>19</v>
      </c>
      <c r="BK91" t="s">
        <v>2253</v>
      </c>
      <c r="CD91">
        <v>12</v>
      </c>
      <c r="CF91">
        <v>172</v>
      </c>
      <c r="CI91" t="s">
        <v>2264</v>
      </c>
      <c r="CT91" t="s">
        <v>379</v>
      </c>
    </row>
    <row r="92" spans="1:104" x14ac:dyDescent="0.25">
      <c r="A92" t="s">
        <v>239</v>
      </c>
      <c r="B92" t="s">
        <v>2384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2284</v>
      </c>
      <c r="CT92">
        <v>5</v>
      </c>
      <c r="CZ92" t="s">
        <v>379</v>
      </c>
    </row>
    <row r="93" spans="1:104" x14ac:dyDescent="0.25">
      <c r="A93" t="s">
        <v>485</v>
      </c>
      <c r="B93" t="s">
        <v>2385</v>
      </c>
      <c r="BF93">
        <v>5</v>
      </c>
      <c r="BG93">
        <v>18</v>
      </c>
      <c r="BH93">
        <v>43</v>
      </c>
      <c r="BK93" t="s">
        <v>2386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2387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2388</v>
      </c>
      <c r="BF95">
        <v>13</v>
      </c>
      <c r="BG95">
        <v>18</v>
      </c>
      <c r="BH95">
        <v>66</v>
      </c>
      <c r="BK95" t="s">
        <v>2263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2389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2251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2390</v>
      </c>
      <c r="BF98">
        <v>12</v>
      </c>
      <c r="BG98">
        <v>18</v>
      </c>
      <c r="BH98">
        <v>112</v>
      </c>
      <c r="BK98" t="s">
        <v>2278</v>
      </c>
      <c r="CT98">
        <v>5</v>
      </c>
    </row>
    <row r="99" spans="1:104" x14ac:dyDescent="0.25">
      <c r="A99" t="s">
        <v>252</v>
      </c>
      <c r="B99" t="s">
        <v>2391</v>
      </c>
      <c r="BF99">
        <v>12</v>
      </c>
      <c r="BH99">
        <v>132</v>
      </c>
      <c r="BK99" t="s">
        <v>2264</v>
      </c>
      <c r="CD99" t="s">
        <v>357</v>
      </c>
      <c r="CT99">
        <v>5</v>
      </c>
    </row>
    <row r="100" spans="1:104" x14ac:dyDescent="0.25">
      <c r="A100" t="s">
        <v>511</v>
      </c>
      <c r="B100" t="s">
        <v>2392</v>
      </c>
      <c r="BF100">
        <v>12</v>
      </c>
      <c r="BH100">
        <v>152</v>
      </c>
      <c r="BK100" t="s">
        <v>2284</v>
      </c>
      <c r="CD100" s="1" t="s">
        <v>674</v>
      </c>
      <c r="CG100">
        <v>577</v>
      </c>
      <c r="CH100">
        <v>281</v>
      </c>
      <c r="CI100" t="s">
        <v>2393</v>
      </c>
      <c r="CJ100">
        <v>5</v>
      </c>
      <c r="CT100">
        <v>5</v>
      </c>
      <c r="CU100">
        <v>23</v>
      </c>
      <c r="CV100">
        <v>131</v>
      </c>
      <c r="CY100" t="s">
        <v>2394</v>
      </c>
    </row>
    <row r="101" spans="1:104" x14ac:dyDescent="0.25">
      <c r="A101" t="s">
        <v>513</v>
      </c>
      <c r="B101" t="s">
        <v>2395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224</v>
      </c>
      <c r="CV101">
        <v>128</v>
      </c>
      <c r="CW101">
        <v>60</v>
      </c>
    </row>
    <row r="102" spans="1:104" x14ac:dyDescent="0.25">
      <c r="A102" t="s">
        <v>515</v>
      </c>
      <c r="B102" t="s">
        <v>2330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2248</v>
      </c>
      <c r="CT102">
        <v>5</v>
      </c>
      <c r="CU102">
        <v>25</v>
      </c>
      <c r="CV102">
        <v>108</v>
      </c>
      <c r="CY102" t="s">
        <v>2380</v>
      </c>
    </row>
    <row r="103" spans="1:104" x14ac:dyDescent="0.25">
      <c r="A103" t="s">
        <v>516</v>
      </c>
      <c r="B103" t="s">
        <v>2396</v>
      </c>
      <c r="BF103">
        <v>13</v>
      </c>
      <c r="BG103">
        <v>18</v>
      </c>
      <c r="BH103">
        <v>174</v>
      </c>
      <c r="BK103" t="s">
        <v>2397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2250</v>
      </c>
      <c r="CT103">
        <v>8</v>
      </c>
      <c r="CU103">
        <v>224</v>
      </c>
      <c r="CV103">
        <v>105</v>
      </c>
      <c r="CW103">
        <v>60</v>
      </c>
    </row>
    <row r="104" spans="1:104" x14ac:dyDescent="0.25">
      <c r="A104" t="s">
        <v>519</v>
      </c>
      <c r="B104" t="s">
        <v>2398</v>
      </c>
      <c r="BF104">
        <v>13</v>
      </c>
      <c r="BK104" t="s">
        <v>2399</v>
      </c>
      <c r="BL104" t="b">
        <v>0</v>
      </c>
      <c r="CD104">
        <v>5</v>
      </c>
      <c r="CE104">
        <v>17</v>
      </c>
      <c r="CF104">
        <v>18</v>
      </c>
      <c r="CI104" t="s">
        <v>2400</v>
      </c>
    </row>
    <row r="105" spans="1:104" x14ac:dyDescent="0.25">
      <c r="A105" t="s">
        <v>534</v>
      </c>
      <c r="B105" t="s">
        <v>2401</v>
      </c>
      <c r="BF105">
        <v>13</v>
      </c>
      <c r="BK105" t="s">
        <v>2289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2402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2262</v>
      </c>
      <c r="CT106">
        <v>5</v>
      </c>
      <c r="CZ106" t="s">
        <v>382</v>
      </c>
    </row>
    <row r="107" spans="1:104" x14ac:dyDescent="0.25">
      <c r="A107" t="s">
        <v>538</v>
      </c>
      <c r="B107" t="s">
        <v>2247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826</v>
      </c>
      <c r="CD108">
        <v>5</v>
      </c>
      <c r="CE108">
        <v>17</v>
      </c>
      <c r="CF108">
        <v>68</v>
      </c>
      <c r="CI108" t="s">
        <v>2373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2403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2404</v>
      </c>
      <c r="CT112">
        <v>5</v>
      </c>
    </row>
    <row r="113" spans="1:104" x14ac:dyDescent="0.25">
      <c r="A113" t="s">
        <v>539</v>
      </c>
      <c r="B113" t="s">
        <v>2405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2406</v>
      </c>
      <c r="CD114">
        <v>13</v>
      </c>
      <c r="CE114">
        <v>17</v>
      </c>
      <c r="CF114">
        <v>143</v>
      </c>
      <c r="CI114" t="s">
        <v>2263</v>
      </c>
      <c r="CJ114" t="b">
        <v>0</v>
      </c>
      <c r="CT114">
        <v>5</v>
      </c>
    </row>
    <row r="115" spans="1:104" x14ac:dyDescent="0.25">
      <c r="A115" t="s">
        <v>543</v>
      </c>
      <c r="B115" t="s">
        <v>2241</v>
      </c>
      <c r="CD115">
        <v>5</v>
      </c>
      <c r="CE115">
        <v>17</v>
      </c>
      <c r="CF115">
        <v>168</v>
      </c>
      <c r="CI115" t="s">
        <v>1019</v>
      </c>
      <c r="CT115">
        <v>5</v>
      </c>
    </row>
    <row r="116" spans="1:104" x14ac:dyDescent="0.25">
      <c r="A116" t="s">
        <v>544</v>
      </c>
      <c r="B116" t="s">
        <v>2407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2408</v>
      </c>
    </row>
    <row r="117" spans="1:104" x14ac:dyDescent="0.25">
      <c r="A117" t="s">
        <v>547</v>
      </c>
      <c r="B117" t="s">
        <v>2409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2251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2410</v>
      </c>
      <c r="CD118">
        <v>111</v>
      </c>
      <c r="CJ118">
        <v>2</v>
      </c>
    </row>
    <row r="119" spans="1:104" x14ac:dyDescent="0.25">
      <c r="A119" t="s">
        <v>562</v>
      </c>
      <c r="B119" t="s">
        <v>2411</v>
      </c>
      <c r="CD119">
        <v>12</v>
      </c>
      <c r="CE119">
        <v>17</v>
      </c>
      <c r="CF119">
        <v>211</v>
      </c>
      <c r="CI119" t="s">
        <v>2278</v>
      </c>
      <c r="CT119" t="s">
        <v>332</v>
      </c>
    </row>
    <row r="120" spans="1:104" x14ac:dyDescent="0.25">
      <c r="A120" t="s">
        <v>366</v>
      </c>
      <c r="B120" t="s">
        <v>2412</v>
      </c>
      <c r="CD120">
        <v>12</v>
      </c>
      <c r="CF120">
        <v>231</v>
      </c>
      <c r="CI120" t="s">
        <v>2264</v>
      </c>
      <c r="CT120">
        <v>5</v>
      </c>
      <c r="CZ120" t="s">
        <v>332</v>
      </c>
    </row>
    <row r="121" spans="1:104" x14ac:dyDescent="0.25">
      <c r="A121" t="s">
        <v>368</v>
      </c>
      <c r="B121" t="s">
        <v>2413</v>
      </c>
      <c r="CD121">
        <v>12</v>
      </c>
      <c r="CF121">
        <v>251</v>
      </c>
      <c r="CI121" t="s">
        <v>2284</v>
      </c>
      <c r="CT121">
        <v>5</v>
      </c>
    </row>
    <row r="122" spans="1:104" x14ac:dyDescent="0.25">
      <c r="A122" t="s">
        <v>370</v>
      </c>
      <c r="B122" t="s">
        <v>1135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2414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2415</v>
      </c>
      <c r="CT125">
        <v>5</v>
      </c>
    </row>
    <row r="126" spans="1:104" x14ac:dyDescent="0.25">
      <c r="A126" t="s">
        <v>590</v>
      </c>
      <c r="B126" t="s">
        <v>2416</v>
      </c>
      <c r="CT126">
        <v>5</v>
      </c>
    </row>
    <row r="127" spans="1:104" x14ac:dyDescent="0.25">
      <c r="A127" t="s">
        <v>592</v>
      </c>
      <c r="B127" t="s">
        <v>2417</v>
      </c>
      <c r="CT127">
        <v>5</v>
      </c>
    </row>
    <row r="128" spans="1:104" x14ac:dyDescent="0.25">
      <c r="A128" t="s">
        <v>594</v>
      </c>
      <c r="B128" t="s">
        <v>2418</v>
      </c>
      <c r="CT128">
        <v>5</v>
      </c>
    </row>
    <row r="129" spans="1:104" x14ac:dyDescent="0.25">
      <c r="A129" t="s">
        <v>596</v>
      </c>
      <c r="B129" t="s">
        <v>597</v>
      </c>
      <c r="CT129">
        <v>5</v>
      </c>
    </row>
    <row r="130" spans="1:104" x14ac:dyDescent="0.25">
      <c r="A130" t="s">
        <v>277</v>
      </c>
      <c r="B130" t="s">
        <v>2419</v>
      </c>
      <c r="CT130">
        <v>5</v>
      </c>
      <c r="CU130">
        <v>23</v>
      </c>
      <c r="CV130">
        <v>107</v>
      </c>
      <c r="CY130" t="s">
        <v>2296</v>
      </c>
    </row>
    <row r="131" spans="1:104" x14ac:dyDescent="0.25">
      <c r="A131" t="s">
        <v>279</v>
      </c>
      <c r="B131" t="s">
        <v>2420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2421</v>
      </c>
    </row>
    <row r="133" spans="1:104" x14ac:dyDescent="0.25">
      <c r="A133" t="s">
        <v>283</v>
      </c>
      <c r="B133" t="s">
        <v>2422</v>
      </c>
    </row>
    <row r="134" spans="1:104" x14ac:dyDescent="0.25">
      <c r="A134" t="s">
        <v>285</v>
      </c>
      <c r="B134" t="s">
        <v>2423</v>
      </c>
      <c r="CT134" t="s">
        <v>287</v>
      </c>
    </row>
    <row r="135" spans="1:104" x14ac:dyDescent="0.25">
      <c r="A135" t="s">
        <v>288</v>
      </c>
      <c r="B135" t="s">
        <v>2424</v>
      </c>
      <c r="CT135" t="s">
        <v>507</v>
      </c>
    </row>
    <row r="136" spans="1:104" x14ac:dyDescent="0.25">
      <c r="A136" t="s">
        <v>290</v>
      </c>
      <c r="B136" t="s">
        <v>2425</v>
      </c>
      <c r="CT136" t="str">
        <f>mg01s.RandUniform</f>
        <v>Uniforme</v>
      </c>
      <c r="CU136" t="s">
        <v>551</v>
      </c>
    </row>
    <row r="137" spans="1:104" x14ac:dyDescent="0.25">
      <c r="A137" t="s">
        <v>292</v>
      </c>
      <c r="B137" t="s">
        <v>2426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2427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2428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2429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2430</v>
      </c>
      <c r="CT141" t="str">
        <f>mg01s.RandPatterned</f>
        <v>Padronizada</v>
      </c>
      <c r="CU141" t="s">
        <v>599</v>
      </c>
    </row>
    <row r="142" spans="1:104" x14ac:dyDescent="0.25">
      <c r="A142" t="s">
        <v>92</v>
      </c>
      <c r="B142" t="s">
        <v>2246</v>
      </c>
      <c r="CT142" t="str">
        <f>mg01s.RandDiscrete</f>
        <v>Discreta</v>
      </c>
      <c r="CU142" t="s">
        <v>332</v>
      </c>
    </row>
    <row r="143" spans="1:104" x14ac:dyDescent="0.25">
      <c r="A143" t="s">
        <v>304</v>
      </c>
      <c r="B143" t="s">
        <v>2431</v>
      </c>
    </row>
    <row r="144" spans="1:104" x14ac:dyDescent="0.25">
      <c r="A144" t="s">
        <v>306</v>
      </c>
      <c r="B144" t="s">
        <v>2432</v>
      </c>
    </row>
    <row r="145" spans="1:2" x14ac:dyDescent="0.25">
      <c r="A145" t="s">
        <v>98</v>
      </c>
      <c r="B145" t="s">
        <v>2433</v>
      </c>
    </row>
    <row r="146" spans="1:2" x14ac:dyDescent="0.25">
      <c r="A146" t="s">
        <v>311</v>
      </c>
      <c r="B146" t="s">
        <v>2434</v>
      </c>
    </row>
    <row r="147" spans="1:2" x14ac:dyDescent="0.25">
      <c r="A147" t="s">
        <v>313</v>
      </c>
      <c r="B147" t="s">
        <v>2435</v>
      </c>
    </row>
    <row r="148" spans="1:2" x14ac:dyDescent="0.25">
      <c r="A148" t="s">
        <v>102</v>
      </c>
      <c r="B148" t="s">
        <v>2436</v>
      </c>
    </row>
    <row r="149" spans="1:2" x14ac:dyDescent="0.25">
      <c r="A149" t="s">
        <v>319</v>
      </c>
      <c r="B149" t="s">
        <v>2437</v>
      </c>
    </row>
    <row r="150" spans="1:2" x14ac:dyDescent="0.25">
      <c r="A150" t="s">
        <v>105</v>
      </c>
      <c r="B150" t="s">
        <v>2438</v>
      </c>
    </row>
    <row r="151" spans="1:2" x14ac:dyDescent="0.25">
      <c r="A151" t="s">
        <v>323</v>
      </c>
      <c r="B151" t="s">
        <v>2439</v>
      </c>
    </row>
    <row r="152" spans="1:2" x14ac:dyDescent="0.25">
      <c r="A152" t="s">
        <v>108</v>
      </c>
      <c r="B152" t="s">
        <v>2440</v>
      </c>
    </row>
    <row r="153" spans="1:2" x14ac:dyDescent="0.25">
      <c r="A153" t="s">
        <v>110</v>
      </c>
      <c r="B153" t="s">
        <v>2441</v>
      </c>
    </row>
    <row r="154" spans="1:2" x14ac:dyDescent="0.25">
      <c r="A154" t="s">
        <v>112</v>
      </c>
      <c r="B154" t="s">
        <v>2442</v>
      </c>
    </row>
    <row r="155" spans="1:2" x14ac:dyDescent="0.25">
      <c r="A155" t="s">
        <v>336</v>
      </c>
      <c r="B155" t="s">
        <v>2443</v>
      </c>
    </row>
    <row r="156" spans="1:2" x14ac:dyDescent="0.25">
      <c r="A156" t="s">
        <v>120</v>
      </c>
      <c r="B156" t="s">
        <v>2444</v>
      </c>
    </row>
    <row r="157" spans="1:2" x14ac:dyDescent="0.25">
      <c r="A157" t="s">
        <v>349</v>
      </c>
      <c r="B157" t="s">
        <v>2445</v>
      </c>
    </row>
    <row r="158" spans="1:2" x14ac:dyDescent="0.25">
      <c r="A158" t="s">
        <v>350</v>
      </c>
      <c r="B158" t="s">
        <v>2446</v>
      </c>
    </row>
    <row r="159" spans="1:2" x14ac:dyDescent="0.25">
      <c r="A159" t="s">
        <v>438</v>
      </c>
      <c r="B159" t="s">
        <v>2447</v>
      </c>
    </row>
    <row r="160" spans="1:2" x14ac:dyDescent="0.25">
      <c r="A160" t="s">
        <v>353</v>
      </c>
      <c r="B160" t="s">
        <v>2448</v>
      </c>
    </row>
    <row r="161" spans="1:2" x14ac:dyDescent="0.25">
      <c r="A161" t="s">
        <v>355</v>
      </c>
      <c r="B161" t="s">
        <v>2449</v>
      </c>
    </row>
    <row r="162" spans="1:2" x14ac:dyDescent="0.25">
      <c r="A162" t="s">
        <v>129</v>
      </c>
      <c r="B162" t="s">
        <v>2450</v>
      </c>
    </row>
    <row r="163" spans="1:2" x14ac:dyDescent="0.25">
      <c r="A163" t="s">
        <v>363</v>
      </c>
      <c r="B163" t="s">
        <v>2451</v>
      </c>
    </row>
    <row r="164" spans="1:2" x14ac:dyDescent="0.25">
      <c r="A164" t="s">
        <v>365</v>
      </c>
      <c r="B164" t="s">
        <v>2452</v>
      </c>
    </row>
    <row r="165" spans="1:2" x14ac:dyDescent="0.25">
      <c r="A165" t="s">
        <v>374</v>
      </c>
      <c r="B165" t="s">
        <v>2453</v>
      </c>
    </row>
    <row r="166" spans="1:2" x14ac:dyDescent="0.25">
      <c r="A166" t="s">
        <v>135</v>
      </c>
      <c r="B166" t="s">
        <v>2454</v>
      </c>
    </row>
    <row r="167" spans="1:2" x14ac:dyDescent="0.25">
      <c r="A167" t="s">
        <v>137</v>
      </c>
      <c r="B167" t="s">
        <v>2455</v>
      </c>
    </row>
    <row r="168" spans="1:2" x14ac:dyDescent="0.25">
      <c r="A168" t="s">
        <v>139</v>
      </c>
      <c r="B168" t="s">
        <v>2456</v>
      </c>
    </row>
    <row r="169" spans="1:2" x14ac:dyDescent="0.25">
      <c r="A169" t="s">
        <v>384</v>
      </c>
      <c r="B169" t="s">
        <v>2457</v>
      </c>
    </row>
    <row r="170" spans="1:2" x14ac:dyDescent="0.25">
      <c r="A170" t="s">
        <v>462</v>
      </c>
      <c r="B170" t="s">
        <v>2458</v>
      </c>
    </row>
    <row r="171" spans="1:2" x14ac:dyDescent="0.25">
      <c r="A171" t="s">
        <v>464</v>
      </c>
      <c r="B171" t="s">
        <v>2459</v>
      </c>
    </row>
    <row r="172" spans="1:2" x14ac:dyDescent="0.25">
      <c r="A172" t="s">
        <v>388</v>
      </c>
      <c r="B172" t="s">
        <v>2460</v>
      </c>
    </row>
    <row r="173" spans="1:2" x14ac:dyDescent="0.25">
      <c r="A173" t="s">
        <v>147</v>
      </c>
      <c r="B173" t="s">
        <v>2461</v>
      </c>
    </row>
    <row r="174" spans="1:2" x14ac:dyDescent="0.25">
      <c r="A174" t="s">
        <v>385</v>
      </c>
      <c r="B174" t="s">
        <v>2462</v>
      </c>
    </row>
    <row r="175" spans="1:2" x14ac:dyDescent="0.25">
      <c r="A175" t="s">
        <v>151</v>
      </c>
      <c r="B175" t="s">
        <v>2463</v>
      </c>
    </row>
    <row r="176" spans="1:2" x14ac:dyDescent="0.25">
      <c r="A176" t="s">
        <v>406</v>
      </c>
      <c r="B176" t="s">
        <v>2464</v>
      </c>
    </row>
    <row r="177" spans="1:2" x14ac:dyDescent="0.25">
      <c r="A177" t="s">
        <v>408</v>
      </c>
      <c r="B177" t="s">
        <v>2465</v>
      </c>
    </row>
    <row r="178" spans="1:2" x14ac:dyDescent="0.25">
      <c r="A178" t="s">
        <v>503</v>
      </c>
      <c r="B178" t="s">
        <v>2466</v>
      </c>
    </row>
    <row r="179" spans="1:2" x14ac:dyDescent="0.25">
      <c r="A179" t="s">
        <v>410</v>
      </c>
      <c r="B179" t="s">
        <v>2467</v>
      </c>
    </row>
    <row r="180" spans="1:2" x14ac:dyDescent="0.25">
      <c r="A180" t="s">
        <v>412</v>
      </c>
      <c r="B180" t="s">
        <v>2468</v>
      </c>
    </row>
    <row r="181" spans="1:2" x14ac:dyDescent="0.25">
      <c r="A181" t="s">
        <v>161</v>
      </c>
      <c r="B181" t="s">
        <v>2469</v>
      </c>
    </row>
    <row r="182" spans="1:2" x14ac:dyDescent="0.25">
      <c r="A182" t="s">
        <v>415</v>
      </c>
      <c r="B182" t="s">
        <v>2470</v>
      </c>
    </row>
    <row r="183" spans="1:2" x14ac:dyDescent="0.25">
      <c r="A183" t="s">
        <v>173</v>
      </c>
      <c r="B183" t="s">
        <v>2471</v>
      </c>
    </row>
    <row r="184" spans="1:2" x14ac:dyDescent="0.25">
      <c r="A184" t="s">
        <v>167</v>
      </c>
      <c r="B184" t="s">
        <v>2472</v>
      </c>
    </row>
    <row r="185" spans="1:2" x14ac:dyDescent="0.25">
      <c r="A185" t="s">
        <v>169</v>
      </c>
      <c r="B185" t="s">
        <v>2473</v>
      </c>
    </row>
    <row r="186" spans="1:2" x14ac:dyDescent="0.25">
      <c r="A186" t="s">
        <v>444</v>
      </c>
      <c r="B186" t="s">
        <v>2474</v>
      </c>
    </row>
    <row r="187" spans="1:2" x14ac:dyDescent="0.25">
      <c r="A187" t="s">
        <v>18</v>
      </c>
      <c r="B187" t="s">
        <v>2475</v>
      </c>
    </row>
    <row r="188" spans="1:2" x14ac:dyDescent="0.25">
      <c r="A188" t="s">
        <v>175</v>
      </c>
      <c r="B188" t="s">
        <v>2476</v>
      </c>
    </row>
    <row r="189" spans="1:2" x14ac:dyDescent="0.25">
      <c r="A189" t="s">
        <v>181</v>
      </c>
      <c r="B189" t="s">
        <v>2477</v>
      </c>
    </row>
    <row r="190" spans="1:2" x14ac:dyDescent="0.25">
      <c r="A190" t="s">
        <v>64</v>
      </c>
      <c r="B190" t="s">
        <v>2478</v>
      </c>
    </row>
    <row r="191" spans="1:2" x14ac:dyDescent="0.25">
      <c r="A191" t="s">
        <v>185</v>
      </c>
      <c r="B191" t="s">
        <v>2479</v>
      </c>
    </row>
    <row r="192" spans="1:2" x14ac:dyDescent="0.25">
      <c r="A192" t="s">
        <v>192</v>
      </c>
      <c r="B192" t="s">
        <v>2480</v>
      </c>
    </row>
    <row r="193" spans="1:2" x14ac:dyDescent="0.25">
      <c r="A193" t="s">
        <v>67</v>
      </c>
      <c r="B193" t="s">
        <v>2481</v>
      </c>
    </row>
    <row r="194" spans="1:2" x14ac:dyDescent="0.25">
      <c r="A194" t="s">
        <v>197</v>
      </c>
      <c r="B194" t="s">
        <v>2482</v>
      </c>
    </row>
    <row r="195" spans="1:2" x14ac:dyDescent="0.25">
      <c r="A195" t="s">
        <v>199</v>
      </c>
      <c r="B195" t="s">
        <v>2483</v>
      </c>
    </row>
    <row r="196" spans="1:2" x14ac:dyDescent="0.25">
      <c r="A196" t="s">
        <v>44</v>
      </c>
      <c r="B196" t="s">
        <v>2484</v>
      </c>
    </row>
    <row r="197" spans="1:2" x14ac:dyDescent="0.25">
      <c r="A197" t="s">
        <v>46</v>
      </c>
      <c r="B197" t="s">
        <v>2485</v>
      </c>
    </row>
    <row r="198" spans="1:2" x14ac:dyDescent="0.25">
      <c r="A198" t="s">
        <v>212</v>
      </c>
      <c r="B198" t="s">
        <v>2486</v>
      </c>
    </row>
    <row r="199" spans="1:2" x14ac:dyDescent="0.25">
      <c r="A199" t="s">
        <v>215</v>
      </c>
      <c r="B199" t="s">
        <v>2487</v>
      </c>
    </row>
    <row r="200" spans="1:2" x14ac:dyDescent="0.25">
      <c r="A200" t="s">
        <v>77</v>
      </c>
      <c r="B200" t="s">
        <v>2488</v>
      </c>
    </row>
    <row r="201" spans="1:2" x14ac:dyDescent="0.25">
      <c r="A201" t="s">
        <v>223</v>
      </c>
      <c r="B201" t="s">
        <v>2489</v>
      </c>
    </row>
    <row r="202" spans="1:2" x14ac:dyDescent="0.25">
      <c r="A202" t="s">
        <v>1</v>
      </c>
      <c r="B202" t="s">
        <v>2490</v>
      </c>
    </row>
    <row r="203" spans="1:2" x14ac:dyDescent="0.25">
      <c r="A203" t="s">
        <v>225</v>
      </c>
      <c r="B203" t="s">
        <v>2491</v>
      </c>
    </row>
    <row r="204" spans="1:2" x14ac:dyDescent="0.25">
      <c r="A204" t="s">
        <v>4</v>
      </c>
      <c r="B204" t="s">
        <v>2492</v>
      </c>
    </row>
    <row r="205" spans="1:2" x14ac:dyDescent="0.25">
      <c r="A205" t="s">
        <v>233</v>
      </c>
      <c r="B205" t="s">
        <v>2493</v>
      </c>
    </row>
    <row r="206" spans="1:2" x14ac:dyDescent="0.25">
      <c r="A206" t="s">
        <v>6</v>
      </c>
      <c r="B206" t="s">
        <v>2494</v>
      </c>
    </row>
    <row r="207" spans="1:2" x14ac:dyDescent="0.25">
      <c r="A207" t="s">
        <v>241</v>
      </c>
      <c r="B207" t="s">
        <v>2495</v>
      </c>
    </row>
    <row r="208" spans="1:2" x14ac:dyDescent="0.25">
      <c r="A208" t="s">
        <v>11</v>
      </c>
      <c r="B208" t="s">
        <v>2496</v>
      </c>
    </row>
    <row r="209" spans="1:103" x14ac:dyDescent="0.25">
      <c r="A209" t="s">
        <v>13</v>
      </c>
      <c r="B209" t="s">
        <v>2497</v>
      </c>
    </row>
    <row r="210" spans="1:103" x14ac:dyDescent="0.25">
      <c r="A210" t="s">
        <v>254</v>
      </c>
      <c r="B210" t="s">
        <v>2498</v>
      </c>
    </row>
    <row r="211" spans="1:103" x14ac:dyDescent="0.25">
      <c r="A211" t="s">
        <v>256</v>
      </c>
      <c r="B211" t="s">
        <v>2499</v>
      </c>
    </row>
    <row r="212" spans="1:103" x14ac:dyDescent="0.25">
      <c r="A212" t="s">
        <v>258</v>
      </c>
      <c r="B212" t="s">
        <v>2500</v>
      </c>
    </row>
    <row r="213" spans="1:103" x14ac:dyDescent="0.25">
      <c r="A213" t="s">
        <v>533</v>
      </c>
      <c r="B213" t="s">
        <v>2501</v>
      </c>
      <c r="BS213" t="b">
        <v>1</v>
      </c>
    </row>
    <row r="214" spans="1:103" x14ac:dyDescent="0.25">
      <c r="A214" t="s">
        <v>17</v>
      </c>
      <c r="B214" t="s">
        <v>2502</v>
      </c>
    </row>
    <row r="215" spans="1:103" x14ac:dyDescent="0.25">
      <c r="A215" t="s">
        <v>265</v>
      </c>
      <c r="B215" t="s">
        <v>2503</v>
      </c>
    </row>
    <row r="216" spans="1:103" x14ac:dyDescent="0.25">
      <c r="A216" t="s">
        <v>550</v>
      </c>
      <c r="B216" t="s">
        <v>2504</v>
      </c>
    </row>
    <row r="217" spans="1:103" x14ac:dyDescent="0.25">
      <c r="A217" t="s">
        <v>267</v>
      </c>
      <c r="B217" t="s">
        <v>2505</v>
      </c>
    </row>
    <row r="218" spans="1:103" x14ac:dyDescent="0.25">
      <c r="A218" t="s">
        <v>262</v>
      </c>
      <c r="B218" t="s">
        <v>2506</v>
      </c>
    </row>
    <row r="219" spans="1:103" x14ac:dyDescent="0.25">
      <c r="A219" t="s">
        <v>272</v>
      </c>
      <c r="B219" t="s">
        <v>2507</v>
      </c>
    </row>
    <row r="220" spans="1:103" x14ac:dyDescent="0.25">
      <c r="A220" t="s">
        <v>36</v>
      </c>
      <c r="B220" t="s">
        <v>2508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2509</v>
      </c>
      <c r="AE221" t="b">
        <v>1</v>
      </c>
    </row>
    <row r="222" spans="1:103" x14ac:dyDescent="0.25">
      <c r="A222" t="s">
        <v>269</v>
      </c>
      <c r="B222" t="s">
        <v>2510</v>
      </c>
      <c r="CY222" t="b">
        <v>1</v>
      </c>
    </row>
    <row r="223" spans="1:103" x14ac:dyDescent="0.25">
      <c r="A223" t="s">
        <v>40</v>
      </c>
      <c r="B223" t="s">
        <v>2511</v>
      </c>
    </row>
    <row r="224" spans="1:103" x14ac:dyDescent="0.25">
      <c r="A224" t="s">
        <v>42</v>
      </c>
      <c r="B224" t="s">
        <v>2512</v>
      </c>
      <c r="CI224" t="b">
        <v>1</v>
      </c>
    </row>
    <row r="225" spans="1:2" x14ac:dyDescent="0.25">
      <c r="A225" t="s">
        <v>275</v>
      </c>
      <c r="B225" t="s">
        <v>2513</v>
      </c>
    </row>
    <row r="226" spans="1:2" x14ac:dyDescent="0.25">
      <c r="A226" t="s">
        <v>73</v>
      </c>
      <c r="B226" t="s">
        <v>2514</v>
      </c>
    </row>
    <row r="227" spans="1:2" x14ac:dyDescent="0.25">
      <c r="A227" t="s">
        <v>75</v>
      </c>
      <c r="B227" t="s">
        <v>2515</v>
      </c>
    </row>
    <row r="228" spans="1:2" x14ac:dyDescent="0.25">
      <c r="A228" t="s">
        <v>88</v>
      </c>
      <c r="B228" t="s">
        <v>2516</v>
      </c>
    </row>
    <row r="229" spans="1:2" x14ac:dyDescent="0.25">
      <c r="A229" t="s">
        <v>49</v>
      </c>
      <c r="B229" t="s">
        <v>2517</v>
      </c>
    </row>
    <row r="230" spans="1:2" x14ac:dyDescent="0.25">
      <c r="A230" t="s">
        <v>51</v>
      </c>
      <c r="B230" t="s">
        <v>2518</v>
      </c>
    </row>
    <row r="231" spans="1:2" x14ac:dyDescent="0.25">
      <c r="A231" t="s">
        <v>53</v>
      </c>
      <c r="B231" t="s">
        <v>2519</v>
      </c>
    </row>
    <row r="232" spans="1:2" x14ac:dyDescent="0.25">
      <c r="A232" t="s">
        <v>55</v>
      </c>
      <c r="B232" t="s">
        <v>2520</v>
      </c>
    </row>
    <row r="233" spans="1:2" x14ac:dyDescent="0.25">
      <c r="A233" t="s">
        <v>57</v>
      </c>
      <c r="B233" t="s">
        <v>2521</v>
      </c>
    </row>
    <row r="234" spans="1:2" x14ac:dyDescent="0.25">
      <c r="A234" t="s">
        <v>59</v>
      </c>
      <c r="B234" t="s">
        <v>2522</v>
      </c>
    </row>
    <row r="235" spans="1:2" x14ac:dyDescent="0.25">
      <c r="A235" t="s">
        <v>24</v>
      </c>
      <c r="B235" t="s">
        <v>2523</v>
      </c>
    </row>
    <row r="236" spans="1:2" x14ac:dyDescent="0.25">
      <c r="A236" t="s">
        <v>32</v>
      </c>
      <c r="B236" t="s">
        <v>2524</v>
      </c>
    </row>
    <row r="237" spans="1:2" x14ac:dyDescent="0.25">
      <c r="A237" t="s">
        <v>101</v>
      </c>
      <c r="B237" t="s">
        <v>2525</v>
      </c>
    </row>
    <row r="238" spans="1:2" x14ac:dyDescent="0.25">
      <c r="A238" t="s">
        <v>159</v>
      </c>
      <c r="B238" t="s">
        <v>2526</v>
      </c>
    </row>
    <row r="239" spans="1:2" x14ac:dyDescent="0.25">
      <c r="A239" t="s">
        <v>107</v>
      </c>
      <c r="B239" t="s">
        <v>2527</v>
      </c>
    </row>
    <row r="240" spans="1:2" x14ac:dyDescent="0.25">
      <c r="A240" t="s">
        <v>15</v>
      </c>
      <c r="B240" t="s">
        <v>2528</v>
      </c>
    </row>
    <row r="241" spans="1:2" x14ac:dyDescent="0.25">
      <c r="A241" t="s">
        <v>171</v>
      </c>
      <c r="B241" t="s">
        <v>2529</v>
      </c>
    </row>
    <row r="242" spans="1:2" x14ac:dyDescent="0.25">
      <c r="A242" t="s">
        <v>117</v>
      </c>
      <c r="B242" t="s">
        <v>2530</v>
      </c>
    </row>
    <row r="243" spans="1:2" x14ac:dyDescent="0.25">
      <c r="A243" t="s">
        <v>119</v>
      </c>
      <c r="B243" t="s">
        <v>2531</v>
      </c>
    </row>
    <row r="244" spans="1:2" x14ac:dyDescent="0.25">
      <c r="A244" t="s">
        <v>122</v>
      </c>
      <c r="B244" t="s">
        <v>2532</v>
      </c>
    </row>
    <row r="245" spans="1:2" x14ac:dyDescent="0.25">
      <c r="A245" t="s">
        <v>176</v>
      </c>
      <c r="B245" t="s">
        <v>2533</v>
      </c>
    </row>
    <row r="246" spans="1:2" x14ac:dyDescent="0.25">
      <c r="A246" t="s">
        <v>126</v>
      </c>
      <c r="B246" t="s">
        <v>2534</v>
      </c>
    </row>
    <row r="247" spans="1:2" x14ac:dyDescent="0.25">
      <c r="A247" t="s">
        <v>130</v>
      </c>
      <c r="B247" t="s">
        <v>2535</v>
      </c>
    </row>
    <row r="248" spans="1:2" x14ac:dyDescent="0.25">
      <c r="A248" t="s">
        <v>39</v>
      </c>
      <c r="B248" t="s">
        <v>2536</v>
      </c>
    </row>
    <row r="249" spans="1:2" x14ac:dyDescent="0.25">
      <c r="A249" t="s">
        <v>133</v>
      </c>
      <c r="B249" t="s">
        <v>2537</v>
      </c>
    </row>
    <row r="250" spans="1:2" x14ac:dyDescent="0.25">
      <c r="A250" t="s">
        <v>69</v>
      </c>
      <c r="B250" t="s">
        <v>2538</v>
      </c>
    </row>
    <row r="251" spans="1:2" x14ac:dyDescent="0.25">
      <c r="A251" t="s">
        <v>71</v>
      </c>
      <c r="B251" t="s">
        <v>2539</v>
      </c>
    </row>
    <row r="252" spans="1:2" x14ac:dyDescent="0.25">
      <c r="A252" t="s">
        <v>141</v>
      </c>
      <c r="B252" t="s">
        <v>2540</v>
      </c>
    </row>
    <row r="253" spans="1:2" x14ac:dyDescent="0.25">
      <c r="A253" t="s">
        <v>143</v>
      </c>
      <c r="B253" t="s">
        <v>2541</v>
      </c>
    </row>
    <row r="254" spans="1:2" x14ac:dyDescent="0.25">
      <c r="A254" t="s">
        <v>145</v>
      </c>
      <c r="B254" t="s">
        <v>2542</v>
      </c>
    </row>
    <row r="255" spans="1:2" x14ac:dyDescent="0.25">
      <c r="A255" t="s">
        <v>386</v>
      </c>
      <c r="B255" t="s">
        <v>2543</v>
      </c>
    </row>
    <row r="256" spans="1:2" x14ac:dyDescent="0.25">
      <c r="A256" t="s">
        <v>30</v>
      </c>
      <c r="B256" t="s">
        <v>2544</v>
      </c>
    </row>
    <row r="257" spans="1:2" x14ac:dyDescent="0.25">
      <c r="A257" t="s">
        <v>33</v>
      </c>
      <c r="B257" t="s">
        <v>2545</v>
      </c>
    </row>
    <row r="258" spans="1:2" x14ac:dyDescent="0.25">
      <c r="A258" t="s">
        <v>153</v>
      </c>
      <c r="B258" t="s">
        <v>2546</v>
      </c>
    </row>
    <row r="259" spans="1:2" x14ac:dyDescent="0.25">
      <c r="A259" t="s">
        <v>155</v>
      </c>
      <c r="B259" t="s">
        <v>2547</v>
      </c>
    </row>
    <row r="260" spans="1:2" x14ac:dyDescent="0.25">
      <c r="A260" t="s">
        <v>157</v>
      </c>
      <c r="B260" t="s">
        <v>2548</v>
      </c>
    </row>
    <row r="261" spans="1:2" x14ac:dyDescent="0.25">
      <c r="A261" t="s">
        <v>3</v>
      </c>
      <c r="B261" t="s">
        <v>2549</v>
      </c>
    </row>
    <row r="262" spans="1:2" x14ac:dyDescent="0.25">
      <c r="A262" t="s">
        <v>78</v>
      </c>
      <c r="B262" t="s">
        <v>2550</v>
      </c>
    </row>
    <row r="263" spans="1:2" x14ac:dyDescent="0.25">
      <c r="A263" t="s">
        <v>80</v>
      </c>
      <c r="B263" t="s">
        <v>2551</v>
      </c>
    </row>
    <row r="264" spans="1:2" x14ac:dyDescent="0.25">
      <c r="A264" t="s">
        <v>82</v>
      </c>
      <c r="B264" t="s">
        <v>2552</v>
      </c>
    </row>
    <row r="265" spans="1:2" x14ac:dyDescent="0.25">
      <c r="A265" t="s">
        <v>84</v>
      </c>
      <c r="B265" t="s">
        <v>2553</v>
      </c>
    </row>
    <row r="266" spans="1:2" x14ac:dyDescent="0.25">
      <c r="A266" t="s">
        <v>86</v>
      </c>
      <c r="B266" t="s">
        <v>2554</v>
      </c>
    </row>
    <row r="267" spans="1:2" x14ac:dyDescent="0.25">
      <c r="A267" t="s">
        <v>29</v>
      </c>
      <c r="B267" t="s">
        <v>2555</v>
      </c>
    </row>
    <row r="268" spans="1:2" x14ac:dyDescent="0.25">
      <c r="A268" t="s">
        <v>90</v>
      </c>
      <c r="B268" t="s">
        <v>2556</v>
      </c>
    </row>
    <row r="269" spans="1:2" x14ac:dyDescent="0.25">
      <c r="A269" t="s">
        <v>95</v>
      </c>
      <c r="B269" t="s">
        <v>2557</v>
      </c>
    </row>
    <row r="270" spans="1:2" x14ac:dyDescent="0.25">
      <c r="A270" t="s">
        <v>2</v>
      </c>
      <c r="B270" t="s">
        <v>2558</v>
      </c>
    </row>
    <row r="271" spans="1:2" x14ac:dyDescent="0.25">
      <c r="A271" t="s">
        <v>7</v>
      </c>
      <c r="B271" t="s">
        <v>2559</v>
      </c>
    </row>
    <row r="273" spans="1:2" x14ac:dyDescent="0.25">
      <c r="A273" t="s">
        <v>9</v>
      </c>
      <c r="B273" t="s">
        <v>2560</v>
      </c>
    </row>
    <row r="274" spans="1:2" x14ac:dyDescent="0.25">
      <c r="A274" t="s">
        <v>163</v>
      </c>
      <c r="B274" t="s">
        <v>2561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2295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455</v>
      </c>
      <c r="AF2">
        <v>4</v>
      </c>
      <c r="AH2" s="1" t="s">
        <v>656</v>
      </c>
      <c r="AK2">
        <v>515</v>
      </c>
      <c r="AL2">
        <v>223</v>
      </c>
      <c r="AM2" t="s">
        <v>456</v>
      </c>
      <c r="AN2">
        <v>5</v>
      </c>
      <c r="AP2" s="1" t="s">
        <v>657</v>
      </c>
      <c r="AS2">
        <v>546</v>
      </c>
      <c r="AT2">
        <v>312</v>
      </c>
      <c r="AU2" t="s">
        <v>457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458</v>
      </c>
      <c r="BL2">
        <v>5</v>
      </c>
      <c r="BN2" s="1" t="s">
        <v>659</v>
      </c>
      <c r="BQ2">
        <v>523</v>
      </c>
      <c r="BR2">
        <v>293</v>
      </c>
      <c r="BS2" t="s">
        <v>459</v>
      </c>
      <c r="BT2">
        <v>5</v>
      </c>
      <c r="BV2" s="1" t="s">
        <v>660</v>
      </c>
      <c r="BY2">
        <v>523</v>
      </c>
      <c r="BZ2">
        <v>195</v>
      </c>
      <c r="CA2" t="s">
        <v>460</v>
      </c>
      <c r="CB2">
        <v>5</v>
      </c>
      <c r="CD2" s="1" t="s">
        <v>661</v>
      </c>
      <c r="CG2">
        <v>523</v>
      </c>
      <c r="CH2">
        <v>203</v>
      </c>
      <c r="CI2" t="s">
        <v>216</v>
      </c>
      <c r="CJ2">
        <v>5</v>
      </c>
      <c r="CL2" s="1" t="s">
        <v>662</v>
      </c>
      <c r="CO2">
        <v>523</v>
      </c>
      <c r="CP2">
        <v>263</v>
      </c>
      <c r="CQ2" t="s">
        <v>498</v>
      </c>
      <c r="CR2">
        <v>5</v>
      </c>
      <c r="CT2" s="1" t="s">
        <v>663</v>
      </c>
      <c r="CW2">
        <v>516</v>
      </c>
      <c r="CX2">
        <v>298</v>
      </c>
      <c r="CY2" t="s">
        <v>389</v>
      </c>
      <c r="CZ2">
        <v>4</v>
      </c>
    </row>
    <row r="3" spans="1:104" x14ac:dyDescent="0.25">
      <c r="W3" t="str">
        <f>dbCorrelationTitle</f>
        <v>Correlation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397</v>
      </c>
      <c r="AH4">
        <v>2</v>
      </c>
      <c r="AI4">
        <v>412</v>
      </c>
      <c r="AJ4">
        <v>30</v>
      </c>
      <c r="AK4">
        <v>90</v>
      </c>
      <c r="AM4" t="s">
        <v>397</v>
      </c>
      <c r="AP4">
        <v>2</v>
      </c>
      <c r="AQ4">
        <v>443</v>
      </c>
      <c r="AR4">
        <v>31</v>
      </c>
      <c r="AS4">
        <v>90</v>
      </c>
      <c r="AU4" t="s">
        <v>397</v>
      </c>
      <c r="AX4">
        <v>2</v>
      </c>
      <c r="AY4">
        <v>418</v>
      </c>
      <c r="AZ4">
        <v>33</v>
      </c>
      <c r="BA4">
        <v>104</v>
      </c>
      <c r="BC4" t="s">
        <v>397</v>
      </c>
      <c r="BF4">
        <v>2</v>
      </c>
      <c r="BG4">
        <v>407</v>
      </c>
      <c r="BH4">
        <v>30</v>
      </c>
      <c r="BI4">
        <v>90</v>
      </c>
      <c r="BK4" t="s">
        <v>397</v>
      </c>
      <c r="BN4">
        <v>2</v>
      </c>
      <c r="BO4">
        <v>407</v>
      </c>
      <c r="BP4">
        <v>30</v>
      </c>
      <c r="BQ4">
        <v>90</v>
      </c>
      <c r="BS4" t="s">
        <v>397</v>
      </c>
      <c r="BV4">
        <v>2</v>
      </c>
      <c r="BW4">
        <v>407</v>
      </c>
      <c r="BX4">
        <v>30</v>
      </c>
      <c r="BY4">
        <v>90</v>
      </c>
      <c r="CA4" t="s">
        <v>397</v>
      </c>
      <c r="CD4">
        <v>2</v>
      </c>
      <c r="CE4">
        <v>407</v>
      </c>
      <c r="CF4">
        <v>30</v>
      </c>
      <c r="CG4">
        <v>90</v>
      </c>
      <c r="CI4" t="s">
        <v>397</v>
      </c>
      <c r="CL4">
        <v>2</v>
      </c>
      <c r="CM4">
        <v>407</v>
      </c>
      <c r="CN4">
        <v>30</v>
      </c>
      <c r="CO4">
        <v>90</v>
      </c>
      <c r="CQ4" t="s">
        <v>397</v>
      </c>
      <c r="CT4">
        <v>2</v>
      </c>
      <c r="CU4">
        <v>410</v>
      </c>
      <c r="CV4">
        <v>31</v>
      </c>
      <c r="CW4">
        <v>90</v>
      </c>
      <c r="CY4" t="s">
        <v>397</v>
      </c>
    </row>
    <row r="5" spans="1:104" x14ac:dyDescent="0.25">
      <c r="T5">
        <v>0</v>
      </c>
      <c r="U5" t="str">
        <f>dbAnova1Title</f>
        <v>Anova: Single Factor</v>
      </c>
      <c r="V5">
        <v>0</v>
      </c>
      <c r="W5" t="str">
        <f>dbAnova1Title</f>
        <v>Anova: Single Factor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398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399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399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622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399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399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399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399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399</v>
      </c>
      <c r="CT5">
        <v>5</v>
      </c>
      <c r="CU5">
        <v>17</v>
      </c>
      <c r="CV5">
        <v>12</v>
      </c>
      <c r="CY5" t="s">
        <v>649</v>
      </c>
    </row>
    <row r="6" spans="1:104" x14ac:dyDescent="0.25">
      <c r="T6">
        <v>1</v>
      </c>
      <c r="U6" t="str">
        <f>dbAnova2Title</f>
        <v>Anova: Two-Factor With Replication</v>
      </c>
      <c r="V6">
        <v>1</v>
      </c>
      <c r="W6" t="str">
        <f>dbAnova2Title</f>
        <v>Anova: Two-Factor With Replication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619</v>
      </c>
      <c r="AP6">
        <v>5</v>
      </c>
      <c r="AQ6">
        <v>24</v>
      </c>
      <c r="AR6">
        <v>22</v>
      </c>
      <c r="AU6" t="s">
        <v>628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619</v>
      </c>
      <c r="BN6">
        <v>5</v>
      </c>
      <c r="BO6">
        <v>18</v>
      </c>
      <c r="BP6">
        <v>19</v>
      </c>
      <c r="BS6" t="s">
        <v>619</v>
      </c>
      <c r="BV6">
        <v>5</v>
      </c>
      <c r="BW6">
        <v>18</v>
      </c>
      <c r="BX6">
        <v>19</v>
      </c>
      <c r="CA6" t="s">
        <v>619</v>
      </c>
      <c r="CD6">
        <v>5</v>
      </c>
      <c r="CE6">
        <v>18</v>
      </c>
      <c r="CF6">
        <v>19</v>
      </c>
      <c r="CI6" t="s">
        <v>642</v>
      </c>
      <c r="CL6">
        <v>5</v>
      </c>
      <c r="CM6">
        <v>18</v>
      </c>
      <c r="CN6">
        <v>19</v>
      </c>
      <c r="CQ6" t="s">
        <v>619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Two-Factor Without Replication</v>
      </c>
      <c r="V7">
        <v>2</v>
      </c>
      <c r="W7" t="str">
        <f>dbAnova3Title</f>
        <v>Anova: Two-Factor Without Replication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650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Correlation</v>
      </c>
      <c r="V8">
        <v>3</v>
      </c>
      <c r="W8" t="str">
        <f>dbCorrelationTitle</f>
        <v>Correlation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620</v>
      </c>
      <c r="AP8">
        <v>5</v>
      </c>
      <c r="AQ8">
        <v>24</v>
      </c>
      <c r="AR8">
        <v>48</v>
      </c>
      <c r="AU8" t="s">
        <v>629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620</v>
      </c>
      <c r="BN8">
        <v>5</v>
      </c>
      <c r="BO8">
        <v>18</v>
      </c>
      <c r="BP8">
        <v>44</v>
      </c>
      <c r="BS8" t="s">
        <v>620</v>
      </c>
      <c r="BV8">
        <v>5</v>
      </c>
      <c r="BW8">
        <v>17</v>
      </c>
      <c r="BX8">
        <v>40</v>
      </c>
      <c r="CA8" t="s">
        <v>479</v>
      </c>
      <c r="CD8">
        <v>5</v>
      </c>
      <c r="CE8">
        <v>18</v>
      </c>
      <c r="CF8">
        <v>41</v>
      </c>
      <c r="CI8" t="s">
        <v>643</v>
      </c>
      <c r="CL8">
        <v>13</v>
      </c>
      <c r="CM8">
        <v>18</v>
      </c>
      <c r="CN8">
        <v>39</v>
      </c>
      <c r="CQ8" t="s">
        <v>480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Covariance</v>
      </c>
      <c r="V9">
        <v>4</v>
      </c>
      <c r="W9" t="str">
        <f>dbCovarianceTitle</f>
        <v>Covariance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624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320</v>
      </c>
      <c r="CT9">
        <v>5</v>
      </c>
      <c r="CU9">
        <v>17</v>
      </c>
      <c r="CV9">
        <v>63</v>
      </c>
      <c r="CY9" t="s">
        <v>321</v>
      </c>
    </row>
    <row r="10" spans="1:104" x14ac:dyDescent="0.25">
      <c r="A10" t="s">
        <v>505</v>
      </c>
      <c r="B10" t="s">
        <v>300</v>
      </c>
      <c r="T10">
        <v>5</v>
      </c>
      <c r="U10" t="str">
        <f>dbDescripTitle</f>
        <v>Descriptive Statistics</v>
      </c>
      <c r="V10">
        <v>5</v>
      </c>
      <c r="W10" t="str">
        <f>dbDescripTitle</f>
        <v>Descriptive Statistics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506</v>
      </c>
      <c r="AP10">
        <v>13</v>
      </c>
      <c r="AQ10">
        <v>25</v>
      </c>
      <c r="AR10">
        <v>75</v>
      </c>
      <c r="AU10" t="s">
        <v>480</v>
      </c>
      <c r="AV10" t="b">
        <v>0</v>
      </c>
      <c r="AX10">
        <v>12</v>
      </c>
      <c r="AZ10">
        <v>130</v>
      </c>
      <c r="BC10" t="s">
        <v>625</v>
      </c>
      <c r="BF10">
        <v>12</v>
      </c>
      <c r="BG10">
        <v>220</v>
      </c>
      <c r="BH10">
        <v>40</v>
      </c>
      <c r="BK10" t="s">
        <v>506</v>
      </c>
      <c r="BN10">
        <v>12</v>
      </c>
      <c r="BO10">
        <v>220</v>
      </c>
      <c r="BP10">
        <v>40</v>
      </c>
      <c r="BS10" t="s">
        <v>506</v>
      </c>
      <c r="BV10">
        <v>13</v>
      </c>
      <c r="BW10">
        <v>17</v>
      </c>
      <c r="BX10">
        <v>60</v>
      </c>
      <c r="CA10" t="s">
        <v>480</v>
      </c>
      <c r="CB10" t="b">
        <v>0</v>
      </c>
      <c r="CD10">
        <v>13</v>
      </c>
      <c r="CE10">
        <v>18</v>
      </c>
      <c r="CF10">
        <v>64</v>
      </c>
      <c r="CI10" t="s">
        <v>480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26</v>
      </c>
      <c r="T11">
        <v>6</v>
      </c>
      <c r="U11" t="str">
        <f>dbExponentTitle</f>
        <v>Exponential Smoothing</v>
      </c>
      <c r="V11">
        <v>6</v>
      </c>
      <c r="W11" t="str">
        <f>dbExponentTitle</f>
        <v>Exponential Smoothing</v>
      </c>
      <c r="X11" t="s">
        <v>452</v>
      </c>
      <c r="Y11" s="1" t="s">
        <v>660</v>
      </c>
      <c r="AH11">
        <v>12</v>
      </c>
      <c r="AM11" t="s">
        <v>509</v>
      </c>
      <c r="AP11">
        <v>13</v>
      </c>
      <c r="AQ11">
        <v>197</v>
      </c>
      <c r="AR11">
        <v>75</v>
      </c>
      <c r="AU11" t="s">
        <v>630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509</v>
      </c>
      <c r="BN11">
        <v>12</v>
      </c>
      <c r="BS11" t="s">
        <v>509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622</v>
      </c>
      <c r="CD11">
        <v>5</v>
      </c>
      <c r="CE11">
        <v>18</v>
      </c>
      <c r="CF11">
        <v>85</v>
      </c>
      <c r="CI11" t="s">
        <v>326</v>
      </c>
      <c r="CL11">
        <v>12</v>
      </c>
      <c r="CM11">
        <v>18</v>
      </c>
      <c r="CN11">
        <v>82</v>
      </c>
      <c r="CQ11" t="s">
        <v>327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651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 Two-Sample for Variances</v>
      </c>
      <c r="V12">
        <v>7</v>
      </c>
      <c r="W12" t="str">
        <f>dbFTestTitle</f>
        <v>F-Test Two-Sample for Variances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621</v>
      </c>
      <c r="AN12" t="b">
        <v>0</v>
      </c>
      <c r="AP12">
        <v>113</v>
      </c>
      <c r="AQ12">
        <v>25</v>
      </c>
      <c r="AR12">
        <v>93</v>
      </c>
      <c r="AU12" t="s">
        <v>631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621</v>
      </c>
      <c r="BL12" t="b">
        <v>0</v>
      </c>
      <c r="BN12">
        <v>13</v>
      </c>
      <c r="BO12">
        <v>18</v>
      </c>
      <c r="BP12">
        <v>75</v>
      </c>
      <c r="BS12" t="s">
        <v>621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331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 Analysis</v>
      </c>
      <c r="V13">
        <v>8</v>
      </c>
      <c r="W13" t="str">
        <f>dbFourierTitle</f>
        <v>Fourier Analysis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326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622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622</v>
      </c>
      <c r="BV13">
        <v>5</v>
      </c>
      <c r="BW13">
        <v>17</v>
      </c>
      <c r="BX13">
        <v>99</v>
      </c>
      <c r="CA13" t="s">
        <v>623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622</v>
      </c>
      <c r="CL13">
        <v>5</v>
      </c>
      <c r="CM13">
        <v>42</v>
      </c>
      <c r="CN13">
        <v>103</v>
      </c>
      <c r="CQ13" t="s">
        <v>403</v>
      </c>
      <c r="CT13">
        <v>5</v>
      </c>
    </row>
    <row r="14" spans="1:104" x14ac:dyDescent="0.25">
      <c r="A14" t="s">
        <v>404</v>
      </c>
      <c r="B14" t="s">
        <v>405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Moving Average</v>
      </c>
      <c r="V15">
        <v>10</v>
      </c>
      <c r="W15" t="str">
        <f>dbMovingTitle</f>
        <v>Moving Average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622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622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623</v>
      </c>
      <c r="BN15">
        <v>12</v>
      </c>
      <c r="BO15">
        <v>18</v>
      </c>
      <c r="BP15">
        <v>127</v>
      </c>
      <c r="BS15" t="s">
        <v>623</v>
      </c>
      <c r="BV15">
        <v>205</v>
      </c>
      <c r="BW15">
        <v>17</v>
      </c>
      <c r="BX15">
        <v>119</v>
      </c>
      <c r="CA15" t="s">
        <v>624</v>
      </c>
      <c r="CD15">
        <v>12</v>
      </c>
      <c r="CE15">
        <v>18</v>
      </c>
      <c r="CF15">
        <v>132</v>
      </c>
      <c r="CI15" t="s">
        <v>623</v>
      </c>
      <c r="CL15">
        <v>5</v>
      </c>
      <c r="CM15">
        <v>42</v>
      </c>
      <c r="CN15">
        <v>146</v>
      </c>
      <c r="CQ15" t="s">
        <v>648</v>
      </c>
      <c r="CT15">
        <v>5</v>
      </c>
    </row>
    <row r="16" spans="1:104" x14ac:dyDescent="0.25">
      <c r="A16" t="s">
        <v>526</v>
      </c>
      <c r="B16" t="s">
        <v>527</v>
      </c>
      <c r="T16">
        <v>11</v>
      </c>
      <c r="U16" t="str">
        <f>dbRandomTitle</f>
        <v>Random Number Generation</v>
      </c>
      <c r="V16">
        <v>11</v>
      </c>
      <c r="W16" t="str">
        <f>dbRandomTitle</f>
        <v>Random Number Generation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624</v>
      </c>
      <c r="BN16">
        <v>12</v>
      </c>
      <c r="BP16">
        <v>147</v>
      </c>
      <c r="BS16" t="s">
        <v>624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624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529</v>
      </c>
      <c r="T17">
        <v>12</v>
      </c>
      <c r="U17" t="str">
        <f>dbRankPerTitle</f>
        <v>Rank and Percentile</v>
      </c>
      <c r="V17">
        <v>12</v>
      </c>
      <c r="W17" t="str">
        <f>dbRankPerTitle</f>
        <v>Rank and Percentile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623</v>
      </c>
      <c r="AP17">
        <v>12</v>
      </c>
      <c r="AQ17">
        <v>24</v>
      </c>
      <c r="AR17">
        <v>142</v>
      </c>
      <c r="AU17" t="s">
        <v>623</v>
      </c>
      <c r="BF17">
        <v>12</v>
      </c>
      <c r="BH17">
        <v>160</v>
      </c>
      <c r="BK17" t="s">
        <v>625</v>
      </c>
      <c r="BN17">
        <v>12</v>
      </c>
      <c r="BP17">
        <v>167</v>
      </c>
      <c r="BS17" t="s">
        <v>625</v>
      </c>
      <c r="BV17">
        <v>205</v>
      </c>
      <c r="BW17">
        <v>17</v>
      </c>
      <c r="BX17">
        <v>139</v>
      </c>
      <c r="CA17" t="s">
        <v>625</v>
      </c>
      <c r="CD17">
        <v>12</v>
      </c>
      <c r="CF17">
        <v>172</v>
      </c>
      <c r="CI17" t="s">
        <v>625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622</v>
      </c>
      <c r="CT17">
        <v>5</v>
      </c>
    </row>
    <row r="18" spans="1:104" x14ac:dyDescent="0.25">
      <c r="A18" t="s">
        <v>531</v>
      </c>
      <c r="B18" t="s">
        <v>351</v>
      </c>
      <c r="T18">
        <v>13</v>
      </c>
      <c r="U18" t="str">
        <f>dbRegressionTitle</f>
        <v>Regression</v>
      </c>
      <c r="V18">
        <v>13</v>
      </c>
      <c r="W18" t="str">
        <f>dbRegressionTitle</f>
        <v>Regression</v>
      </c>
      <c r="X18" t="s">
        <v>448</v>
      </c>
      <c r="Y18" s="1" t="s">
        <v>657</v>
      </c>
      <c r="AH18">
        <v>12</v>
      </c>
      <c r="AJ18">
        <v>169</v>
      </c>
      <c r="AM18" t="s">
        <v>624</v>
      </c>
      <c r="AP18">
        <v>12</v>
      </c>
      <c r="AR18">
        <v>162</v>
      </c>
      <c r="AU18" t="s">
        <v>624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626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125</v>
      </c>
      <c r="T19">
        <v>14</v>
      </c>
      <c r="U19" t="str">
        <f>dbSamplingTitle</f>
        <v>Sampling</v>
      </c>
      <c r="V19">
        <v>14</v>
      </c>
      <c r="W19" t="str">
        <f>dbSamplingTitle</f>
        <v>Sampling</v>
      </c>
      <c r="X19" t="s">
        <v>585</v>
      </c>
      <c r="Y19" s="1" t="s">
        <v>662</v>
      </c>
      <c r="AH19">
        <v>12</v>
      </c>
      <c r="AJ19">
        <v>189</v>
      </c>
      <c r="AM19" t="s">
        <v>625</v>
      </c>
      <c r="AP19">
        <v>12</v>
      </c>
      <c r="AR19">
        <v>182</v>
      </c>
      <c r="AU19" t="s">
        <v>625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627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623</v>
      </c>
      <c r="CT19">
        <v>5</v>
      </c>
    </row>
    <row r="20" spans="1:104" x14ac:dyDescent="0.25">
      <c r="A20" t="s">
        <v>343</v>
      </c>
      <c r="B20" t="s">
        <v>455</v>
      </c>
      <c r="T20">
        <v>15</v>
      </c>
      <c r="U20" t="str">
        <f>dbTTest1Title</f>
        <v>t-Test: Paired Two Sample for Means</v>
      </c>
      <c r="V20">
        <v>15</v>
      </c>
      <c r="W20" t="str">
        <f>dbTTest1Title</f>
        <v>t-Test: Paired Two Sample for Means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345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624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t-Test: Two-Sample Assuming Equal Variances</v>
      </c>
      <c r="V21">
        <v>16</v>
      </c>
      <c r="W21" t="str">
        <f>dbTTest2Title</f>
        <v>t-Test: Two-Sample Assuming Equal Variances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639</v>
      </c>
      <c r="BT21" t="b">
        <v>0</v>
      </c>
      <c r="CL21">
        <v>12</v>
      </c>
      <c r="CN21">
        <v>230</v>
      </c>
      <c r="CQ21" t="s">
        <v>625</v>
      </c>
      <c r="CT21">
        <v>5</v>
      </c>
    </row>
    <row r="22" spans="1:104" x14ac:dyDescent="0.25">
      <c r="A22" t="s">
        <v>440</v>
      </c>
      <c r="B22" t="s">
        <v>456</v>
      </c>
      <c r="T22">
        <v>17</v>
      </c>
      <c r="U22" t="str">
        <f>dbTTest3Title</f>
        <v>t-Test: Two-Sample Assuming Unequal Variances</v>
      </c>
      <c r="V22">
        <v>17</v>
      </c>
      <c r="W22" t="str">
        <f>dbTTest3Title</f>
        <v>t-Test: Two-Sample Assuming Unequal Variances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442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652</v>
      </c>
    </row>
    <row r="23" spans="1:104" x14ac:dyDescent="0.25">
      <c r="A23" t="s">
        <v>443</v>
      </c>
      <c r="B23" t="s">
        <v>356</v>
      </c>
      <c r="T23">
        <v>18</v>
      </c>
      <c r="U23" t="str">
        <f>dbZTestTitle</f>
        <v>z-Test: Two Sample for Means</v>
      </c>
      <c r="V23">
        <v>18</v>
      </c>
      <c r="W23" t="str">
        <f>dbZTestTitle</f>
        <v>z-Test: Two Sample for Means</v>
      </c>
      <c r="X23" t="s">
        <v>357</v>
      </c>
      <c r="Y23" s="1" t="s">
        <v>674</v>
      </c>
      <c r="AP23">
        <v>13</v>
      </c>
      <c r="AR23">
        <v>216</v>
      </c>
      <c r="AU23" t="s">
        <v>358</v>
      </c>
      <c r="AV23" t="b">
        <v>0</v>
      </c>
      <c r="BF23" s="1" t="s">
        <v>666</v>
      </c>
      <c r="BI23">
        <v>523</v>
      </c>
      <c r="BJ23">
        <v>191</v>
      </c>
      <c r="BK23" t="s">
        <v>359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361</v>
      </c>
      <c r="X24" t="s">
        <v>551</v>
      </c>
      <c r="AP24">
        <v>13</v>
      </c>
      <c r="AR24">
        <v>231</v>
      </c>
      <c r="AU24" t="s">
        <v>632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640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653</v>
      </c>
    </row>
    <row r="25" spans="1:104" x14ac:dyDescent="0.25">
      <c r="A25" t="s">
        <v>552</v>
      </c>
      <c r="B25" t="s">
        <v>553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633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397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555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574</v>
      </c>
      <c r="X26" t="s">
        <v>376</v>
      </c>
      <c r="AH26" s="1" t="s">
        <v>664</v>
      </c>
      <c r="AK26">
        <v>509</v>
      </c>
      <c r="AL26">
        <v>187</v>
      </c>
      <c r="AM26" t="s">
        <v>356</v>
      </c>
      <c r="AN26">
        <v>5</v>
      </c>
      <c r="AP26">
        <v>13</v>
      </c>
      <c r="AR26">
        <v>231</v>
      </c>
      <c r="AU26" t="s">
        <v>634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399</v>
      </c>
      <c r="BN26">
        <v>113</v>
      </c>
      <c r="BO26">
        <v>18</v>
      </c>
      <c r="BP26">
        <v>247</v>
      </c>
      <c r="BS26" t="s">
        <v>641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622</v>
      </c>
    </row>
    <row r="27" spans="1:104" x14ac:dyDescent="0.25">
      <c r="A27" t="s">
        <v>377</v>
      </c>
      <c r="B27" t="s">
        <v>378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635</v>
      </c>
      <c r="BF27">
        <v>5</v>
      </c>
      <c r="BG27">
        <v>18</v>
      </c>
      <c r="BH27">
        <v>19</v>
      </c>
      <c r="BK27" t="s">
        <v>619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397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381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397</v>
      </c>
      <c r="AP28">
        <v>13</v>
      </c>
      <c r="AR28">
        <v>270</v>
      </c>
      <c r="AU28" t="s">
        <v>636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399</v>
      </c>
      <c r="CT28">
        <v>12</v>
      </c>
      <c r="CU28">
        <v>17</v>
      </c>
      <c r="CV28">
        <v>225</v>
      </c>
      <c r="CY28" t="s">
        <v>623</v>
      </c>
    </row>
    <row r="29" spans="1:104" x14ac:dyDescent="0.25">
      <c r="A29" t="s">
        <v>383</v>
      </c>
      <c r="B29" t="s">
        <v>598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399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620</v>
      </c>
      <c r="CD29">
        <v>5</v>
      </c>
      <c r="CE29">
        <v>17</v>
      </c>
      <c r="CF29">
        <v>18</v>
      </c>
      <c r="CI29" t="s">
        <v>642</v>
      </c>
      <c r="CT29">
        <v>12</v>
      </c>
      <c r="CV29">
        <v>245</v>
      </c>
      <c r="CY29" t="s">
        <v>624</v>
      </c>
    </row>
    <row r="30" spans="1:104" x14ac:dyDescent="0.25">
      <c r="A30" t="s">
        <v>600</v>
      </c>
      <c r="B30" t="s">
        <v>601</v>
      </c>
      <c r="X30" t="s">
        <v>332</v>
      </c>
      <c r="AH30">
        <v>5</v>
      </c>
      <c r="AI30">
        <v>20</v>
      </c>
      <c r="AJ30">
        <v>19</v>
      </c>
      <c r="AM30" t="s">
        <v>619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625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506</v>
      </c>
      <c r="CD31">
        <v>5</v>
      </c>
      <c r="CE31">
        <v>17</v>
      </c>
      <c r="CF31">
        <v>41</v>
      </c>
      <c r="CI31" t="s">
        <v>643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94</v>
      </c>
      <c r="AH32">
        <v>5</v>
      </c>
      <c r="AI32">
        <v>20</v>
      </c>
      <c r="AJ32">
        <v>45</v>
      </c>
      <c r="AM32" t="s">
        <v>301</v>
      </c>
      <c r="BF32">
        <v>12</v>
      </c>
      <c r="BK32" t="s">
        <v>509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621</v>
      </c>
      <c r="BL33" t="b">
        <v>0</v>
      </c>
      <c r="CD33">
        <v>5</v>
      </c>
      <c r="CE33">
        <v>17</v>
      </c>
      <c r="CF33">
        <v>70</v>
      </c>
      <c r="CI33" t="s">
        <v>644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326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622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480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622</v>
      </c>
      <c r="BF36">
        <v>12</v>
      </c>
      <c r="BG36">
        <v>18</v>
      </c>
      <c r="BH36">
        <v>120</v>
      </c>
      <c r="BK36" t="s">
        <v>623</v>
      </c>
      <c r="CD36">
        <v>5</v>
      </c>
      <c r="CE36">
        <v>17</v>
      </c>
      <c r="CF36">
        <v>114</v>
      </c>
      <c r="CI36" t="s">
        <v>326</v>
      </c>
      <c r="CT36">
        <v>5</v>
      </c>
      <c r="CZ36" t="s">
        <v>551</v>
      </c>
    </row>
    <row r="37" spans="1:104" x14ac:dyDescent="0.25">
      <c r="A37" t="s">
        <v>473</v>
      </c>
      <c r="B37" t="s">
        <v>474</v>
      </c>
      <c r="AH37">
        <v>111</v>
      </c>
      <c r="AN37">
        <v>2</v>
      </c>
      <c r="BF37">
        <v>12</v>
      </c>
      <c r="BH37">
        <v>140</v>
      </c>
      <c r="BK37" t="s">
        <v>624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487</v>
      </c>
      <c r="AH38">
        <v>12</v>
      </c>
      <c r="AI38">
        <v>20</v>
      </c>
      <c r="AJ38">
        <v>115</v>
      </c>
      <c r="AM38" t="s">
        <v>623</v>
      </c>
      <c r="BF38">
        <v>12</v>
      </c>
      <c r="BH38">
        <v>160</v>
      </c>
      <c r="BK38" t="s">
        <v>625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622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624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491</v>
      </c>
      <c r="AH40">
        <v>12</v>
      </c>
      <c r="AJ40">
        <v>155</v>
      </c>
      <c r="AM40" t="s">
        <v>625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623</v>
      </c>
      <c r="CT40">
        <v>5</v>
      </c>
    </row>
    <row r="41" spans="1:104" x14ac:dyDescent="0.25">
      <c r="A41" t="s">
        <v>492</v>
      </c>
      <c r="B41" t="s">
        <v>493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624</v>
      </c>
      <c r="CT41">
        <v>5</v>
      </c>
    </row>
    <row r="42" spans="1:104" x14ac:dyDescent="0.25">
      <c r="A42" t="s">
        <v>494</v>
      </c>
      <c r="B42" t="s">
        <v>495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625</v>
      </c>
      <c r="CT42">
        <v>5</v>
      </c>
    </row>
    <row r="43" spans="1:104" x14ac:dyDescent="0.25">
      <c r="A43" t="s">
        <v>496</v>
      </c>
      <c r="B43" t="s">
        <v>497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401</v>
      </c>
      <c r="BF44" s="1" t="s">
        <v>670</v>
      </c>
      <c r="BI44">
        <v>523</v>
      </c>
      <c r="BJ44">
        <v>191</v>
      </c>
      <c r="BK44" t="s">
        <v>402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174</v>
      </c>
    </row>
    <row r="45" spans="1:104" x14ac:dyDescent="0.25">
      <c r="A45" t="s">
        <v>422</v>
      </c>
      <c r="B45" t="s">
        <v>423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425</v>
      </c>
      <c r="BF46">
        <v>2</v>
      </c>
      <c r="BG46">
        <v>407</v>
      </c>
      <c r="BH46">
        <v>30</v>
      </c>
      <c r="BI46">
        <v>90</v>
      </c>
      <c r="BK46" t="s">
        <v>397</v>
      </c>
      <c r="CT46">
        <v>5</v>
      </c>
      <c r="CU46">
        <v>184</v>
      </c>
      <c r="CV46">
        <v>114</v>
      </c>
      <c r="CY46" t="s">
        <v>426</v>
      </c>
    </row>
    <row r="47" spans="1:104" x14ac:dyDescent="0.25">
      <c r="A47" t="s">
        <v>427</v>
      </c>
      <c r="B47" t="s">
        <v>428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399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430</v>
      </c>
      <c r="AH48" s="1" t="s">
        <v>665</v>
      </c>
      <c r="AK48">
        <v>523</v>
      </c>
      <c r="AL48">
        <v>185</v>
      </c>
      <c r="AM48" t="s">
        <v>361</v>
      </c>
      <c r="AN48">
        <v>5</v>
      </c>
      <c r="BF48">
        <v>5</v>
      </c>
      <c r="BG48">
        <v>18</v>
      </c>
      <c r="BH48">
        <v>19</v>
      </c>
      <c r="BK48" t="s">
        <v>619</v>
      </c>
    </row>
    <row r="49" spans="1:104" x14ac:dyDescent="0.25">
      <c r="A49" t="s">
        <v>431</v>
      </c>
      <c r="B49" t="s">
        <v>459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433</v>
      </c>
      <c r="AH50">
        <v>2</v>
      </c>
      <c r="AI50">
        <v>407</v>
      </c>
      <c r="AJ50">
        <v>30</v>
      </c>
      <c r="AK50">
        <v>90</v>
      </c>
      <c r="AM50" t="s">
        <v>397</v>
      </c>
      <c r="BF50">
        <v>5</v>
      </c>
      <c r="BG50">
        <v>18</v>
      </c>
      <c r="BH50">
        <v>44</v>
      </c>
      <c r="BK50" t="s">
        <v>620</v>
      </c>
      <c r="CD50" s="1" t="s">
        <v>672</v>
      </c>
      <c r="CG50">
        <v>550</v>
      </c>
      <c r="CH50">
        <v>227</v>
      </c>
      <c r="CI50" t="s">
        <v>20</v>
      </c>
      <c r="CJ50">
        <v>5</v>
      </c>
      <c r="CT50">
        <v>5</v>
      </c>
      <c r="CU50">
        <v>17</v>
      </c>
      <c r="CV50">
        <v>101</v>
      </c>
      <c r="CY50" t="s">
        <v>21</v>
      </c>
      <c r="CZ50" t="s">
        <v>599</v>
      </c>
    </row>
    <row r="51" spans="1:104" x14ac:dyDescent="0.25">
      <c r="A51" t="s">
        <v>439</v>
      </c>
      <c r="B51" t="s">
        <v>418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399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420</v>
      </c>
      <c r="AH52">
        <v>5</v>
      </c>
      <c r="AI52">
        <v>18</v>
      </c>
      <c r="AJ52">
        <v>19</v>
      </c>
      <c r="AM52" t="s">
        <v>619</v>
      </c>
      <c r="BF52">
        <v>12</v>
      </c>
      <c r="BG52">
        <v>220</v>
      </c>
      <c r="BH52">
        <v>40</v>
      </c>
      <c r="BK52" t="s">
        <v>506</v>
      </c>
      <c r="CD52">
        <v>2</v>
      </c>
      <c r="CE52">
        <v>440</v>
      </c>
      <c r="CF52">
        <v>30</v>
      </c>
      <c r="CG52">
        <v>90</v>
      </c>
      <c r="CI52" t="s">
        <v>397</v>
      </c>
      <c r="CT52">
        <v>5</v>
      </c>
      <c r="CU52">
        <v>132</v>
      </c>
      <c r="CV52">
        <v>101</v>
      </c>
      <c r="CY52" t="s">
        <v>421</v>
      </c>
    </row>
    <row r="53" spans="1:104" x14ac:dyDescent="0.25">
      <c r="A53" t="s">
        <v>338</v>
      </c>
      <c r="B53" t="s">
        <v>339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509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399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341</v>
      </c>
      <c r="AH54">
        <v>13</v>
      </c>
      <c r="AI54">
        <v>19</v>
      </c>
      <c r="AJ54">
        <v>41</v>
      </c>
      <c r="AM54" t="s">
        <v>480</v>
      </c>
      <c r="AN54" t="b">
        <v>0</v>
      </c>
      <c r="BF54">
        <v>13</v>
      </c>
      <c r="BG54">
        <v>18</v>
      </c>
      <c r="BH54">
        <v>75</v>
      </c>
      <c r="BK54" t="s">
        <v>621</v>
      </c>
      <c r="BL54" t="b">
        <v>0</v>
      </c>
      <c r="CD54">
        <v>5</v>
      </c>
      <c r="CE54">
        <v>17</v>
      </c>
      <c r="CF54">
        <v>18</v>
      </c>
      <c r="CI54" t="s">
        <v>642</v>
      </c>
      <c r="CT54">
        <v>5</v>
      </c>
      <c r="CU54">
        <v>232</v>
      </c>
      <c r="CV54">
        <v>101</v>
      </c>
      <c r="CY54" t="s">
        <v>342</v>
      </c>
    </row>
    <row r="55" spans="1:104" x14ac:dyDescent="0.25">
      <c r="A55" t="s">
        <v>177</v>
      </c>
      <c r="B55" t="s">
        <v>178</v>
      </c>
      <c r="AH55">
        <v>5</v>
      </c>
      <c r="AI55">
        <v>20</v>
      </c>
      <c r="AJ55">
        <v>62</v>
      </c>
      <c r="AM55" t="s">
        <v>326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622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180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643</v>
      </c>
      <c r="CT56">
        <v>5</v>
      </c>
      <c r="CU56">
        <v>17</v>
      </c>
      <c r="CV56">
        <v>131</v>
      </c>
      <c r="CY56" t="s">
        <v>556</v>
      </c>
    </row>
    <row r="57" spans="1:104" x14ac:dyDescent="0.25">
      <c r="A57" t="s">
        <v>557</v>
      </c>
      <c r="B57" t="s">
        <v>558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622</v>
      </c>
      <c r="BF57">
        <v>12</v>
      </c>
      <c r="BG57">
        <v>18</v>
      </c>
      <c r="BH57">
        <v>120</v>
      </c>
      <c r="BK57" t="s">
        <v>623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186</v>
      </c>
      <c r="AH58">
        <v>111</v>
      </c>
      <c r="AN58">
        <v>2</v>
      </c>
      <c r="BF58">
        <v>12</v>
      </c>
      <c r="BH58">
        <v>140</v>
      </c>
      <c r="BK58" t="s">
        <v>624</v>
      </c>
      <c r="CD58">
        <v>5</v>
      </c>
      <c r="CE58">
        <v>17</v>
      </c>
      <c r="CF58">
        <v>70</v>
      </c>
      <c r="CI58" t="s">
        <v>644</v>
      </c>
      <c r="CT58">
        <v>5</v>
      </c>
      <c r="CU58">
        <v>288</v>
      </c>
      <c r="CV58">
        <v>131</v>
      </c>
      <c r="CY58" t="s">
        <v>187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623</v>
      </c>
      <c r="BF59">
        <v>12</v>
      </c>
      <c r="BH59">
        <v>160</v>
      </c>
      <c r="BK59" t="s">
        <v>625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190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624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480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567</v>
      </c>
      <c r="AH61">
        <v>12</v>
      </c>
      <c r="AJ61">
        <v>147</v>
      </c>
      <c r="AM61" t="s">
        <v>625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326</v>
      </c>
      <c r="CT61">
        <v>5</v>
      </c>
      <c r="CU61">
        <v>288</v>
      </c>
      <c r="CV61">
        <v>153</v>
      </c>
      <c r="CY61" t="s">
        <v>187</v>
      </c>
    </row>
    <row r="62" spans="1:104" x14ac:dyDescent="0.25">
      <c r="A62" t="s">
        <v>568</v>
      </c>
      <c r="B62" t="s">
        <v>569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571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622</v>
      </c>
      <c r="CT63" t="s">
        <v>554</v>
      </c>
    </row>
    <row r="64" spans="1:104" x14ac:dyDescent="0.25">
      <c r="A64" t="s">
        <v>572</v>
      </c>
      <c r="B64" t="s">
        <v>458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359</v>
      </c>
      <c r="CD65">
        <v>12</v>
      </c>
      <c r="CE65">
        <v>17</v>
      </c>
      <c r="CF65">
        <v>156</v>
      </c>
      <c r="CI65" t="s">
        <v>623</v>
      </c>
      <c r="CT65">
        <v>5</v>
      </c>
    </row>
    <row r="66" spans="1:104" x14ac:dyDescent="0.25">
      <c r="A66" t="s">
        <v>194</v>
      </c>
      <c r="B66" t="s">
        <v>460</v>
      </c>
      <c r="BF66" t="s">
        <v>334</v>
      </c>
      <c r="CD66">
        <v>12</v>
      </c>
      <c r="CF66">
        <v>176</v>
      </c>
      <c r="CI66" t="s">
        <v>624</v>
      </c>
      <c r="CT66">
        <v>5</v>
      </c>
    </row>
    <row r="67" spans="1:104" x14ac:dyDescent="0.25">
      <c r="A67" t="s">
        <v>195</v>
      </c>
      <c r="B67" t="s">
        <v>196</v>
      </c>
      <c r="BF67" s="1" t="s">
        <v>667</v>
      </c>
      <c r="BI67">
        <v>523</v>
      </c>
      <c r="BJ67">
        <v>181</v>
      </c>
      <c r="BK67" t="s">
        <v>575</v>
      </c>
      <c r="BL67">
        <v>5</v>
      </c>
      <c r="CD67">
        <v>12</v>
      </c>
      <c r="CF67">
        <v>196</v>
      </c>
      <c r="CI67" t="s">
        <v>625</v>
      </c>
      <c r="CT67">
        <v>5</v>
      </c>
    </row>
    <row r="68" spans="1:104" x14ac:dyDescent="0.25">
      <c r="A68" t="s">
        <v>576</v>
      </c>
      <c r="B68" t="s">
        <v>577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579</v>
      </c>
      <c r="AH69" s="1" t="s">
        <v>669</v>
      </c>
      <c r="AK69">
        <v>523</v>
      </c>
      <c r="AL69">
        <v>205</v>
      </c>
      <c r="AM69" t="s">
        <v>196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397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581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399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583</v>
      </c>
      <c r="AH71">
        <v>2</v>
      </c>
      <c r="AI71">
        <v>407</v>
      </c>
      <c r="AJ71">
        <v>30</v>
      </c>
      <c r="AK71">
        <v>90</v>
      </c>
      <c r="AM71" t="s">
        <v>397</v>
      </c>
      <c r="BF71">
        <v>5</v>
      </c>
      <c r="BG71">
        <v>18</v>
      </c>
      <c r="BH71">
        <v>19</v>
      </c>
      <c r="BK71" t="s">
        <v>619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399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202</v>
      </c>
    </row>
    <row r="73" spans="1:104" x14ac:dyDescent="0.25">
      <c r="A73" t="s">
        <v>203</v>
      </c>
      <c r="B73" t="s">
        <v>204</v>
      </c>
      <c r="AH73">
        <v>5</v>
      </c>
      <c r="AI73">
        <v>18</v>
      </c>
      <c r="AJ73">
        <v>19</v>
      </c>
      <c r="AM73" t="s">
        <v>619</v>
      </c>
      <c r="BF73">
        <v>13</v>
      </c>
      <c r="BG73">
        <v>18</v>
      </c>
      <c r="BH73">
        <v>40</v>
      </c>
      <c r="BK73" t="s">
        <v>621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206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622</v>
      </c>
      <c r="CD74" t="s">
        <v>441</v>
      </c>
      <c r="CT74">
        <v>5</v>
      </c>
      <c r="CU74">
        <v>24</v>
      </c>
      <c r="CV74">
        <v>134</v>
      </c>
      <c r="CY74" t="s">
        <v>27</v>
      </c>
    </row>
    <row r="75" spans="1:104" x14ac:dyDescent="0.25">
      <c r="A75" t="s">
        <v>207</v>
      </c>
      <c r="B75" t="s">
        <v>208</v>
      </c>
      <c r="AH75">
        <v>13</v>
      </c>
      <c r="AI75">
        <v>18</v>
      </c>
      <c r="AJ75">
        <v>41</v>
      </c>
      <c r="AM75" t="s">
        <v>621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209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499</v>
      </c>
      <c r="AH76">
        <v>5</v>
      </c>
      <c r="AI76">
        <v>18</v>
      </c>
      <c r="AJ76">
        <v>69</v>
      </c>
      <c r="AM76" t="s">
        <v>500</v>
      </c>
      <c r="BF76">
        <v>12</v>
      </c>
      <c r="BG76">
        <v>18</v>
      </c>
      <c r="BH76">
        <v>86</v>
      </c>
      <c r="BK76" t="s">
        <v>623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624</v>
      </c>
      <c r="CD77">
        <v>2</v>
      </c>
      <c r="CE77">
        <v>440</v>
      </c>
      <c r="CF77">
        <v>30</v>
      </c>
      <c r="CG77">
        <v>90</v>
      </c>
      <c r="CI77" t="s">
        <v>397</v>
      </c>
      <c r="CT77" t="s">
        <v>376</v>
      </c>
    </row>
    <row r="78" spans="1:104" x14ac:dyDescent="0.25">
      <c r="A78" t="s">
        <v>219</v>
      </c>
      <c r="B78" t="s">
        <v>216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622</v>
      </c>
      <c r="BF78">
        <v>12</v>
      </c>
      <c r="BH78">
        <v>126</v>
      </c>
      <c r="BK78" t="s">
        <v>625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399</v>
      </c>
      <c r="CT78">
        <v>5</v>
      </c>
      <c r="CZ78" t="s">
        <v>376</v>
      </c>
    </row>
    <row r="79" spans="1:104" x14ac:dyDescent="0.25">
      <c r="A79" t="s">
        <v>220</v>
      </c>
      <c r="B79" t="s">
        <v>20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642</v>
      </c>
      <c r="CT79">
        <v>5</v>
      </c>
    </row>
    <row r="80" spans="1:104" x14ac:dyDescent="0.25">
      <c r="A80" t="s">
        <v>221</v>
      </c>
      <c r="B80" t="s">
        <v>555</v>
      </c>
      <c r="AH80">
        <v>5</v>
      </c>
      <c r="AI80">
        <v>18</v>
      </c>
      <c r="AJ80">
        <v>112</v>
      </c>
      <c r="AM80" t="s">
        <v>623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209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605</v>
      </c>
      <c r="BL81" t="b">
        <v>0</v>
      </c>
      <c r="CD81">
        <v>5</v>
      </c>
      <c r="CE81">
        <v>17</v>
      </c>
      <c r="CF81">
        <v>41</v>
      </c>
      <c r="CI81" t="s">
        <v>643</v>
      </c>
      <c r="CT81">
        <v>5</v>
      </c>
    </row>
    <row r="82" spans="1:104" x14ac:dyDescent="0.25">
      <c r="A82" t="s">
        <v>606</v>
      </c>
      <c r="B82" t="s">
        <v>607</v>
      </c>
      <c r="AH82">
        <v>205</v>
      </c>
      <c r="AI82">
        <v>18</v>
      </c>
      <c r="AJ82">
        <v>132</v>
      </c>
      <c r="AM82" t="s">
        <v>624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302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644</v>
      </c>
      <c r="CT83">
        <v>5</v>
      </c>
    </row>
    <row r="84" spans="1:104" x14ac:dyDescent="0.25">
      <c r="A84" t="s">
        <v>303</v>
      </c>
      <c r="B84" t="s">
        <v>466</v>
      </c>
      <c r="AH84">
        <v>205</v>
      </c>
      <c r="AI84">
        <v>18</v>
      </c>
      <c r="AJ84">
        <v>152</v>
      </c>
      <c r="AM84" t="s">
        <v>625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227</v>
      </c>
      <c r="AH85">
        <v>13</v>
      </c>
      <c r="AI85">
        <v>18</v>
      </c>
      <c r="AJ85">
        <v>175</v>
      </c>
      <c r="AM85" t="s">
        <v>626</v>
      </c>
      <c r="AN85" t="b">
        <v>0</v>
      </c>
      <c r="CD85">
        <v>13</v>
      </c>
      <c r="CE85">
        <v>18</v>
      </c>
      <c r="CF85">
        <v>87</v>
      </c>
      <c r="CI85" t="s">
        <v>480</v>
      </c>
      <c r="CJ85" t="b">
        <v>0</v>
      </c>
      <c r="CT85">
        <v>5</v>
      </c>
    </row>
    <row r="86" spans="1:104" x14ac:dyDescent="0.25">
      <c r="A86" t="s">
        <v>228</v>
      </c>
      <c r="B86" t="s">
        <v>229</v>
      </c>
      <c r="AH86">
        <v>13</v>
      </c>
      <c r="AI86">
        <v>222</v>
      </c>
      <c r="AJ86">
        <v>175</v>
      </c>
      <c r="AM86" t="s">
        <v>627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326</v>
      </c>
      <c r="CT86">
        <v>5</v>
      </c>
    </row>
    <row r="87" spans="1:104" x14ac:dyDescent="0.25">
      <c r="A87" t="s">
        <v>231</v>
      </c>
      <c r="B87" t="s">
        <v>615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617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622</v>
      </c>
      <c r="CT88">
        <v>5</v>
      </c>
      <c r="CU88">
        <v>26</v>
      </c>
      <c r="CV88">
        <v>108</v>
      </c>
      <c r="CY88" t="s">
        <v>618</v>
      </c>
    </row>
    <row r="89" spans="1:104" x14ac:dyDescent="0.25">
      <c r="A89" t="s">
        <v>299</v>
      </c>
      <c r="B89" t="s">
        <v>234</v>
      </c>
      <c r="BF89">
        <v>2</v>
      </c>
      <c r="BG89">
        <v>407</v>
      </c>
      <c r="BH89">
        <v>30</v>
      </c>
      <c r="BI89">
        <v>90</v>
      </c>
      <c r="BK89" t="s">
        <v>397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66</v>
      </c>
      <c r="BK90" t="s">
        <v>399</v>
      </c>
      <c r="CD90">
        <v>12</v>
      </c>
      <c r="CE90">
        <v>17</v>
      </c>
      <c r="CF90">
        <v>152</v>
      </c>
      <c r="CI90" t="s">
        <v>623</v>
      </c>
    </row>
    <row r="91" spans="1:104" x14ac:dyDescent="0.25">
      <c r="A91" t="s">
        <v>237</v>
      </c>
      <c r="B91" t="s">
        <v>238</v>
      </c>
      <c r="BF91">
        <v>5</v>
      </c>
      <c r="BG91">
        <v>18</v>
      </c>
      <c r="BH91">
        <v>19</v>
      </c>
      <c r="BK91" t="s">
        <v>619</v>
      </c>
      <c r="CD91">
        <v>12</v>
      </c>
      <c r="CF91">
        <v>172</v>
      </c>
      <c r="CI91" t="s">
        <v>624</v>
      </c>
      <c r="CT91" t="s">
        <v>379</v>
      </c>
    </row>
    <row r="92" spans="1:104" x14ac:dyDescent="0.25">
      <c r="A92" t="s">
        <v>239</v>
      </c>
      <c r="B92" t="s">
        <v>484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625</v>
      </c>
      <c r="CT92">
        <v>5</v>
      </c>
      <c r="CZ92" t="s">
        <v>379</v>
      </c>
    </row>
    <row r="93" spans="1:104" x14ac:dyDescent="0.25">
      <c r="A93" t="s">
        <v>485</v>
      </c>
      <c r="B93" t="s">
        <v>486</v>
      </c>
      <c r="BF93">
        <v>5</v>
      </c>
      <c r="BG93">
        <v>18</v>
      </c>
      <c r="BH93">
        <v>43</v>
      </c>
      <c r="BK93" t="s">
        <v>637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243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245</v>
      </c>
      <c r="BF95">
        <v>13</v>
      </c>
      <c r="BG95">
        <v>18</v>
      </c>
      <c r="BH95">
        <v>66</v>
      </c>
      <c r="BK95" t="s">
        <v>480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247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622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251</v>
      </c>
      <c r="BF98">
        <v>12</v>
      </c>
      <c r="BG98">
        <v>18</v>
      </c>
      <c r="BH98">
        <v>112</v>
      </c>
      <c r="BK98" t="s">
        <v>623</v>
      </c>
      <c r="CT98">
        <v>5</v>
      </c>
    </row>
    <row r="99" spans="1:104" x14ac:dyDescent="0.25">
      <c r="A99" t="s">
        <v>252</v>
      </c>
      <c r="B99" t="s">
        <v>510</v>
      </c>
      <c r="BF99">
        <v>12</v>
      </c>
      <c r="BH99">
        <v>132</v>
      </c>
      <c r="BK99" t="s">
        <v>624</v>
      </c>
      <c r="CD99" t="s">
        <v>357</v>
      </c>
      <c r="CT99">
        <v>5</v>
      </c>
    </row>
    <row r="100" spans="1:104" x14ac:dyDescent="0.25">
      <c r="A100" t="s">
        <v>511</v>
      </c>
      <c r="B100" t="s">
        <v>512</v>
      </c>
      <c r="BF100">
        <v>12</v>
      </c>
      <c r="BH100">
        <v>152</v>
      </c>
      <c r="BK100" t="s">
        <v>625</v>
      </c>
      <c r="CD100" s="1" t="s">
        <v>674</v>
      </c>
      <c r="CG100">
        <v>577</v>
      </c>
      <c r="CH100">
        <v>281</v>
      </c>
      <c r="CI100" t="s">
        <v>245</v>
      </c>
      <c r="CJ100">
        <v>5</v>
      </c>
      <c r="CT100">
        <v>5</v>
      </c>
      <c r="CU100">
        <v>23</v>
      </c>
      <c r="CV100">
        <v>131</v>
      </c>
      <c r="CY100" t="s">
        <v>28</v>
      </c>
    </row>
    <row r="101" spans="1:104" x14ac:dyDescent="0.25">
      <c r="A101" t="s">
        <v>513</v>
      </c>
      <c r="B101" t="s">
        <v>514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402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397</v>
      </c>
      <c r="CT102">
        <v>5</v>
      </c>
      <c r="CU102">
        <v>25</v>
      </c>
      <c r="CV102">
        <v>108</v>
      </c>
      <c r="CY102" t="s">
        <v>618</v>
      </c>
    </row>
    <row r="103" spans="1:104" x14ac:dyDescent="0.25">
      <c r="A103" t="s">
        <v>516</v>
      </c>
      <c r="B103" t="s">
        <v>517</v>
      </c>
      <c r="BF103">
        <v>13</v>
      </c>
      <c r="BG103">
        <v>18</v>
      </c>
      <c r="BH103">
        <v>174</v>
      </c>
      <c r="BK103" t="s">
        <v>518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399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417</v>
      </c>
      <c r="BF104">
        <v>13</v>
      </c>
      <c r="BK104" t="s">
        <v>638</v>
      </c>
      <c r="BL104" t="b">
        <v>0</v>
      </c>
      <c r="CD104">
        <v>5</v>
      </c>
      <c r="CE104">
        <v>17</v>
      </c>
      <c r="CF104">
        <v>18</v>
      </c>
      <c r="CI104" t="s">
        <v>642</v>
      </c>
    </row>
    <row r="105" spans="1:104" x14ac:dyDescent="0.25">
      <c r="A105" t="s">
        <v>534</v>
      </c>
      <c r="B105" t="s">
        <v>535</v>
      </c>
      <c r="BF105">
        <v>13</v>
      </c>
      <c r="BK105" t="s">
        <v>626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537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643</v>
      </c>
      <c r="CT106">
        <v>5</v>
      </c>
      <c r="CZ106" t="s">
        <v>382</v>
      </c>
    </row>
    <row r="107" spans="1:104" x14ac:dyDescent="0.25">
      <c r="A107" t="s">
        <v>538</v>
      </c>
      <c r="B107" t="s">
        <v>389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260</v>
      </c>
      <c r="CD108">
        <v>5</v>
      </c>
      <c r="CE108">
        <v>17</v>
      </c>
      <c r="CF108">
        <v>68</v>
      </c>
      <c r="CI108" t="s">
        <v>645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646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647</v>
      </c>
      <c r="CT112">
        <v>5</v>
      </c>
    </row>
    <row r="113" spans="1:104" x14ac:dyDescent="0.25">
      <c r="A113" t="s">
        <v>539</v>
      </c>
      <c r="B113" t="s">
        <v>540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542</v>
      </c>
      <c r="CD114">
        <v>13</v>
      </c>
      <c r="CE114">
        <v>17</v>
      </c>
      <c r="CF114">
        <v>143</v>
      </c>
      <c r="CI114" t="s">
        <v>480</v>
      </c>
      <c r="CJ114" t="b">
        <v>0</v>
      </c>
      <c r="CT114">
        <v>5</v>
      </c>
    </row>
    <row r="115" spans="1:104" x14ac:dyDescent="0.25">
      <c r="A115" t="s">
        <v>543</v>
      </c>
      <c r="B115" t="s">
        <v>457</v>
      </c>
      <c r="CD115">
        <v>5</v>
      </c>
      <c r="CE115">
        <v>17</v>
      </c>
      <c r="CF115">
        <v>168</v>
      </c>
      <c r="CI115" t="s">
        <v>326</v>
      </c>
      <c r="CT115">
        <v>5</v>
      </c>
    </row>
    <row r="116" spans="1:104" x14ac:dyDescent="0.25">
      <c r="A116" t="s">
        <v>544</v>
      </c>
      <c r="B116" t="s">
        <v>545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548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622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561</v>
      </c>
      <c r="CD118">
        <v>111</v>
      </c>
      <c r="CJ118">
        <v>2</v>
      </c>
    </row>
    <row r="119" spans="1:104" x14ac:dyDescent="0.25">
      <c r="A119" t="s">
        <v>562</v>
      </c>
      <c r="B119" t="s">
        <v>563</v>
      </c>
      <c r="CD119">
        <v>12</v>
      </c>
      <c r="CE119">
        <v>17</v>
      </c>
      <c r="CF119">
        <v>211</v>
      </c>
      <c r="CI119" t="s">
        <v>623</v>
      </c>
      <c r="CT119" t="s">
        <v>332</v>
      </c>
    </row>
    <row r="120" spans="1:104" x14ac:dyDescent="0.25">
      <c r="A120" t="s">
        <v>366</v>
      </c>
      <c r="B120" t="s">
        <v>367</v>
      </c>
      <c r="CD120">
        <v>12</v>
      </c>
      <c r="CF120">
        <v>231</v>
      </c>
      <c r="CI120" t="s">
        <v>624</v>
      </c>
      <c r="CT120">
        <v>5</v>
      </c>
      <c r="CZ120" t="s">
        <v>332</v>
      </c>
    </row>
    <row r="121" spans="1:104" x14ac:dyDescent="0.25">
      <c r="A121" t="s">
        <v>368</v>
      </c>
      <c r="B121" t="s">
        <v>369</v>
      </c>
      <c r="CD121">
        <v>12</v>
      </c>
      <c r="CF121">
        <v>251</v>
      </c>
      <c r="CI121" t="s">
        <v>625</v>
      </c>
      <c r="CT121">
        <v>5</v>
      </c>
    </row>
    <row r="122" spans="1:104" x14ac:dyDescent="0.25">
      <c r="A122" t="s">
        <v>370</v>
      </c>
      <c r="B122" t="s">
        <v>453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295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589</v>
      </c>
      <c r="CT125">
        <v>5</v>
      </c>
    </row>
    <row r="126" spans="1:104" x14ac:dyDescent="0.25">
      <c r="A126" t="s">
        <v>590</v>
      </c>
      <c r="B126" t="s">
        <v>591</v>
      </c>
      <c r="CT126">
        <v>5</v>
      </c>
    </row>
    <row r="127" spans="1:104" x14ac:dyDescent="0.25">
      <c r="A127" t="s">
        <v>592</v>
      </c>
      <c r="B127" t="s">
        <v>593</v>
      </c>
      <c r="CT127">
        <v>5</v>
      </c>
    </row>
    <row r="128" spans="1:104" x14ac:dyDescent="0.25">
      <c r="A128" t="s">
        <v>594</v>
      </c>
      <c r="B128" t="s">
        <v>595</v>
      </c>
      <c r="CT128">
        <v>5</v>
      </c>
    </row>
    <row r="129" spans="1:104" x14ac:dyDescent="0.25">
      <c r="A129" t="s">
        <v>596</v>
      </c>
      <c r="B129" t="s">
        <v>597</v>
      </c>
      <c r="CT129">
        <v>5</v>
      </c>
    </row>
    <row r="130" spans="1:104" x14ac:dyDescent="0.25">
      <c r="A130" t="s">
        <v>277</v>
      </c>
      <c r="B130" t="s">
        <v>278</v>
      </c>
      <c r="CT130">
        <v>5</v>
      </c>
      <c r="CU130">
        <v>23</v>
      </c>
      <c r="CV130">
        <v>107</v>
      </c>
      <c r="CY130" t="s">
        <v>25</v>
      </c>
    </row>
    <row r="131" spans="1:104" x14ac:dyDescent="0.25">
      <c r="A131" t="s">
        <v>279</v>
      </c>
      <c r="B131" t="s">
        <v>280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282</v>
      </c>
    </row>
    <row r="133" spans="1:104" x14ac:dyDescent="0.25">
      <c r="A133" t="s">
        <v>283</v>
      </c>
      <c r="B133" t="s">
        <v>284</v>
      </c>
    </row>
    <row r="134" spans="1:104" x14ac:dyDescent="0.25">
      <c r="A134" t="s">
        <v>285</v>
      </c>
      <c r="B134" t="s">
        <v>286</v>
      </c>
      <c r="CT134" t="s">
        <v>287</v>
      </c>
    </row>
    <row r="135" spans="1:104" x14ac:dyDescent="0.25">
      <c r="A135" t="s">
        <v>288</v>
      </c>
      <c r="B135" t="s">
        <v>289</v>
      </c>
      <c r="CT135" t="s">
        <v>507</v>
      </c>
    </row>
    <row r="136" spans="1:104" x14ac:dyDescent="0.25">
      <c r="A136" t="s">
        <v>290</v>
      </c>
      <c r="B136" t="s">
        <v>291</v>
      </c>
      <c r="CT136" t="str">
        <f>mg01s.RandUniform</f>
        <v>Uniform</v>
      </c>
      <c r="CU136" t="s">
        <v>551</v>
      </c>
    </row>
    <row r="137" spans="1:104" x14ac:dyDescent="0.25">
      <c r="A137" t="s">
        <v>292</v>
      </c>
      <c r="B137" t="s">
        <v>310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610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612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297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91</v>
      </c>
      <c r="CT141" t="str">
        <f>mg01s.RandPatterned</f>
        <v>Patterned</v>
      </c>
      <c r="CU141" t="s">
        <v>599</v>
      </c>
    </row>
    <row r="142" spans="1:104" x14ac:dyDescent="0.25">
      <c r="A142" t="s">
        <v>92</v>
      </c>
      <c r="B142" t="s">
        <v>498</v>
      </c>
      <c r="CT142" t="str">
        <f>mg01s.RandDiscrete</f>
        <v>Discrete</v>
      </c>
      <c r="CU142" t="s">
        <v>332</v>
      </c>
    </row>
    <row r="143" spans="1:104" x14ac:dyDescent="0.25">
      <c r="A143" t="s">
        <v>304</v>
      </c>
      <c r="B143" t="s">
        <v>305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102</v>
      </c>
      <c r="B148" t="s">
        <v>318</v>
      </c>
    </row>
    <row r="149" spans="1:2" x14ac:dyDescent="0.25">
      <c r="A149" t="s">
        <v>319</v>
      </c>
      <c r="B149" t="s">
        <v>104</v>
      </c>
    </row>
    <row r="150" spans="1:2" x14ac:dyDescent="0.25">
      <c r="A150" t="s">
        <v>105</v>
      </c>
      <c r="B150" t="s">
        <v>322</v>
      </c>
    </row>
    <row r="151" spans="1:2" x14ac:dyDescent="0.25">
      <c r="A151" t="s">
        <v>323</v>
      </c>
      <c r="B151" t="s">
        <v>324</v>
      </c>
    </row>
    <row r="152" spans="1:2" x14ac:dyDescent="0.25">
      <c r="A152" t="s">
        <v>108</v>
      </c>
      <c r="B152" t="s">
        <v>109</v>
      </c>
    </row>
    <row r="153" spans="1:2" x14ac:dyDescent="0.25">
      <c r="A153" t="s">
        <v>110</v>
      </c>
      <c r="B153" t="s">
        <v>111</v>
      </c>
    </row>
    <row r="154" spans="1:2" x14ac:dyDescent="0.25">
      <c r="A154" t="s">
        <v>112</v>
      </c>
      <c r="B154" t="s">
        <v>335</v>
      </c>
    </row>
    <row r="155" spans="1:2" x14ac:dyDescent="0.25">
      <c r="A155" t="s">
        <v>336</v>
      </c>
      <c r="B155" t="s">
        <v>337</v>
      </c>
    </row>
    <row r="156" spans="1:2" x14ac:dyDescent="0.25">
      <c r="A156" t="s">
        <v>120</v>
      </c>
      <c r="B156" t="s">
        <v>348</v>
      </c>
    </row>
    <row r="157" spans="1:2" x14ac:dyDescent="0.25">
      <c r="A157" t="s">
        <v>349</v>
      </c>
      <c r="B157" t="s">
        <v>446</v>
      </c>
    </row>
    <row r="158" spans="1:2" x14ac:dyDescent="0.25">
      <c r="A158" t="s">
        <v>350</v>
      </c>
      <c r="B158" t="s">
        <v>115</v>
      </c>
    </row>
    <row r="159" spans="1:2" x14ac:dyDescent="0.25">
      <c r="A159" t="s">
        <v>438</v>
      </c>
      <c r="B159" t="s">
        <v>352</v>
      </c>
    </row>
    <row r="160" spans="1:2" x14ac:dyDescent="0.25">
      <c r="A160" t="s">
        <v>353</v>
      </c>
      <c r="B160" t="s">
        <v>354</v>
      </c>
    </row>
    <row r="161" spans="1:2" x14ac:dyDescent="0.25">
      <c r="A161" t="s">
        <v>355</v>
      </c>
      <c r="B161" t="s">
        <v>128</v>
      </c>
    </row>
    <row r="162" spans="1:2" x14ac:dyDescent="0.25">
      <c r="A162" t="s">
        <v>129</v>
      </c>
      <c r="B162" t="s">
        <v>362</v>
      </c>
    </row>
    <row r="163" spans="1:2" x14ac:dyDescent="0.25">
      <c r="A163" t="s">
        <v>363</v>
      </c>
      <c r="B163" t="s">
        <v>364</v>
      </c>
    </row>
    <row r="164" spans="1:2" x14ac:dyDescent="0.25">
      <c r="A164" t="s">
        <v>365</v>
      </c>
      <c r="B164" t="s">
        <v>131</v>
      </c>
    </row>
    <row r="165" spans="1:2" x14ac:dyDescent="0.25">
      <c r="A165" t="s">
        <v>374</v>
      </c>
      <c r="B165" t="s">
        <v>375</v>
      </c>
    </row>
    <row r="166" spans="1:2" x14ac:dyDescent="0.25">
      <c r="A166" t="s">
        <v>135</v>
      </c>
      <c r="B166" t="s">
        <v>136</v>
      </c>
    </row>
    <row r="167" spans="1:2" x14ac:dyDescent="0.25">
      <c r="A167" t="s">
        <v>137</v>
      </c>
      <c r="B167" t="s">
        <v>138</v>
      </c>
    </row>
    <row r="168" spans="1:2" x14ac:dyDescent="0.25">
      <c r="A168" t="s">
        <v>139</v>
      </c>
      <c r="B168" t="s">
        <v>140</v>
      </c>
    </row>
    <row r="169" spans="1:2" x14ac:dyDescent="0.25">
      <c r="A169" t="s">
        <v>384</v>
      </c>
      <c r="B169" t="s">
        <v>461</v>
      </c>
    </row>
    <row r="170" spans="1:2" x14ac:dyDescent="0.25">
      <c r="A170" t="s">
        <v>462</v>
      </c>
      <c r="B170" t="s">
        <v>463</v>
      </c>
    </row>
    <row r="171" spans="1:2" x14ac:dyDescent="0.25">
      <c r="A171" t="s">
        <v>464</v>
      </c>
      <c r="B171" t="s">
        <v>465</v>
      </c>
    </row>
    <row r="172" spans="1:2" x14ac:dyDescent="0.25">
      <c r="A172" t="s">
        <v>388</v>
      </c>
      <c r="B172" t="s">
        <v>146</v>
      </c>
    </row>
    <row r="173" spans="1:2" x14ac:dyDescent="0.25">
      <c r="A173" t="s">
        <v>147</v>
      </c>
      <c r="B173" t="s">
        <v>148</v>
      </c>
    </row>
    <row r="174" spans="1:2" x14ac:dyDescent="0.25">
      <c r="A174" t="s">
        <v>385</v>
      </c>
      <c r="B174" t="s">
        <v>475</v>
      </c>
    </row>
    <row r="175" spans="1:2" x14ac:dyDescent="0.25">
      <c r="A175" t="s">
        <v>151</v>
      </c>
      <c r="B175" t="s">
        <v>152</v>
      </c>
    </row>
    <row r="176" spans="1:2" x14ac:dyDescent="0.25">
      <c r="A176" t="s">
        <v>406</v>
      </c>
      <c r="B176" t="s">
        <v>407</v>
      </c>
    </row>
    <row r="177" spans="1:2" x14ac:dyDescent="0.25">
      <c r="A177" t="s">
        <v>408</v>
      </c>
      <c r="B177" t="s">
        <v>502</v>
      </c>
    </row>
    <row r="178" spans="1:2" x14ac:dyDescent="0.25">
      <c r="A178" t="s">
        <v>503</v>
      </c>
      <c r="B178" t="s">
        <v>504</v>
      </c>
    </row>
    <row r="179" spans="1:2" x14ac:dyDescent="0.25">
      <c r="A179" t="s">
        <v>410</v>
      </c>
      <c r="B179" t="s">
        <v>411</v>
      </c>
    </row>
    <row r="180" spans="1:2" x14ac:dyDescent="0.25">
      <c r="A180" t="s">
        <v>412</v>
      </c>
      <c r="B180" t="s">
        <v>160</v>
      </c>
    </row>
    <row r="181" spans="1:2" x14ac:dyDescent="0.25">
      <c r="A181" t="s">
        <v>161</v>
      </c>
      <c r="B181" t="s">
        <v>414</v>
      </c>
    </row>
    <row r="182" spans="1:2" x14ac:dyDescent="0.25">
      <c r="A182" t="s">
        <v>415</v>
      </c>
      <c r="B182" t="s">
        <v>416</v>
      </c>
    </row>
    <row r="183" spans="1:2" x14ac:dyDescent="0.25">
      <c r="A183" t="s">
        <v>173</v>
      </c>
      <c r="B183" t="s">
        <v>166</v>
      </c>
    </row>
    <row r="184" spans="1:2" x14ac:dyDescent="0.25">
      <c r="A184" t="s">
        <v>167</v>
      </c>
      <c r="B184" t="s">
        <v>168</v>
      </c>
    </row>
    <row r="185" spans="1:2" x14ac:dyDescent="0.25">
      <c r="A185" t="s">
        <v>169</v>
      </c>
      <c r="B185" t="s">
        <v>183</v>
      </c>
    </row>
    <row r="186" spans="1:2" x14ac:dyDescent="0.25">
      <c r="A186" t="s">
        <v>444</v>
      </c>
      <c r="B186" t="s">
        <v>172</v>
      </c>
    </row>
    <row r="187" spans="1:2" x14ac:dyDescent="0.25">
      <c r="A187" t="s">
        <v>18</v>
      </c>
      <c r="B187" t="s">
        <v>19</v>
      </c>
    </row>
    <row r="188" spans="1:2" x14ac:dyDescent="0.25">
      <c r="A188" t="s">
        <v>175</v>
      </c>
      <c r="B188" t="s">
        <v>22</v>
      </c>
    </row>
    <row r="189" spans="1:2" x14ac:dyDescent="0.25">
      <c r="A189" t="s">
        <v>181</v>
      </c>
      <c r="B189" t="s">
        <v>182</v>
      </c>
    </row>
    <row r="190" spans="1:2" x14ac:dyDescent="0.25">
      <c r="A190" t="s">
        <v>64</v>
      </c>
      <c r="B190" t="s">
        <v>184</v>
      </c>
    </row>
    <row r="191" spans="1:2" x14ac:dyDescent="0.25">
      <c r="A191" t="s">
        <v>185</v>
      </c>
      <c r="B191" t="s">
        <v>191</v>
      </c>
    </row>
    <row r="192" spans="1:2" x14ac:dyDescent="0.25">
      <c r="A192" t="s">
        <v>192</v>
      </c>
      <c r="B192" t="s">
        <v>66</v>
      </c>
    </row>
    <row r="193" spans="1:2" x14ac:dyDescent="0.25">
      <c r="A193" t="s">
        <v>67</v>
      </c>
      <c r="B193" t="s">
        <v>68</v>
      </c>
    </row>
    <row r="194" spans="1:2" x14ac:dyDescent="0.25">
      <c r="A194" t="s">
        <v>197</v>
      </c>
      <c r="B194" t="s">
        <v>198</v>
      </c>
    </row>
    <row r="195" spans="1:2" x14ac:dyDescent="0.25">
      <c r="A195" t="s">
        <v>199</v>
      </c>
      <c r="B195" t="s">
        <v>43</v>
      </c>
    </row>
    <row r="196" spans="1:2" x14ac:dyDescent="0.25">
      <c r="A196" t="s">
        <v>44</v>
      </c>
      <c r="B196" t="s">
        <v>45</v>
      </c>
    </row>
    <row r="197" spans="1:2" x14ac:dyDescent="0.25">
      <c r="A197" t="s">
        <v>46</v>
      </c>
      <c r="B197" t="s">
        <v>211</v>
      </c>
    </row>
    <row r="198" spans="1:2" x14ac:dyDescent="0.25">
      <c r="A198" t="s">
        <v>212</v>
      </c>
      <c r="B198" t="s">
        <v>214</v>
      </c>
    </row>
    <row r="199" spans="1:2" x14ac:dyDescent="0.25">
      <c r="A199" t="s">
        <v>215</v>
      </c>
      <c r="B199" t="s">
        <v>76</v>
      </c>
    </row>
    <row r="200" spans="1:2" x14ac:dyDescent="0.25">
      <c r="A200" t="s">
        <v>77</v>
      </c>
      <c r="B200" t="s">
        <v>222</v>
      </c>
    </row>
    <row r="201" spans="1:2" x14ac:dyDescent="0.25">
      <c r="A201" t="s">
        <v>223</v>
      </c>
      <c r="B201" t="s">
        <v>217</v>
      </c>
    </row>
    <row r="202" spans="1:2" x14ac:dyDescent="0.25">
      <c r="A202" t="s">
        <v>1</v>
      </c>
      <c r="B202" t="s">
        <v>224</v>
      </c>
    </row>
    <row r="203" spans="1:2" x14ac:dyDescent="0.25">
      <c r="A203" t="s">
        <v>225</v>
      </c>
      <c r="B203" t="s">
        <v>226</v>
      </c>
    </row>
    <row r="204" spans="1:2" x14ac:dyDescent="0.25">
      <c r="A204" t="s">
        <v>4</v>
      </c>
      <c r="B204" t="s">
        <v>232</v>
      </c>
    </row>
    <row r="205" spans="1:2" x14ac:dyDescent="0.25">
      <c r="A205" t="s">
        <v>233</v>
      </c>
      <c r="B205" t="s">
        <v>5</v>
      </c>
    </row>
    <row r="206" spans="1:2" x14ac:dyDescent="0.25">
      <c r="A206" t="s">
        <v>6</v>
      </c>
      <c r="B206" t="s">
        <v>240</v>
      </c>
    </row>
    <row r="207" spans="1:2" x14ac:dyDescent="0.25">
      <c r="A207" t="s">
        <v>241</v>
      </c>
      <c r="B207" t="s">
        <v>10</v>
      </c>
    </row>
    <row r="208" spans="1:2" x14ac:dyDescent="0.25">
      <c r="A208" t="s">
        <v>11</v>
      </c>
      <c r="B208" t="s">
        <v>12</v>
      </c>
    </row>
    <row r="209" spans="1:103" x14ac:dyDescent="0.25">
      <c r="A209" t="s">
        <v>13</v>
      </c>
      <c r="B209" t="s">
        <v>253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257</v>
      </c>
    </row>
    <row r="212" spans="1:103" x14ac:dyDescent="0.25">
      <c r="A212" t="s">
        <v>258</v>
      </c>
      <c r="B212" t="s">
        <v>532</v>
      </c>
    </row>
    <row r="213" spans="1:103" x14ac:dyDescent="0.25">
      <c r="A213" t="s">
        <v>533</v>
      </c>
      <c r="B213" t="s">
        <v>16</v>
      </c>
      <c r="BS213" t="b">
        <v>1</v>
      </c>
    </row>
    <row r="214" spans="1:103" x14ac:dyDescent="0.25">
      <c r="A214" t="s">
        <v>17</v>
      </c>
      <c r="B214" t="s">
        <v>264</v>
      </c>
    </row>
    <row r="215" spans="1:103" x14ac:dyDescent="0.25">
      <c r="A215" t="s">
        <v>265</v>
      </c>
      <c r="B215" t="s">
        <v>549</v>
      </c>
    </row>
    <row r="216" spans="1:103" x14ac:dyDescent="0.25">
      <c r="A216" t="s">
        <v>550</v>
      </c>
      <c r="B216" t="s">
        <v>266</v>
      </c>
    </row>
    <row r="217" spans="1:103" x14ac:dyDescent="0.25">
      <c r="A217" t="s">
        <v>267</v>
      </c>
      <c r="B217" t="s">
        <v>261</v>
      </c>
    </row>
    <row r="218" spans="1:103" x14ac:dyDescent="0.25">
      <c r="A218" t="s">
        <v>262</v>
      </c>
      <c r="B218" t="s">
        <v>271</v>
      </c>
    </row>
    <row r="219" spans="1:103" x14ac:dyDescent="0.25">
      <c r="A219" t="s">
        <v>272</v>
      </c>
      <c r="B219" t="s">
        <v>273</v>
      </c>
    </row>
    <row r="220" spans="1:103" x14ac:dyDescent="0.25">
      <c r="A220" t="s">
        <v>36</v>
      </c>
      <c r="B220" t="s">
        <v>37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268</v>
      </c>
      <c r="AE221" t="b">
        <v>1</v>
      </c>
    </row>
    <row r="222" spans="1:103" x14ac:dyDescent="0.25">
      <c r="A222" t="s">
        <v>269</v>
      </c>
      <c r="B222" t="s">
        <v>270</v>
      </c>
      <c r="CY222" t="b">
        <v>1</v>
      </c>
    </row>
    <row r="223" spans="1:103" x14ac:dyDescent="0.25">
      <c r="A223" t="s">
        <v>40</v>
      </c>
      <c r="B223" t="s">
        <v>41</v>
      </c>
    </row>
    <row r="224" spans="1:103" x14ac:dyDescent="0.25">
      <c r="A224" t="s">
        <v>42</v>
      </c>
      <c r="B224" t="s">
        <v>274</v>
      </c>
      <c r="CI224" t="b">
        <v>1</v>
      </c>
    </row>
    <row r="225" spans="1:2" x14ac:dyDescent="0.25">
      <c r="A225" t="s">
        <v>275</v>
      </c>
      <c r="B225" t="s">
        <v>276</v>
      </c>
    </row>
    <row r="226" spans="1:2" x14ac:dyDescent="0.25">
      <c r="A226" t="s">
        <v>73</v>
      </c>
      <c r="B226" t="s">
        <v>74</v>
      </c>
    </row>
    <row r="227" spans="1:2" x14ac:dyDescent="0.25">
      <c r="A227" t="s">
        <v>75</v>
      </c>
      <c r="B227" t="s">
        <v>87</v>
      </c>
    </row>
    <row r="228" spans="1:2" x14ac:dyDescent="0.25">
      <c r="A228" t="s">
        <v>88</v>
      </c>
      <c r="B228" t="s">
        <v>48</v>
      </c>
    </row>
    <row r="229" spans="1:2" x14ac:dyDescent="0.25">
      <c r="A229" t="s">
        <v>49</v>
      </c>
      <c r="B229" t="s">
        <v>50</v>
      </c>
    </row>
    <row r="230" spans="1:2" x14ac:dyDescent="0.25">
      <c r="A230" t="s">
        <v>51</v>
      </c>
      <c r="B230" t="s">
        <v>52</v>
      </c>
    </row>
    <row r="231" spans="1:2" x14ac:dyDescent="0.25">
      <c r="A231" t="s">
        <v>53</v>
      </c>
      <c r="B231" t="s">
        <v>54</v>
      </c>
    </row>
    <row r="232" spans="1:2" x14ac:dyDescent="0.25">
      <c r="A232" t="s">
        <v>55</v>
      </c>
      <c r="B232" t="s">
        <v>56</v>
      </c>
    </row>
    <row r="233" spans="1:2" x14ac:dyDescent="0.25">
      <c r="A233" t="s">
        <v>57</v>
      </c>
      <c r="B233" t="s">
        <v>58</v>
      </c>
    </row>
    <row r="234" spans="1:2" x14ac:dyDescent="0.25">
      <c r="A234" t="s">
        <v>59</v>
      </c>
      <c r="B234" t="s">
        <v>23</v>
      </c>
    </row>
    <row r="235" spans="1:2" x14ac:dyDescent="0.25">
      <c r="A235" t="s">
        <v>24</v>
      </c>
      <c r="B235" t="s">
        <v>31</v>
      </c>
    </row>
    <row r="236" spans="1:2" x14ac:dyDescent="0.25">
      <c r="A236" t="s">
        <v>32</v>
      </c>
      <c r="B236" t="s">
        <v>100</v>
      </c>
    </row>
    <row r="237" spans="1:2" x14ac:dyDescent="0.25">
      <c r="A237" t="s">
        <v>101</v>
      </c>
      <c r="B237" t="s">
        <v>158</v>
      </c>
    </row>
    <row r="238" spans="1:2" x14ac:dyDescent="0.25">
      <c r="A238" t="s">
        <v>159</v>
      </c>
      <c r="B238" t="s">
        <v>106</v>
      </c>
    </row>
    <row r="239" spans="1:2" x14ac:dyDescent="0.25">
      <c r="A239" t="s">
        <v>107</v>
      </c>
      <c r="B239" t="s">
        <v>14</v>
      </c>
    </row>
    <row r="240" spans="1:2" x14ac:dyDescent="0.25">
      <c r="A240" t="s">
        <v>15</v>
      </c>
      <c r="B240" t="s">
        <v>170</v>
      </c>
    </row>
    <row r="241" spans="1:2" x14ac:dyDescent="0.25">
      <c r="A241" t="s">
        <v>171</v>
      </c>
      <c r="B241" t="s">
        <v>116</v>
      </c>
    </row>
    <row r="242" spans="1:2" x14ac:dyDescent="0.25">
      <c r="A242" t="s">
        <v>117</v>
      </c>
      <c r="B242" t="s">
        <v>118</v>
      </c>
    </row>
    <row r="243" spans="1:2" x14ac:dyDescent="0.25">
      <c r="A243" t="s">
        <v>119</v>
      </c>
      <c r="B243" t="s">
        <v>121</v>
      </c>
    </row>
    <row r="244" spans="1:2" x14ac:dyDescent="0.25">
      <c r="A244" t="s">
        <v>122</v>
      </c>
      <c r="B244" t="s">
        <v>123</v>
      </c>
    </row>
    <row r="245" spans="1:2" x14ac:dyDescent="0.25">
      <c r="A245" t="s">
        <v>176</v>
      </c>
      <c r="B245" t="s">
        <v>35</v>
      </c>
    </row>
    <row r="246" spans="1:2" x14ac:dyDescent="0.25">
      <c r="A246" t="s">
        <v>126</v>
      </c>
      <c r="B246" t="s">
        <v>127</v>
      </c>
    </row>
    <row r="247" spans="1:2" x14ac:dyDescent="0.25">
      <c r="A247" t="s">
        <v>130</v>
      </c>
      <c r="B247" t="s">
        <v>38</v>
      </c>
    </row>
    <row r="248" spans="1:2" x14ac:dyDescent="0.25">
      <c r="A248" t="s">
        <v>39</v>
      </c>
      <c r="B248" t="s">
        <v>132</v>
      </c>
    </row>
    <row r="249" spans="1:2" x14ac:dyDescent="0.25">
      <c r="A249" t="s">
        <v>133</v>
      </c>
      <c r="B249" t="s">
        <v>134</v>
      </c>
    </row>
    <row r="250" spans="1:2" x14ac:dyDescent="0.25">
      <c r="A250" t="s">
        <v>69</v>
      </c>
      <c r="B250" t="s">
        <v>70</v>
      </c>
    </row>
    <row r="251" spans="1:2" x14ac:dyDescent="0.25">
      <c r="A251" t="s">
        <v>71</v>
      </c>
      <c r="B251" t="s">
        <v>72</v>
      </c>
    </row>
    <row r="252" spans="1:2" x14ac:dyDescent="0.25">
      <c r="A252" t="s">
        <v>141</v>
      </c>
      <c r="B252" t="s">
        <v>142</v>
      </c>
    </row>
    <row r="253" spans="1:2" x14ac:dyDescent="0.25">
      <c r="A253" t="s">
        <v>143</v>
      </c>
      <c r="B253" t="s">
        <v>144</v>
      </c>
    </row>
    <row r="254" spans="1:2" x14ac:dyDescent="0.25">
      <c r="A254" t="s">
        <v>145</v>
      </c>
      <c r="B254" t="s">
        <v>47</v>
      </c>
    </row>
    <row r="255" spans="1:2" x14ac:dyDescent="0.25">
      <c r="A255" t="s">
        <v>386</v>
      </c>
      <c r="B255" t="s">
        <v>387</v>
      </c>
    </row>
    <row r="256" spans="1:2" x14ac:dyDescent="0.25">
      <c r="A256" t="s">
        <v>30</v>
      </c>
      <c r="B256" t="s">
        <v>149</v>
      </c>
    </row>
    <row r="257" spans="1:2" x14ac:dyDescent="0.25">
      <c r="A257" t="s">
        <v>33</v>
      </c>
      <c r="B257" t="s">
        <v>34</v>
      </c>
    </row>
    <row r="258" spans="1:2" x14ac:dyDescent="0.25">
      <c r="A258" t="s">
        <v>153</v>
      </c>
      <c r="B258" t="s">
        <v>154</v>
      </c>
    </row>
    <row r="259" spans="1:2" x14ac:dyDescent="0.25">
      <c r="A259" t="s">
        <v>155</v>
      </c>
      <c r="B259" t="s">
        <v>156</v>
      </c>
    </row>
    <row r="260" spans="1:2" x14ac:dyDescent="0.25">
      <c r="A260" t="s">
        <v>157</v>
      </c>
      <c r="B260" t="s">
        <v>150</v>
      </c>
    </row>
    <row r="261" spans="1:2" x14ac:dyDescent="0.25">
      <c r="A261" t="s">
        <v>3</v>
      </c>
      <c r="B261" t="s">
        <v>409</v>
      </c>
    </row>
    <row r="262" spans="1:2" x14ac:dyDescent="0.25">
      <c r="A262" t="s">
        <v>78</v>
      </c>
      <c r="B262" t="s">
        <v>79</v>
      </c>
    </row>
    <row r="263" spans="1:2" x14ac:dyDescent="0.25">
      <c r="A263" t="s">
        <v>80</v>
      </c>
      <c r="B263" t="s">
        <v>81</v>
      </c>
    </row>
    <row r="264" spans="1:2" x14ac:dyDescent="0.25">
      <c r="A264" t="s">
        <v>82</v>
      </c>
      <c r="B264" t="s">
        <v>83</v>
      </c>
    </row>
    <row r="265" spans="1:2" x14ac:dyDescent="0.25">
      <c r="A265" t="s">
        <v>84</v>
      </c>
      <c r="B265" t="s">
        <v>85</v>
      </c>
    </row>
    <row r="266" spans="1:2" x14ac:dyDescent="0.25">
      <c r="A266" t="s">
        <v>86</v>
      </c>
      <c r="B266" t="s">
        <v>213</v>
      </c>
    </row>
    <row r="267" spans="1:2" x14ac:dyDescent="0.25">
      <c r="A267" t="s">
        <v>29</v>
      </c>
      <c r="B267" t="s">
        <v>89</v>
      </c>
    </row>
    <row r="268" spans="1:2" x14ac:dyDescent="0.25">
      <c r="A268" t="s">
        <v>90</v>
      </c>
      <c r="B268" t="s">
        <v>0</v>
      </c>
    </row>
    <row r="269" spans="1:2" x14ac:dyDescent="0.25">
      <c r="A269" t="s">
        <v>95</v>
      </c>
      <c r="B269" t="s">
        <v>96</v>
      </c>
    </row>
    <row r="270" spans="1:2" x14ac:dyDescent="0.25">
      <c r="A270" t="s">
        <v>2</v>
      </c>
      <c r="B270" t="s">
        <v>103</v>
      </c>
    </row>
    <row r="271" spans="1:2" x14ac:dyDescent="0.25">
      <c r="A271" t="s">
        <v>7</v>
      </c>
      <c r="B271" t="s">
        <v>8</v>
      </c>
    </row>
    <row r="273" spans="1:2" x14ac:dyDescent="0.25">
      <c r="A273" t="s">
        <v>9</v>
      </c>
      <c r="B273" t="s">
        <v>162</v>
      </c>
    </row>
    <row r="274" spans="1:2" x14ac:dyDescent="0.25">
      <c r="A274" t="s">
        <v>163</v>
      </c>
      <c r="B274" t="s">
        <v>113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442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560</v>
      </c>
      <c r="AD2">
        <v>152</v>
      </c>
      <c r="AE2" t="s">
        <v>5081</v>
      </c>
      <c r="AF2">
        <v>4</v>
      </c>
      <c r="AH2" s="1" t="s">
        <v>656</v>
      </c>
      <c r="AK2">
        <v>515</v>
      </c>
      <c r="AL2">
        <v>223</v>
      </c>
      <c r="AM2" t="s">
        <v>5082</v>
      </c>
      <c r="AN2">
        <v>5</v>
      </c>
      <c r="AP2" s="1" t="s">
        <v>657</v>
      </c>
      <c r="AS2">
        <v>546</v>
      </c>
      <c r="AT2">
        <v>312</v>
      </c>
      <c r="AU2" t="s">
        <v>5083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5084</v>
      </c>
      <c r="BL2">
        <v>5</v>
      </c>
      <c r="BN2" s="1" t="s">
        <v>659</v>
      </c>
      <c r="BQ2">
        <v>523</v>
      </c>
      <c r="BR2">
        <v>293</v>
      </c>
      <c r="BS2" t="s">
        <v>5085</v>
      </c>
      <c r="BT2">
        <v>5</v>
      </c>
      <c r="BV2" s="1" t="s">
        <v>660</v>
      </c>
      <c r="BY2">
        <v>583</v>
      </c>
      <c r="BZ2">
        <v>195</v>
      </c>
      <c r="CA2" t="s">
        <v>5086</v>
      </c>
      <c r="CB2">
        <v>5</v>
      </c>
      <c r="CD2" s="1" t="s">
        <v>661</v>
      </c>
      <c r="CG2">
        <v>523</v>
      </c>
      <c r="CH2">
        <v>203</v>
      </c>
      <c r="CI2" t="s">
        <v>5087</v>
      </c>
      <c r="CJ2">
        <v>5</v>
      </c>
      <c r="CL2" s="1" t="s">
        <v>662</v>
      </c>
      <c r="CO2">
        <v>523</v>
      </c>
      <c r="CP2">
        <v>263</v>
      </c>
      <c r="CQ2" t="s">
        <v>5088</v>
      </c>
      <c r="CR2">
        <v>5</v>
      </c>
      <c r="CT2" s="1" t="s">
        <v>663</v>
      </c>
      <c r="CW2">
        <v>516</v>
      </c>
      <c r="CX2">
        <v>298</v>
      </c>
      <c r="CY2" t="s">
        <v>5089</v>
      </c>
      <c r="CZ2">
        <v>4</v>
      </c>
    </row>
    <row r="3" spans="1:104" x14ac:dyDescent="0.25">
      <c r="W3" t="str">
        <f>dbCorrelationTitle</f>
        <v>Корреляция</v>
      </c>
      <c r="Z3">
        <v>1</v>
      </c>
      <c r="AA3">
        <v>458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467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458</v>
      </c>
      <c r="AB4">
        <v>30</v>
      </c>
      <c r="AC4">
        <v>88</v>
      </c>
      <c r="AE4" t="s">
        <v>5090</v>
      </c>
      <c r="AH4">
        <v>2</v>
      </c>
      <c r="AI4">
        <v>412</v>
      </c>
      <c r="AJ4">
        <v>30</v>
      </c>
      <c r="AK4">
        <v>90</v>
      </c>
      <c r="AM4" t="s">
        <v>5090</v>
      </c>
      <c r="AP4">
        <v>2</v>
      </c>
      <c r="AQ4">
        <v>443</v>
      </c>
      <c r="AR4">
        <v>31</v>
      </c>
      <c r="AS4">
        <v>90</v>
      </c>
      <c r="AU4" t="s">
        <v>5090</v>
      </c>
      <c r="AX4">
        <v>2</v>
      </c>
      <c r="AY4">
        <v>418</v>
      </c>
      <c r="AZ4">
        <v>33</v>
      </c>
      <c r="BA4">
        <v>104</v>
      </c>
      <c r="BC4" t="s">
        <v>5090</v>
      </c>
      <c r="BF4">
        <v>2</v>
      </c>
      <c r="BG4">
        <v>407</v>
      </c>
      <c r="BH4">
        <v>30</v>
      </c>
      <c r="BI4">
        <v>90</v>
      </c>
      <c r="BK4" t="s">
        <v>5090</v>
      </c>
      <c r="BN4">
        <v>2</v>
      </c>
      <c r="BO4">
        <v>407</v>
      </c>
      <c r="BP4">
        <v>30</v>
      </c>
      <c r="BQ4">
        <v>90</v>
      </c>
      <c r="BS4" t="s">
        <v>5090</v>
      </c>
      <c r="BV4">
        <v>2</v>
      </c>
      <c r="BW4">
        <v>467</v>
      </c>
      <c r="BX4">
        <v>30</v>
      </c>
      <c r="BY4">
        <v>90</v>
      </c>
      <c r="CA4" t="s">
        <v>5090</v>
      </c>
      <c r="CD4">
        <v>2</v>
      </c>
      <c r="CE4">
        <v>407</v>
      </c>
      <c r="CF4">
        <v>30</v>
      </c>
      <c r="CG4">
        <v>90</v>
      </c>
      <c r="CI4" t="s">
        <v>5090</v>
      </c>
      <c r="CL4">
        <v>2</v>
      </c>
      <c r="CM4">
        <v>407</v>
      </c>
      <c r="CN4">
        <v>30</v>
      </c>
      <c r="CO4">
        <v>90</v>
      </c>
      <c r="CQ4" t="s">
        <v>5090</v>
      </c>
      <c r="CT4">
        <v>2</v>
      </c>
      <c r="CU4">
        <v>410</v>
      </c>
      <c r="CV4">
        <v>31</v>
      </c>
      <c r="CW4">
        <v>90</v>
      </c>
      <c r="CY4" t="s">
        <v>5090</v>
      </c>
    </row>
    <row r="5" spans="1:104" x14ac:dyDescent="0.25">
      <c r="T5">
        <v>0</v>
      </c>
      <c r="U5" t="str">
        <f>dbAnova1Title</f>
        <v>Однофакторный дисперсионный анализ</v>
      </c>
      <c r="V5">
        <v>0</v>
      </c>
      <c r="W5" t="str">
        <f>dbAnova1Title</f>
        <v>Однофакторный дисперсионный анализ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5091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5092</v>
      </c>
      <c r="AP5">
        <v>14</v>
      </c>
      <c r="AQ5">
        <v>7</v>
      </c>
      <c r="AR5">
        <v>4</v>
      </c>
      <c r="AS5">
        <v>424</v>
      </c>
      <c r="AT5">
        <v>113</v>
      </c>
      <c r="AU5" t="s">
        <v>5092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5093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5092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5092</v>
      </c>
      <c r="BV5">
        <v>14</v>
      </c>
      <c r="BW5">
        <v>8</v>
      </c>
      <c r="BX5">
        <v>2</v>
      </c>
      <c r="BY5">
        <v>445</v>
      </c>
      <c r="BZ5">
        <v>79</v>
      </c>
      <c r="CA5" t="s">
        <v>5092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5092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5092</v>
      </c>
      <c r="CT5">
        <v>5</v>
      </c>
      <c r="CU5">
        <v>17</v>
      </c>
      <c r="CV5">
        <v>12</v>
      </c>
      <c r="CY5" t="s">
        <v>5094</v>
      </c>
    </row>
    <row r="6" spans="1:104" x14ac:dyDescent="0.25">
      <c r="T6">
        <v>1</v>
      </c>
      <c r="U6" t="str">
        <f>dbAnova2Title</f>
        <v>Двухфакторный дисперсионный анализ с повторениями</v>
      </c>
      <c r="V6">
        <v>1</v>
      </c>
      <c r="W6" t="str">
        <f>dbAnova2Title</f>
        <v>Двухфакторный дисперсионный анализ с повторениями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440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5095</v>
      </c>
      <c r="AP6">
        <v>5</v>
      </c>
      <c r="AQ6">
        <v>24</v>
      </c>
      <c r="AR6">
        <v>22</v>
      </c>
      <c r="AU6" t="s">
        <v>5096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5095</v>
      </c>
      <c r="BN6">
        <v>5</v>
      </c>
      <c r="BO6">
        <v>18</v>
      </c>
      <c r="BP6">
        <v>19</v>
      </c>
      <c r="BS6" t="s">
        <v>5095</v>
      </c>
      <c r="BV6">
        <v>5</v>
      </c>
      <c r="BW6">
        <v>18</v>
      </c>
      <c r="BX6">
        <v>19</v>
      </c>
      <c r="CA6" t="s">
        <v>5095</v>
      </c>
      <c r="CD6">
        <v>5</v>
      </c>
      <c r="CE6">
        <v>18</v>
      </c>
      <c r="CF6">
        <v>19</v>
      </c>
      <c r="CI6" t="s">
        <v>5097</v>
      </c>
      <c r="CL6">
        <v>5</v>
      </c>
      <c r="CM6">
        <v>18</v>
      </c>
      <c r="CN6">
        <v>19</v>
      </c>
      <c r="CQ6" t="s">
        <v>5095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Двухфакторный дисперсионный анализ без повторений</v>
      </c>
      <c r="V7">
        <v>2</v>
      </c>
      <c r="W7" t="str">
        <f>dbAnova3Title</f>
        <v>Двухфакторный дисперсионный анализ без повторений</v>
      </c>
      <c r="X7" t="s">
        <v>315</v>
      </c>
      <c r="Y7" s="1" t="s">
        <v>665</v>
      </c>
      <c r="Z7">
        <v>24</v>
      </c>
      <c r="AA7">
        <v>458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180</v>
      </c>
      <c r="AV7" t="s">
        <v>316</v>
      </c>
      <c r="AX7">
        <v>12</v>
      </c>
      <c r="AY7">
        <v>18</v>
      </c>
      <c r="AZ7">
        <v>55</v>
      </c>
      <c r="BC7" t="s">
        <v>5098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210</v>
      </c>
      <c r="BX7">
        <v>16</v>
      </c>
      <c r="BY7">
        <v>220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5099</v>
      </c>
    </row>
    <row r="8" spans="1:104" x14ac:dyDescent="0.25">
      <c r="A8" t="s">
        <v>476</v>
      </c>
      <c r="B8" t="s">
        <v>5100</v>
      </c>
      <c r="T8">
        <v>3</v>
      </c>
      <c r="U8" t="str">
        <f>dbCorrelationTitle</f>
        <v>Корреляция</v>
      </c>
      <c r="V8">
        <v>3</v>
      </c>
      <c r="W8" t="str">
        <f>dbCorrelationTitle</f>
        <v>Корреляция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5101</v>
      </c>
      <c r="AP8">
        <v>5</v>
      </c>
      <c r="AQ8">
        <v>24</v>
      </c>
      <c r="AR8">
        <v>48</v>
      </c>
      <c r="AU8" t="s">
        <v>5102</v>
      </c>
      <c r="AX8">
        <v>12</v>
      </c>
      <c r="AZ8">
        <v>90</v>
      </c>
      <c r="BC8" t="s">
        <v>5103</v>
      </c>
      <c r="BF8">
        <v>5</v>
      </c>
      <c r="BG8">
        <v>18</v>
      </c>
      <c r="BH8">
        <v>44</v>
      </c>
      <c r="BK8" t="s">
        <v>5101</v>
      </c>
      <c r="BN8">
        <v>5</v>
      </c>
      <c r="BO8">
        <v>18</v>
      </c>
      <c r="BP8">
        <v>44</v>
      </c>
      <c r="BS8" t="s">
        <v>5101</v>
      </c>
      <c r="BV8">
        <v>5</v>
      </c>
      <c r="BW8">
        <v>17</v>
      </c>
      <c r="BX8">
        <v>40</v>
      </c>
      <c r="CA8" t="s">
        <v>5104</v>
      </c>
      <c r="CD8">
        <v>5</v>
      </c>
      <c r="CE8">
        <v>18</v>
      </c>
      <c r="CF8">
        <v>41</v>
      </c>
      <c r="CI8" t="s">
        <v>5105</v>
      </c>
      <c r="CL8">
        <v>13</v>
      </c>
      <c r="CM8">
        <v>18</v>
      </c>
      <c r="CN8">
        <v>39</v>
      </c>
      <c r="CQ8" t="s">
        <v>5106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5107</v>
      </c>
      <c r="T9">
        <v>4</v>
      </c>
      <c r="U9" t="str">
        <f>dbCovarianceTitle</f>
        <v>Ковариация</v>
      </c>
      <c r="V9">
        <v>4</v>
      </c>
      <c r="W9" t="str">
        <f>dbCovarianceTitle</f>
        <v>Ковариация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180</v>
      </c>
      <c r="AV9" t="s">
        <v>316</v>
      </c>
      <c r="AX9">
        <v>12</v>
      </c>
      <c r="AZ9">
        <v>110</v>
      </c>
      <c r="BC9" t="s">
        <v>5108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210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5109</v>
      </c>
      <c r="CT9">
        <v>5</v>
      </c>
      <c r="CU9">
        <v>17</v>
      </c>
      <c r="CV9">
        <v>63</v>
      </c>
      <c r="CY9" t="s">
        <v>5110</v>
      </c>
    </row>
    <row r="10" spans="1:104" x14ac:dyDescent="0.25">
      <c r="A10" t="s">
        <v>505</v>
      </c>
      <c r="B10" t="s">
        <v>5111</v>
      </c>
      <c r="T10">
        <v>5</v>
      </c>
      <c r="U10" t="str">
        <f>dbDescripTitle</f>
        <v>Описательная статистика</v>
      </c>
      <c r="V10">
        <v>5</v>
      </c>
      <c r="W10" t="str">
        <f>dbDescripTitle</f>
        <v>Описательная статистика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5112</v>
      </c>
      <c r="AP10">
        <v>13</v>
      </c>
      <c r="AQ10">
        <v>25</v>
      </c>
      <c r="AR10">
        <v>75</v>
      </c>
      <c r="AU10" t="s">
        <v>5106</v>
      </c>
      <c r="AV10" t="b">
        <v>0</v>
      </c>
      <c r="AX10">
        <v>12</v>
      </c>
      <c r="AZ10">
        <v>130</v>
      </c>
      <c r="BC10" t="s">
        <v>5113</v>
      </c>
      <c r="BF10">
        <v>12</v>
      </c>
      <c r="BG10">
        <v>220</v>
      </c>
      <c r="BH10">
        <v>40</v>
      </c>
      <c r="BK10" t="s">
        <v>5112</v>
      </c>
      <c r="BN10">
        <v>12</v>
      </c>
      <c r="BO10">
        <v>220</v>
      </c>
      <c r="BP10">
        <v>40</v>
      </c>
      <c r="BS10" t="s">
        <v>5112</v>
      </c>
      <c r="BV10">
        <v>13</v>
      </c>
      <c r="BW10">
        <v>17</v>
      </c>
      <c r="BX10">
        <v>60</v>
      </c>
      <c r="CA10" t="s">
        <v>5106</v>
      </c>
      <c r="CB10" t="b">
        <v>0</v>
      </c>
      <c r="CD10">
        <v>13</v>
      </c>
      <c r="CE10">
        <v>18</v>
      </c>
      <c r="CF10">
        <v>64</v>
      </c>
      <c r="CI10" t="s">
        <v>5106</v>
      </c>
      <c r="CJ10" t="b">
        <v>0</v>
      </c>
      <c r="CL10">
        <v>111</v>
      </c>
      <c r="CR10">
        <v>2</v>
      </c>
      <c r="CT10">
        <v>121</v>
      </c>
      <c r="CU10">
        <v>244</v>
      </c>
      <c r="CV10">
        <v>61</v>
      </c>
      <c r="CW10">
        <v>150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5114</v>
      </c>
      <c r="T11">
        <v>6</v>
      </c>
      <c r="U11" t="str">
        <f>dbExponentTitle</f>
        <v>Экспоненциальное сглаживание</v>
      </c>
      <c r="V11">
        <v>6</v>
      </c>
      <c r="W11" t="str">
        <f>dbExponentTitle</f>
        <v>Экспоненциальное сглаживание</v>
      </c>
      <c r="X11" t="s">
        <v>452</v>
      </c>
      <c r="Y11" s="1" t="s">
        <v>660</v>
      </c>
      <c r="AH11">
        <v>12</v>
      </c>
      <c r="AM11" t="s">
        <v>5115</v>
      </c>
      <c r="AP11">
        <v>13</v>
      </c>
      <c r="AQ11">
        <v>234</v>
      </c>
      <c r="AR11">
        <v>75</v>
      </c>
      <c r="AU11" t="s">
        <v>5116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5117</v>
      </c>
      <c r="BF11">
        <v>12</v>
      </c>
      <c r="BK11" t="s">
        <v>5115</v>
      </c>
      <c r="BN11">
        <v>12</v>
      </c>
      <c r="BS11" t="s">
        <v>5115</v>
      </c>
      <c r="BV11">
        <v>14</v>
      </c>
      <c r="BW11">
        <v>8</v>
      </c>
      <c r="BX11">
        <v>83</v>
      </c>
      <c r="BY11">
        <v>445</v>
      </c>
      <c r="BZ11">
        <v>100</v>
      </c>
      <c r="CA11" t="s">
        <v>5093</v>
      </c>
      <c r="CD11">
        <v>5</v>
      </c>
      <c r="CE11">
        <v>18</v>
      </c>
      <c r="CF11">
        <v>85</v>
      </c>
      <c r="CI11" t="s">
        <v>5118</v>
      </c>
      <c r="CL11">
        <v>12</v>
      </c>
      <c r="CM11">
        <v>18</v>
      </c>
      <c r="CN11">
        <v>82</v>
      </c>
      <c r="CQ11" t="s">
        <v>5119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5120</v>
      </c>
    </row>
    <row r="12" spans="1:104" x14ac:dyDescent="0.25">
      <c r="A12" t="s">
        <v>328</v>
      </c>
      <c r="B12" t="s">
        <v>5121</v>
      </c>
      <c r="T12">
        <v>7</v>
      </c>
      <c r="U12" t="str">
        <f>dbFTestTitle</f>
        <v>Двухвыборочный F-тест для дисперсии</v>
      </c>
      <c r="V12">
        <v>7</v>
      </c>
      <c r="W12" t="str">
        <f>dbFTestTitle</f>
        <v>Двухвыборочный F-тест для дисперсии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5114</v>
      </c>
      <c r="AN12" t="b">
        <v>0</v>
      </c>
      <c r="AP12">
        <v>113</v>
      </c>
      <c r="AQ12">
        <v>25</v>
      </c>
      <c r="AR12">
        <v>93</v>
      </c>
      <c r="AU12" t="s">
        <v>5122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5123</v>
      </c>
      <c r="BF12">
        <v>13</v>
      </c>
      <c r="BG12">
        <v>20</v>
      </c>
      <c r="BH12">
        <v>75</v>
      </c>
      <c r="BK12" t="s">
        <v>5114</v>
      </c>
      <c r="BL12" t="b">
        <v>0</v>
      </c>
      <c r="BN12">
        <v>13</v>
      </c>
      <c r="BO12">
        <v>18</v>
      </c>
      <c r="BP12">
        <v>75</v>
      </c>
      <c r="BS12" t="s">
        <v>5114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5124</v>
      </c>
      <c r="CT12">
        <v>5</v>
      </c>
      <c r="CZ12" t="s">
        <v>332</v>
      </c>
    </row>
    <row r="13" spans="1:104" x14ac:dyDescent="0.25">
      <c r="A13" t="s">
        <v>333</v>
      </c>
      <c r="B13" t="s">
        <v>5107</v>
      </c>
      <c r="T13">
        <v>8</v>
      </c>
      <c r="U13" t="str">
        <f>dbFourierTitle</f>
        <v>Анализ Фурье</v>
      </c>
      <c r="V13">
        <v>8</v>
      </c>
      <c r="W13" t="str">
        <f>dbFourierTitle</f>
        <v>Анализ Фурье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5118</v>
      </c>
      <c r="AP13">
        <v>208</v>
      </c>
      <c r="AQ13">
        <v>234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5093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5093</v>
      </c>
      <c r="BV13">
        <v>5</v>
      </c>
      <c r="BW13">
        <v>17</v>
      </c>
      <c r="BX13">
        <v>99</v>
      </c>
      <c r="CA13" t="s">
        <v>5125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5093</v>
      </c>
      <c r="CL13">
        <v>5</v>
      </c>
      <c r="CM13">
        <v>42</v>
      </c>
      <c r="CN13">
        <v>103</v>
      </c>
      <c r="CQ13" t="s">
        <v>5126</v>
      </c>
      <c r="CT13">
        <v>5</v>
      </c>
    </row>
    <row r="14" spans="1:104" x14ac:dyDescent="0.25">
      <c r="A14" t="s">
        <v>404</v>
      </c>
      <c r="B14" t="s">
        <v>5127</v>
      </c>
      <c r="T14">
        <v>9</v>
      </c>
      <c r="U14" t="str">
        <f>dbHistogramTitle</f>
        <v>Гистограмма</v>
      </c>
      <c r="V14">
        <v>9</v>
      </c>
      <c r="W14" t="str">
        <f>dbHistogramTitle</f>
        <v>Гистограмма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295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210</v>
      </c>
      <c r="BX14">
        <v>97</v>
      </c>
      <c r="BY14">
        <v>220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5128</v>
      </c>
      <c r="T15">
        <v>10</v>
      </c>
      <c r="U15" t="str">
        <f>dbMovingTitle</f>
        <v>Скользящее среднее</v>
      </c>
      <c r="V15">
        <v>10</v>
      </c>
      <c r="W15" t="str">
        <f>dbMovingTitle</f>
        <v>Скользящее среднее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5093</v>
      </c>
      <c r="AP15">
        <v>14</v>
      </c>
      <c r="AQ15">
        <v>7</v>
      </c>
      <c r="AR15">
        <v>124</v>
      </c>
      <c r="AS15">
        <v>424</v>
      </c>
      <c r="AT15">
        <v>179</v>
      </c>
      <c r="AU15" t="s">
        <v>5093</v>
      </c>
      <c r="AX15">
        <v>24</v>
      </c>
      <c r="AY15">
        <v>418</v>
      </c>
      <c r="AZ15">
        <v>66</v>
      </c>
      <c r="BA15">
        <v>104</v>
      </c>
      <c r="BC15" t="s">
        <v>5129</v>
      </c>
      <c r="BF15">
        <v>12</v>
      </c>
      <c r="BG15">
        <v>20</v>
      </c>
      <c r="BH15">
        <v>120</v>
      </c>
      <c r="BK15" t="s">
        <v>5125</v>
      </c>
      <c r="BN15">
        <v>12</v>
      </c>
      <c r="BO15">
        <v>18</v>
      </c>
      <c r="BP15">
        <v>127</v>
      </c>
      <c r="BS15" t="s">
        <v>5125</v>
      </c>
      <c r="BV15">
        <v>205</v>
      </c>
      <c r="BW15">
        <v>17</v>
      </c>
      <c r="BX15">
        <v>119</v>
      </c>
      <c r="CA15" t="s">
        <v>5108</v>
      </c>
      <c r="CD15">
        <v>12</v>
      </c>
      <c r="CE15">
        <v>18</v>
      </c>
      <c r="CF15">
        <v>132</v>
      </c>
      <c r="CI15" t="s">
        <v>5125</v>
      </c>
      <c r="CL15">
        <v>5</v>
      </c>
      <c r="CM15">
        <v>42</v>
      </c>
      <c r="CN15">
        <v>146</v>
      </c>
      <c r="CQ15" t="s">
        <v>5130</v>
      </c>
      <c r="CT15">
        <v>5</v>
      </c>
    </row>
    <row r="16" spans="1:104" x14ac:dyDescent="0.25">
      <c r="A16" t="s">
        <v>526</v>
      </c>
      <c r="B16" t="s">
        <v>5131</v>
      </c>
      <c r="T16">
        <v>11</v>
      </c>
      <c r="U16" t="str">
        <f>dbRandomTitle</f>
        <v>Генерация случайных чисел</v>
      </c>
      <c r="V16">
        <v>11</v>
      </c>
      <c r="W16" t="str">
        <f>dbRandomTitle</f>
        <v>Генерация случайных чисел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5108</v>
      </c>
      <c r="BN16">
        <v>12</v>
      </c>
      <c r="BP16">
        <v>147</v>
      </c>
      <c r="BS16" t="s">
        <v>5108</v>
      </c>
      <c r="BV16">
        <v>206</v>
      </c>
      <c r="BW16">
        <v>210</v>
      </c>
      <c r="BX16">
        <v>117</v>
      </c>
      <c r="BY16">
        <v>220</v>
      </c>
      <c r="CD16">
        <v>12</v>
      </c>
      <c r="CF16">
        <v>152</v>
      </c>
      <c r="CI16" t="s">
        <v>5108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5132</v>
      </c>
      <c r="T17">
        <v>12</v>
      </c>
      <c r="U17" t="str">
        <f>dbRankPerTitle</f>
        <v>Ранг и персентиль</v>
      </c>
      <c r="V17">
        <v>12</v>
      </c>
      <c r="W17" t="str">
        <f>dbRankPerTitle</f>
        <v>Ранг и персентиль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5125</v>
      </c>
      <c r="AP17">
        <v>12</v>
      </c>
      <c r="AQ17">
        <v>24</v>
      </c>
      <c r="AR17">
        <v>142</v>
      </c>
      <c r="AU17" t="s">
        <v>5125</v>
      </c>
      <c r="BF17">
        <v>12</v>
      </c>
      <c r="BH17">
        <v>160</v>
      </c>
      <c r="BK17" t="s">
        <v>5113</v>
      </c>
      <c r="BN17">
        <v>12</v>
      </c>
      <c r="BP17">
        <v>167</v>
      </c>
      <c r="BS17" t="s">
        <v>5113</v>
      </c>
      <c r="BV17">
        <v>205</v>
      </c>
      <c r="BW17">
        <v>17</v>
      </c>
      <c r="BX17">
        <v>139</v>
      </c>
      <c r="CA17" t="s">
        <v>5113</v>
      </c>
      <c r="CD17">
        <v>12</v>
      </c>
      <c r="CF17">
        <v>172</v>
      </c>
      <c r="CI17" t="s">
        <v>5113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5093</v>
      </c>
      <c r="CT17">
        <v>5</v>
      </c>
    </row>
    <row r="18" spans="1:104" x14ac:dyDescent="0.25">
      <c r="A18" t="s">
        <v>531</v>
      </c>
      <c r="B18" t="s">
        <v>5133</v>
      </c>
      <c r="T18">
        <v>13</v>
      </c>
      <c r="U18" t="str">
        <f>dbRegressionTitle</f>
        <v>Регрессия</v>
      </c>
      <c r="V18">
        <v>13</v>
      </c>
      <c r="W18" t="str">
        <f>dbRegressionTitle</f>
        <v>Регрессия</v>
      </c>
      <c r="X18" t="s">
        <v>448</v>
      </c>
      <c r="Y18" s="1" t="s">
        <v>657</v>
      </c>
      <c r="AH18">
        <v>12</v>
      </c>
      <c r="AJ18">
        <v>169</v>
      </c>
      <c r="AM18" t="s">
        <v>5108</v>
      </c>
      <c r="AP18">
        <v>12</v>
      </c>
      <c r="AR18">
        <v>162</v>
      </c>
      <c r="AU18" t="s">
        <v>5108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5134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5135</v>
      </c>
      <c r="T19">
        <v>14</v>
      </c>
      <c r="U19" t="str">
        <f>dbSamplingTitle</f>
        <v>Выборка</v>
      </c>
      <c r="V19">
        <v>14</v>
      </c>
      <c r="W19" t="str">
        <f>dbSamplingTitle</f>
        <v>Выборка</v>
      </c>
      <c r="X19" t="s">
        <v>585</v>
      </c>
      <c r="Y19" s="1" t="s">
        <v>662</v>
      </c>
      <c r="AH19">
        <v>12</v>
      </c>
      <c r="AJ19">
        <v>189</v>
      </c>
      <c r="AM19" t="s">
        <v>5113</v>
      </c>
      <c r="AP19">
        <v>12</v>
      </c>
      <c r="AR19">
        <v>182</v>
      </c>
      <c r="AU19" t="s">
        <v>5113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210</v>
      </c>
      <c r="BX19">
        <v>161</v>
      </c>
      <c r="CA19" t="s">
        <v>5136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5125</v>
      </c>
      <c r="CT19">
        <v>5</v>
      </c>
    </row>
    <row r="20" spans="1:104" x14ac:dyDescent="0.25">
      <c r="A20" t="s">
        <v>343</v>
      </c>
      <c r="B20" t="s">
        <v>5081</v>
      </c>
      <c r="T20">
        <v>15</v>
      </c>
      <c r="U20" t="str">
        <f>dbTTest1Title</f>
        <v>Парный двухвыборочный t-тест для средних</v>
      </c>
      <c r="V20">
        <v>15</v>
      </c>
      <c r="W20" t="str">
        <f>dbTTest1Title</f>
        <v>Парный двухвыборочный t-тест для средних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180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5137</v>
      </c>
      <c r="BT20" t="b">
        <v>0</v>
      </c>
      <c r="BV20">
        <v>24</v>
      </c>
      <c r="BW20">
        <v>467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5108</v>
      </c>
      <c r="CT20">
        <v>5</v>
      </c>
    </row>
    <row r="21" spans="1:104" x14ac:dyDescent="0.25">
      <c r="A21" t="s">
        <v>346</v>
      </c>
      <c r="B21" t="s">
        <v>5138</v>
      </c>
      <c r="T21">
        <v>16</v>
      </c>
      <c r="U21" t="str">
        <f>dbTTest2Title</f>
        <v>Двухвыборочный t-тест с одинаковыми дисперсиями</v>
      </c>
      <c r="V21">
        <v>16</v>
      </c>
      <c r="W21" t="str">
        <f>dbTTest2Title</f>
        <v>Двухвыборочный t-тест с одинаковыми дисперсиями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180</v>
      </c>
      <c r="BN21">
        <v>113</v>
      </c>
      <c r="BO21">
        <v>18</v>
      </c>
      <c r="BP21">
        <v>209</v>
      </c>
      <c r="BS21" t="s">
        <v>5122</v>
      </c>
      <c r="BT21" t="b">
        <v>0</v>
      </c>
      <c r="CL21">
        <v>12</v>
      </c>
      <c r="CN21">
        <v>230</v>
      </c>
      <c r="CQ21" t="s">
        <v>5113</v>
      </c>
      <c r="CT21">
        <v>5</v>
      </c>
    </row>
    <row r="22" spans="1:104" x14ac:dyDescent="0.25">
      <c r="A22" t="s">
        <v>440</v>
      </c>
      <c r="B22" t="s">
        <v>5082</v>
      </c>
      <c r="T22">
        <v>17</v>
      </c>
      <c r="U22" t="str">
        <f>dbTTest3Title</f>
        <v>Двухвыборочный t-тест с различными дисперсиями</v>
      </c>
      <c r="V22">
        <v>17</v>
      </c>
      <c r="W22" t="str">
        <f>dbTTest3Title</f>
        <v>Двухвыборочный t-тест с различными дисперсиями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404</v>
      </c>
      <c r="AT22">
        <v>53</v>
      </c>
      <c r="AU22" t="s">
        <v>5139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5140</v>
      </c>
    </row>
    <row r="23" spans="1:104" x14ac:dyDescent="0.25">
      <c r="A23" t="s">
        <v>443</v>
      </c>
      <c r="B23" t="s">
        <v>5141</v>
      </c>
      <c r="T23">
        <v>18</v>
      </c>
      <c r="U23" t="str">
        <f>dbZTestTitle</f>
        <v>Двухвыборочный z-тест для средних</v>
      </c>
      <c r="V23">
        <v>18</v>
      </c>
      <c r="W23" t="str">
        <f>dbZTestTitle</f>
        <v>Двухвыборочный z-тест для средних</v>
      </c>
      <c r="X23" t="s">
        <v>357</v>
      </c>
      <c r="Y23" s="1" t="s">
        <v>674</v>
      </c>
      <c r="AP23">
        <v>13</v>
      </c>
      <c r="AR23">
        <v>216</v>
      </c>
      <c r="AU23" t="s">
        <v>5142</v>
      </c>
      <c r="AV23" t="b">
        <v>0</v>
      </c>
      <c r="BF23" s="1" t="s">
        <v>666</v>
      </c>
      <c r="BI23">
        <v>523</v>
      </c>
      <c r="BJ23">
        <v>191</v>
      </c>
      <c r="BK23" t="s">
        <v>5143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5144</v>
      </c>
      <c r="X24" t="s">
        <v>551</v>
      </c>
      <c r="AP24">
        <v>13</v>
      </c>
      <c r="AR24">
        <v>231</v>
      </c>
      <c r="AU24" t="s">
        <v>5145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5146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5147</v>
      </c>
    </row>
    <row r="25" spans="1:104" x14ac:dyDescent="0.25">
      <c r="A25" t="s">
        <v>552</v>
      </c>
      <c r="B25" t="s">
        <v>5148</v>
      </c>
      <c r="X25" t="s">
        <v>554</v>
      </c>
      <c r="AH25" t="s">
        <v>614</v>
      </c>
      <c r="AP25">
        <v>13</v>
      </c>
      <c r="AQ25">
        <v>257</v>
      </c>
      <c r="AR25">
        <v>216</v>
      </c>
      <c r="AU25" t="s">
        <v>5149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5090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5150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5151</v>
      </c>
      <c r="X26" t="s">
        <v>376</v>
      </c>
      <c r="AH26" s="1" t="s">
        <v>664</v>
      </c>
      <c r="AK26">
        <v>509</v>
      </c>
      <c r="AL26">
        <v>187</v>
      </c>
      <c r="AM26" t="s">
        <v>5141</v>
      </c>
      <c r="AN26">
        <v>5</v>
      </c>
      <c r="AP26">
        <v>13</v>
      </c>
      <c r="AR26">
        <v>231</v>
      </c>
      <c r="AU26" t="s">
        <v>5152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5092</v>
      </c>
      <c r="BN26">
        <v>113</v>
      </c>
      <c r="BO26">
        <v>18</v>
      </c>
      <c r="BP26">
        <v>247</v>
      </c>
      <c r="BS26" t="s">
        <v>5153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5093</v>
      </c>
    </row>
    <row r="27" spans="1:104" x14ac:dyDescent="0.25">
      <c r="A27" t="s">
        <v>377</v>
      </c>
      <c r="B27" t="s">
        <v>5154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404</v>
      </c>
      <c r="AT27">
        <v>35</v>
      </c>
      <c r="AU27" t="s">
        <v>5155</v>
      </c>
      <c r="BF27">
        <v>5</v>
      </c>
      <c r="BG27">
        <v>18</v>
      </c>
      <c r="BH27">
        <v>19</v>
      </c>
      <c r="BK27" t="s">
        <v>5095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5090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5156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5090</v>
      </c>
      <c r="AP28">
        <v>13</v>
      </c>
      <c r="AR28">
        <v>270</v>
      </c>
      <c r="AU28" t="s">
        <v>5157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5092</v>
      </c>
      <c r="CT28">
        <v>12</v>
      </c>
      <c r="CU28">
        <v>17</v>
      </c>
      <c r="CV28">
        <v>225</v>
      </c>
      <c r="CY28" t="s">
        <v>5125</v>
      </c>
    </row>
    <row r="29" spans="1:104" x14ac:dyDescent="0.25">
      <c r="A29" t="s">
        <v>383</v>
      </c>
      <c r="B29" t="s">
        <v>5158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5092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5101</v>
      </c>
      <c r="CD29">
        <v>5</v>
      </c>
      <c r="CE29">
        <v>17</v>
      </c>
      <c r="CF29">
        <v>18</v>
      </c>
      <c r="CI29" t="s">
        <v>5097</v>
      </c>
      <c r="CT29">
        <v>12</v>
      </c>
      <c r="CV29">
        <v>245</v>
      </c>
      <c r="CY29" t="s">
        <v>5108</v>
      </c>
    </row>
    <row r="30" spans="1:104" x14ac:dyDescent="0.25">
      <c r="A30" t="s">
        <v>600</v>
      </c>
      <c r="B30" t="s">
        <v>5159</v>
      </c>
      <c r="X30" t="s">
        <v>332</v>
      </c>
      <c r="AH30">
        <v>5</v>
      </c>
      <c r="AI30">
        <v>20</v>
      </c>
      <c r="AJ30">
        <v>19</v>
      </c>
      <c r="AM30" t="s">
        <v>5095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5113</v>
      </c>
    </row>
    <row r="31" spans="1:104" x14ac:dyDescent="0.25">
      <c r="A31" t="s">
        <v>602</v>
      </c>
      <c r="B31" t="s">
        <v>5138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5112</v>
      </c>
      <c r="CD31">
        <v>5</v>
      </c>
      <c r="CE31">
        <v>17</v>
      </c>
      <c r="CF31">
        <v>41</v>
      </c>
      <c r="CI31" t="s">
        <v>5105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5160</v>
      </c>
      <c r="AH32">
        <v>5</v>
      </c>
      <c r="AI32">
        <v>20</v>
      </c>
      <c r="AJ32">
        <v>45</v>
      </c>
      <c r="AM32" t="s">
        <v>5161</v>
      </c>
      <c r="BF32">
        <v>12</v>
      </c>
      <c r="BK32" t="s">
        <v>5115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5114</v>
      </c>
      <c r="BL33" t="b">
        <v>0</v>
      </c>
      <c r="CD33">
        <v>5</v>
      </c>
      <c r="CE33">
        <v>17</v>
      </c>
      <c r="CF33">
        <v>70</v>
      </c>
      <c r="CI33" t="s">
        <v>5162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5118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5093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5106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5093</v>
      </c>
      <c r="BF36">
        <v>12</v>
      </c>
      <c r="BG36">
        <v>18</v>
      </c>
      <c r="BH36">
        <v>120</v>
      </c>
      <c r="BK36" t="s">
        <v>5125</v>
      </c>
      <c r="CD36">
        <v>5</v>
      </c>
      <c r="CE36">
        <v>17</v>
      </c>
      <c r="CF36">
        <v>114</v>
      </c>
      <c r="CI36" t="s">
        <v>5118</v>
      </c>
      <c r="CT36">
        <v>5</v>
      </c>
      <c r="CZ36" t="s">
        <v>551</v>
      </c>
    </row>
    <row r="37" spans="1:104" x14ac:dyDescent="0.25">
      <c r="A37" t="s">
        <v>473</v>
      </c>
      <c r="B37" t="s">
        <v>5163</v>
      </c>
      <c r="AH37">
        <v>111</v>
      </c>
      <c r="AN37">
        <v>2</v>
      </c>
      <c r="BF37">
        <v>12</v>
      </c>
      <c r="BH37">
        <v>140</v>
      </c>
      <c r="BK37" t="s">
        <v>5108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5164</v>
      </c>
      <c r="AH38">
        <v>12</v>
      </c>
      <c r="AI38">
        <v>20</v>
      </c>
      <c r="AJ38">
        <v>115</v>
      </c>
      <c r="AM38" t="s">
        <v>5125</v>
      </c>
      <c r="BF38">
        <v>12</v>
      </c>
      <c r="BH38">
        <v>160</v>
      </c>
      <c r="BK38" t="s">
        <v>5113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5093</v>
      </c>
      <c r="CT38">
        <v>5</v>
      </c>
    </row>
    <row r="39" spans="1:104" x14ac:dyDescent="0.25">
      <c r="A39" t="s">
        <v>488</v>
      </c>
      <c r="B39" t="s">
        <v>5165</v>
      </c>
      <c r="AH39">
        <v>12</v>
      </c>
      <c r="AJ39">
        <v>135</v>
      </c>
      <c r="AM39" t="s">
        <v>5108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5166</v>
      </c>
      <c r="AH40">
        <v>12</v>
      </c>
      <c r="AJ40">
        <v>155</v>
      </c>
      <c r="AM40" t="s">
        <v>5113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5125</v>
      </c>
      <c r="CT40">
        <v>5</v>
      </c>
    </row>
    <row r="41" spans="1:104" x14ac:dyDescent="0.25">
      <c r="A41" t="s">
        <v>492</v>
      </c>
      <c r="B41" t="s">
        <v>5167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5108</v>
      </c>
      <c r="CT41">
        <v>5</v>
      </c>
    </row>
    <row r="42" spans="1:104" x14ac:dyDescent="0.25">
      <c r="A42" t="s">
        <v>494</v>
      </c>
      <c r="B42" t="s">
        <v>5088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5113</v>
      </c>
      <c r="CT42">
        <v>5</v>
      </c>
    </row>
    <row r="43" spans="1:104" x14ac:dyDescent="0.25">
      <c r="A43" t="s">
        <v>496</v>
      </c>
      <c r="B43" t="s">
        <v>5168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5169</v>
      </c>
      <c r="BF44" s="1" t="s">
        <v>670</v>
      </c>
      <c r="BI44">
        <v>523</v>
      </c>
      <c r="BJ44">
        <v>191</v>
      </c>
      <c r="BK44" t="s">
        <v>5170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5171</v>
      </c>
    </row>
    <row r="45" spans="1:104" x14ac:dyDescent="0.25">
      <c r="A45" t="s">
        <v>422</v>
      </c>
      <c r="B45" t="s">
        <v>5172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5173</v>
      </c>
      <c r="BF46">
        <v>2</v>
      </c>
      <c r="BG46">
        <v>407</v>
      </c>
      <c r="BH46">
        <v>30</v>
      </c>
      <c r="BI46">
        <v>90</v>
      </c>
      <c r="BK46" t="s">
        <v>5090</v>
      </c>
      <c r="CT46">
        <v>5</v>
      </c>
      <c r="CU46">
        <v>184</v>
      </c>
      <c r="CV46">
        <v>114</v>
      </c>
      <c r="CY46" t="s">
        <v>5174</v>
      </c>
    </row>
    <row r="47" spans="1:104" x14ac:dyDescent="0.25">
      <c r="A47" t="s">
        <v>427</v>
      </c>
      <c r="B47" t="s">
        <v>5175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5092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5176</v>
      </c>
      <c r="AH48" s="1" t="s">
        <v>665</v>
      </c>
      <c r="AK48">
        <v>523</v>
      </c>
      <c r="AL48">
        <v>185</v>
      </c>
      <c r="AM48" t="s">
        <v>5144</v>
      </c>
      <c r="AN48">
        <v>5</v>
      </c>
      <c r="BF48">
        <v>5</v>
      </c>
      <c r="BG48">
        <v>18</v>
      </c>
      <c r="BH48">
        <v>19</v>
      </c>
      <c r="BK48" t="s">
        <v>5095</v>
      </c>
    </row>
    <row r="49" spans="1:104" x14ac:dyDescent="0.25">
      <c r="A49" t="s">
        <v>431</v>
      </c>
      <c r="B49" t="s">
        <v>5085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5158</v>
      </c>
      <c r="AH50">
        <v>2</v>
      </c>
      <c r="AI50">
        <v>407</v>
      </c>
      <c r="AJ50">
        <v>30</v>
      </c>
      <c r="AK50">
        <v>90</v>
      </c>
      <c r="AM50" t="s">
        <v>5090</v>
      </c>
      <c r="BF50">
        <v>5</v>
      </c>
      <c r="BG50">
        <v>18</v>
      </c>
      <c r="BH50">
        <v>44</v>
      </c>
      <c r="BK50" t="s">
        <v>5101</v>
      </c>
      <c r="CD50" s="1" t="s">
        <v>672</v>
      </c>
      <c r="CG50">
        <v>550</v>
      </c>
      <c r="CH50">
        <v>227</v>
      </c>
      <c r="CI50" t="s">
        <v>5177</v>
      </c>
      <c r="CJ50">
        <v>5</v>
      </c>
      <c r="CT50">
        <v>5</v>
      </c>
      <c r="CU50">
        <v>17</v>
      </c>
      <c r="CV50">
        <v>101</v>
      </c>
      <c r="CY50" t="s">
        <v>5178</v>
      </c>
      <c r="CZ50" t="s">
        <v>599</v>
      </c>
    </row>
    <row r="51" spans="1:104" x14ac:dyDescent="0.25">
      <c r="A51" t="s">
        <v>439</v>
      </c>
      <c r="B51" t="s">
        <v>5179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5092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5180</v>
      </c>
      <c r="AH52">
        <v>5</v>
      </c>
      <c r="AI52">
        <v>18</v>
      </c>
      <c r="AJ52">
        <v>19</v>
      </c>
      <c r="AM52" t="s">
        <v>5095</v>
      </c>
      <c r="BF52">
        <v>12</v>
      </c>
      <c r="BG52">
        <v>220</v>
      </c>
      <c r="BH52">
        <v>40</v>
      </c>
      <c r="BK52" t="s">
        <v>5112</v>
      </c>
      <c r="CD52">
        <v>2</v>
      </c>
      <c r="CE52">
        <v>440</v>
      </c>
      <c r="CF52">
        <v>30</v>
      </c>
      <c r="CG52">
        <v>90</v>
      </c>
      <c r="CI52" t="s">
        <v>5090</v>
      </c>
      <c r="CT52">
        <v>5</v>
      </c>
      <c r="CU52">
        <v>132</v>
      </c>
      <c r="CV52">
        <v>101</v>
      </c>
      <c r="CY52" t="s">
        <v>5181</v>
      </c>
    </row>
    <row r="53" spans="1:104" x14ac:dyDescent="0.25">
      <c r="A53" t="s">
        <v>338</v>
      </c>
      <c r="B53" t="s">
        <v>5182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5115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5092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5183</v>
      </c>
      <c r="AH54">
        <v>13</v>
      </c>
      <c r="AI54">
        <v>19</v>
      </c>
      <c r="AJ54">
        <v>41</v>
      </c>
      <c r="AM54" t="s">
        <v>5106</v>
      </c>
      <c r="AN54" t="b">
        <v>0</v>
      </c>
      <c r="BF54">
        <v>13</v>
      </c>
      <c r="BG54">
        <v>18</v>
      </c>
      <c r="BH54">
        <v>75</v>
      </c>
      <c r="BK54" t="s">
        <v>5114</v>
      </c>
      <c r="BL54" t="b">
        <v>0</v>
      </c>
      <c r="CD54">
        <v>5</v>
      </c>
      <c r="CE54">
        <v>17</v>
      </c>
      <c r="CF54">
        <v>18</v>
      </c>
      <c r="CI54" t="s">
        <v>5097</v>
      </c>
      <c r="CT54">
        <v>5</v>
      </c>
      <c r="CU54">
        <v>232</v>
      </c>
      <c r="CV54">
        <v>101</v>
      </c>
      <c r="CY54" t="s">
        <v>5184</v>
      </c>
    </row>
    <row r="55" spans="1:104" x14ac:dyDescent="0.25">
      <c r="A55" t="s">
        <v>177</v>
      </c>
      <c r="B55" t="s">
        <v>5185</v>
      </c>
      <c r="AH55">
        <v>5</v>
      </c>
      <c r="AI55">
        <v>20</v>
      </c>
      <c r="AJ55">
        <v>62</v>
      </c>
      <c r="AM55" t="s">
        <v>5118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5093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5186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5105</v>
      </c>
      <c r="CT56">
        <v>5</v>
      </c>
      <c r="CU56">
        <v>17</v>
      </c>
      <c r="CV56">
        <v>131</v>
      </c>
      <c r="CY56" t="s">
        <v>5187</v>
      </c>
    </row>
    <row r="57" spans="1:104" x14ac:dyDescent="0.25">
      <c r="A57" t="s">
        <v>557</v>
      </c>
      <c r="B57" t="s">
        <v>5188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5093</v>
      </c>
      <c r="BF57">
        <v>12</v>
      </c>
      <c r="BG57">
        <v>18</v>
      </c>
      <c r="BH57">
        <v>120</v>
      </c>
      <c r="BK57" t="s">
        <v>5125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244</v>
      </c>
      <c r="CV57">
        <v>129</v>
      </c>
      <c r="CW57">
        <v>60</v>
      </c>
    </row>
    <row r="58" spans="1:104" x14ac:dyDescent="0.25">
      <c r="A58" t="s">
        <v>559</v>
      </c>
      <c r="B58" t="s">
        <v>5189</v>
      </c>
      <c r="AH58">
        <v>111</v>
      </c>
      <c r="AN58">
        <v>2</v>
      </c>
      <c r="BF58">
        <v>12</v>
      </c>
      <c r="BH58">
        <v>140</v>
      </c>
      <c r="BK58" t="s">
        <v>5108</v>
      </c>
      <c r="CD58">
        <v>5</v>
      </c>
      <c r="CE58">
        <v>17</v>
      </c>
      <c r="CF58">
        <v>70</v>
      </c>
      <c r="CI58" t="s">
        <v>5162</v>
      </c>
      <c r="CT58">
        <v>5</v>
      </c>
      <c r="CU58">
        <v>322</v>
      </c>
      <c r="CV58">
        <v>131</v>
      </c>
      <c r="CY58" t="s">
        <v>5190</v>
      </c>
    </row>
    <row r="59" spans="1:104" x14ac:dyDescent="0.25">
      <c r="A59" t="s">
        <v>188</v>
      </c>
      <c r="B59" t="s">
        <v>5191</v>
      </c>
      <c r="AH59">
        <v>12</v>
      </c>
      <c r="AI59">
        <v>20</v>
      </c>
      <c r="AJ59">
        <v>107</v>
      </c>
      <c r="AM59" t="s">
        <v>5125</v>
      </c>
      <c r="BF59">
        <v>12</v>
      </c>
      <c r="BH59">
        <v>160</v>
      </c>
      <c r="BK59" t="s">
        <v>5113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5192</v>
      </c>
    </row>
    <row r="60" spans="1:104" x14ac:dyDescent="0.25">
      <c r="A60" t="s">
        <v>564</v>
      </c>
      <c r="B60" t="s">
        <v>5193</v>
      </c>
      <c r="AH60">
        <v>12</v>
      </c>
      <c r="AJ60">
        <v>127</v>
      </c>
      <c r="AM60" t="s">
        <v>5108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5106</v>
      </c>
      <c r="CJ60" t="b">
        <v>0</v>
      </c>
      <c r="CT60">
        <v>7</v>
      </c>
      <c r="CU60">
        <v>244</v>
      </c>
      <c r="CV60">
        <v>151</v>
      </c>
      <c r="CW60">
        <v>60</v>
      </c>
    </row>
    <row r="61" spans="1:104" x14ac:dyDescent="0.25">
      <c r="A61" t="s">
        <v>566</v>
      </c>
      <c r="B61" t="s">
        <v>5194</v>
      </c>
      <c r="AH61">
        <v>12</v>
      </c>
      <c r="AJ61">
        <v>147</v>
      </c>
      <c r="AM61" t="s">
        <v>5113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5118</v>
      </c>
      <c r="CT61">
        <v>5</v>
      </c>
      <c r="CU61">
        <v>322</v>
      </c>
      <c r="CV61">
        <v>153</v>
      </c>
      <c r="CY61" t="s">
        <v>5190</v>
      </c>
    </row>
    <row r="62" spans="1:104" x14ac:dyDescent="0.25">
      <c r="A62" t="s">
        <v>568</v>
      </c>
      <c r="B62" t="s">
        <v>5195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5196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5093</v>
      </c>
      <c r="CT63" t="s">
        <v>554</v>
      </c>
    </row>
    <row r="64" spans="1:104" x14ac:dyDescent="0.25">
      <c r="A64" t="s">
        <v>572</v>
      </c>
      <c r="B64" t="s">
        <v>5084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5143</v>
      </c>
      <c r="CD65">
        <v>12</v>
      </c>
      <c r="CE65">
        <v>17</v>
      </c>
      <c r="CF65">
        <v>156</v>
      </c>
      <c r="CI65" t="s">
        <v>5125</v>
      </c>
      <c r="CT65">
        <v>5</v>
      </c>
    </row>
    <row r="66" spans="1:104" x14ac:dyDescent="0.25">
      <c r="A66" t="s">
        <v>194</v>
      </c>
      <c r="B66" t="s">
        <v>5086</v>
      </c>
      <c r="BF66" t="s">
        <v>334</v>
      </c>
      <c r="CD66">
        <v>12</v>
      </c>
      <c r="CF66">
        <v>176</v>
      </c>
      <c r="CI66" t="s">
        <v>5108</v>
      </c>
      <c r="CT66">
        <v>5</v>
      </c>
    </row>
    <row r="67" spans="1:104" x14ac:dyDescent="0.25">
      <c r="A67" t="s">
        <v>195</v>
      </c>
      <c r="B67" t="s">
        <v>5197</v>
      </c>
      <c r="BF67" s="1" t="s">
        <v>667</v>
      </c>
      <c r="BI67">
        <v>523</v>
      </c>
      <c r="BJ67">
        <v>181</v>
      </c>
      <c r="BK67" t="s">
        <v>5198</v>
      </c>
      <c r="BL67">
        <v>5</v>
      </c>
      <c r="CD67">
        <v>12</v>
      </c>
      <c r="CF67">
        <v>196</v>
      </c>
      <c r="CI67" t="s">
        <v>5113</v>
      </c>
      <c r="CT67">
        <v>5</v>
      </c>
    </row>
    <row r="68" spans="1:104" x14ac:dyDescent="0.25">
      <c r="A68" t="s">
        <v>576</v>
      </c>
      <c r="B68" t="s">
        <v>5199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5200</v>
      </c>
      <c r="AH69" s="1" t="s">
        <v>669</v>
      </c>
      <c r="AK69">
        <v>583</v>
      </c>
      <c r="AL69">
        <v>205</v>
      </c>
      <c r="AM69" t="s">
        <v>5197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5090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5201</v>
      </c>
      <c r="AH70">
        <v>1</v>
      </c>
      <c r="AI70">
        <v>467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5092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5202</v>
      </c>
      <c r="AH71">
        <v>2</v>
      </c>
      <c r="AI71">
        <v>467</v>
      </c>
      <c r="AJ71">
        <v>30</v>
      </c>
      <c r="AK71">
        <v>90</v>
      </c>
      <c r="AM71" t="s">
        <v>5090</v>
      </c>
      <c r="BF71">
        <v>5</v>
      </c>
      <c r="BG71">
        <v>18</v>
      </c>
      <c r="BH71">
        <v>19</v>
      </c>
      <c r="BK71" t="s">
        <v>5095</v>
      </c>
      <c r="CT71">
        <v>5</v>
      </c>
    </row>
    <row r="72" spans="1:104" x14ac:dyDescent="0.25">
      <c r="A72" t="s">
        <v>200</v>
      </c>
      <c r="B72" t="s">
        <v>5203</v>
      </c>
      <c r="AH72">
        <v>14</v>
      </c>
      <c r="AI72">
        <v>8</v>
      </c>
      <c r="AJ72">
        <v>3</v>
      </c>
      <c r="AK72">
        <v>445</v>
      </c>
      <c r="AL72">
        <v>93</v>
      </c>
      <c r="AM72" t="s">
        <v>5092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5204</v>
      </c>
    </row>
    <row r="73" spans="1:104" x14ac:dyDescent="0.25">
      <c r="A73" t="s">
        <v>203</v>
      </c>
      <c r="B73" t="s">
        <v>5205</v>
      </c>
      <c r="AH73">
        <v>5</v>
      </c>
      <c r="AI73">
        <v>18</v>
      </c>
      <c r="AJ73">
        <v>19</v>
      </c>
      <c r="AM73" t="s">
        <v>5095</v>
      </c>
      <c r="BF73">
        <v>13</v>
      </c>
      <c r="BG73">
        <v>18</v>
      </c>
      <c r="BH73">
        <v>40</v>
      </c>
      <c r="BK73" t="s">
        <v>5114</v>
      </c>
      <c r="BL73" t="b">
        <v>0</v>
      </c>
      <c r="CT73">
        <v>8</v>
      </c>
      <c r="CU73">
        <v>244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5206</v>
      </c>
      <c r="AH74">
        <v>10</v>
      </c>
      <c r="AI74">
        <v>212</v>
      </c>
      <c r="AJ74">
        <v>16</v>
      </c>
      <c r="AK74">
        <v>220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5093</v>
      </c>
      <c r="CD74" t="s">
        <v>441</v>
      </c>
      <c r="CT74">
        <v>5</v>
      </c>
      <c r="CU74">
        <v>24</v>
      </c>
      <c r="CV74">
        <v>134</v>
      </c>
      <c r="CY74" t="s">
        <v>5207</v>
      </c>
    </row>
    <row r="75" spans="1:104" x14ac:dyDescent="0.25">
      <c r="A75" t="s">
        <v>207</v>
      </c>
      <c r="B75" t="s">
        <v>5208</v>
      </c>
      <c r="AH75">
        <v>13</v>
      </c>
      <c r="AI75">
        <v>18</v>
      </c>
      <c r="AJ75">
        <v>41</v>
      </c>
      <c r="AM75" t="s">
        <v>5114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5209</v>
      </c>
      <c r="CJ75">
        <v>5</v>
      </c>
      <c r="CT75">
        <v>8</v>
      </c>
      <c r="CU75">
        <v>244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5210</v>
      </c>
      <c r="AH76">
        <v>5</v>
      </c>
      <c r="AI76">
        <v>18</v>
      </c>
      <c r="AJ76">
        <v>69</v>
      </c>
      <c r="AM76" t="s">
        <v>5211</v>
      </c>
      <c r="BF76">
        <v>12</v>
      </c>
      <c r="BG76">
        <v>18</v>
      </c>
      <c r="BH76">
        <v>86</v>
      </c>
      <c r="BK76" t="s">
        <v>5125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5212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5108</v>
      </c>
      <c r="CD77">
        <v>2</v>
      </c>
      <c r="CE77">
        <v>440</v>
      </c>
      <c r="CF77">
        <v>30</v>
      </c>
      <c r="CG77">
        <v>90</v>
      </c>
      <c r="CI77" t="s">
        <v>5090</v>
      </c>
      <c r="CT77" t="s">
        <v>376</v>
      </c>
    </row>
    <row r="78" spans="1:104" x14ac:dyDescent="0.25">
      <c r="A78" t="s">
        <v>219</v>
      </c>
      <c r="B78" t="s">
        <v>5087</v>
      </c>
      <c r="AH78">
        <v>14</v>
      </c>
      <c r="AI78">
        <v>8</v>
      </c>
      <c r="AJ78">
        <v>96</v>
      </c>
      <c r="AK78">
        <v>445</v>
      </c>
      <c r="AL78">
        <v>105</v>
      </c>
      <c r="AM78" t="s">
        <v>5093</v>
      </c>
      <c r="BF78">
        <v>12</v>
      </c>
      <c r="BH78">
        <v>126</v>
      </c>
      <c r="BK78" t="s">
        <v>5113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5092</v>
      </c>
      <c r="CT78">
        <v>5</v>
      </c>
      <c r="CZ78" t="s">
        <v>376</v>
      </c>
    </row>
    <row r="79" spans="1:104" x14ac:dyDescent="0.25">
      <c r="A79" t="s">
        <v>220</v>
      </c>
      <c r="B79" t="s">
        <v>5177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5097</v>
      </c>
      <c r="CT79">
        <v>5</v>
      </c>
    </row>
    <row r="80" spans="1:104" x14ac:dyDescent="0.25">
      <c r="A80" t="s">
        <v>221</v>
      </c>
      <c r="B80" t="s">
        <v>5150</v>
      </c>
      <c r="AH80">
        <v>5</v>
      </c>
      <c r="AI80">
        <v>18</v>
      </c>
      <c r="AJ80">
        <v>112</v>
      </c>
      <c r="AM80" t="s">
        <v>5125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5209</v>
      </c>
      <c r="AH81">
        <v>10</v>
      </c>
      <c r="AI81">
        <v>212</v>
      </c>
      <c r="AJ81">
        <v>110</v>
      </c>
      <c r="AK81">
        <v>220</v>
      </c>
      <c r="AN81" t="s">
        <v>316</v>
      </c>
      <c r="BF81">
        <v>13</v>
      </c>
      <c r="BG81">
        <v>18</v>
      </c>
      <c r="BH81">
        <v>151</v>
      </c>
      <c r="BK81" t="s">
        <v>5213</v>
      </c>
      <c r="BL81" t="b">
        <v>0</v>
      </c>
      <c r="CD81">
        <v>5</v>
      </c>
      <c r="CE81">
        <v>17</v>
      </c>
      <c r="CF81">
        <v>41</v>
      </c>
      <c r="CI81" t="s">
        <v>5105</v>
      </c>
      <c r="CT81">
        <v>5</v>
      </c>
    </row>
    <row r="82" spans="1:104" x14ac:dyDescent="0.25">
      <c r="A82" t="s">
        <v>606</v>
      </c>
      <c r="B82" t="s">
        <v>5214</v>
      </c>
      <c r="AH82">
        <v>205</v>
      </c>
      <c r="AI82">
        <v>18</v>
      </c>
      <c r="AJ82">
        <v>132</v>
      </c>
      <c r="AM82" t="s">
        <v>5108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5215</v>
      </c>
      <c r="AH83">
        <v>206</v>
      </c>
      <c r="AI83">
        <v>212</v>
      </c>
      <c r="AJ83">
        <v>130</v>
      </c>
      <c r="AK83">
        <v>220</v>
      </c>
      <c r="CD83">
        <v>5</v>
      </c>
      <c r="CE83">
        <v>17</v>
      </c>
      <c r="CF83">
        <v>68</v>
      </c>
      <c r="CI83" t="s">
        <v>5162</v>
      </c>
      <c r="CT83">
        <v>5</v>
      </c>
    </row>
    <row r="84" spans="1:104" x14ac:dyDescent="0.25">
      <c r="A84" t="s">
        <v>303</v>
      </c>
      <c r="B84" t="s">
        <v>5216</v>
      </c>
      <c r="AH84">
        <v>205</v>
      </c>
      <c r="AI84">
        <v>18</v>
      </c>
      <c r="AJ84">
        <v>152</v>
      </c>
      <c r="AM84" t="s">
        <v>5113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5217</v>
      </c>
      <c r="AH85">
        <v>13</v>
      </c>
      <c r="AI85">
        <v>18</v>
      </c>
      <c r="AJ85">
        <v>175</v>
      </c>
      <c r="AM85" t="s">
        <v>5134</v>
      </c>
      <c r="AN85" t="b">
        <v>0</v>
      </c>
      <c r="CD85">
        <v>13</v>
      </c>
      <c r="CE85">
        <v>18</v>
      </c>
      <c r="CF85">
        <v>87</v>
      </c>
      <c r="CI85" t="s">
        <v>5106</v>
      </c>
      <c r="CJ85" t="b">
        <v>0</v>
      </c>
      <c r="CT85">
        <v>5</v>
      </c>
    </row>
    <row r="86" spans="1:104" x14ac:dyDescent="0.25">
      <c r="A86" t="s">
        <v>228</v>
      </c>
      <c r="B86" t="s">
        <v>5218</v>
      </c>
      <c r="AH86">
        <v>13</v>
      </c>
      <c r="AI86">
        <v>212</v>
      </c>
      <c r="AJ86">
        <v>175</v>
      </c>
      <c r="AM86" t="s">
        <v>5136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5118</v>
      </c>
      <c r="CT86">
        <v>5</v>
      </c>
    </row>
    <row r="87" spans="1:104" x14ac:dyDescent="0.25">
      <c r="A87" t="s">
        <v>231</v>
      </c>
      <c r="B87" t="s">
        <v>5219</v>
      </c>
      <c r="AH87">
        <v>24</v>
      </c>
      <c r="AI87">
        <v>467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5203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5220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5093</v>
      </c>
      <c r="CT88">
        <v>5</v>
      </c>
      <c r="CU88">
        <v>26</v>
      </c>
      <c r="CV88">
        <v>108</v>
      </c>
      <c r="CY88" t="s">
        <v>5221</v>
      </c>
    </row>
    <row r="89" spans="1:104" x14ac:dyDescent="0.25">
      <c r="A89" t="s">
        <v>299</v>
      </c>
      <c r="B89" t="s">
        <v>5222</v>
      </c>
      <c r="BF89">
        <v>2</v>
      </c>
      <c r="BG89">
        <v>407</v>
      </c>
      <c r="BH89">
        <v>30</v>
      </c>
      <c r="BI89">
        <v>90</v>
      </c>
      <c r="BK89" t="s">
        <v>5090</v>
      </c>
      <c r="CD89">
        <v>111</v>
      </c>
      <c r="CJ89">
        <v>2</v>
      </c>
      <c r="CT89">
        <v>8</v>
      </c>
      <c r="CU89">
        <v>244</v>
      </c>
      <c r="CV89">
        <v>106</v>
      </c>
      <c r="CW89">
        <v>60</v>
      </c>
    </row>
    <row r="90" spans="1:104" x14ac:dyDescent="0.25">
      <c r="A90" t="s">
        <v>235</v>
      </c>
      <c r="B90" t="s">
        <v>5223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5092</v>
      </c>
      <c r="CD90">
        <v>12</v>
      </c>
      <c r="CE90">
        <v>17</v>
      </c>
      <c r="CF90">
        <v>152</v>
      </c>
      <c r="CI90" t="s">
        <v>5125</v>
      </c>
    </row>
    <row r="91" spans="1:104" x14ac:dyDescent="0.25">
      <c r="A91" t="s">
        <v>237</v>
      </c>
      <c r="B91" t="s">
        <v>5224</v>
      </c>
      <c r="BF91">
        <v>5</v>
      </c>
      <c r="BG91">
        <v>18</v>
      </c>
      <c r="BH91">
        <v>19</v>
      </c>
      <c r="BK91" t="s">
        <v>5095</v>
      </c>
      <c r="CD91">
        <v>12</v>
      </c>
      <c r="CF91">
        <v>172</v>
      </c>
      <c r="CI91" t="s">
        <v>5108</v>
      </c>
      <c r="CT91" t="s">
        <v>379</v>
      </c>
    </row>
    <row r="92" spans="1:104" x14ac:dyDescent="0.25">
      <c r="A92" t="s">
        <v>239</v>
      </c>
      <c r="B92" t="s">
        <v>5225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5113</v>
      </c>
      <c r="CT92">
        <v>5</v>
      </c>
      <c r="CZ92" t="s">
        <v>379</v>
      </c>
    </row>
    <row r="93" spans="1:104" x14ac:dyDescent="0.25">
      <c r="A93" t="s">
        <v>485</v>
      </c>
      <c r="B93" t="s">
        <v>5226</v>
      </c>
      <c r="BF93">
        <v>5</v>
      </c>
      <c r="BG93">
        <v>18</v>
      </c>
      <c r="BH93">
        <v>43</v>
      </c>
      <c r="BK93" t="s">
        <v>5227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5228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5229</v>
      </c>
      <c r="BF95">
        <v>13</v>
      </c>
      <c r="BG95">
        <v>18</v>
      </c>
      <c r="BH95">
        <v>66</v>
      </c>
      <c r="BK95" t="s">
        <v>5106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5230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5093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5231</v>
      </c>
      <c r="BF98">
        <v>12</v>
      </c>
      <c r="BG98">
        <v>18</v>
      </c>
      <c r="BH98">
        <v>112</v>
      </c>
      <c r="BK98" t="s">
        <v>5125</v>
      </c>
      <c r="CT98">
        <v>5</v>
      </c>
    </row>
    <row r="99" spans="1:104" x14ac:dyDescent="0.25">
      <c r="A99" t="s">
        <v>252</v>
      </c>
      <c r="B99" t="s">
        <v>5232</v>
      </c>
      <c r="BF99">
        <v>12</v>
      </c>
      <c r="BH99">
        <v>132</v>
      </c>
      <c r="BK99" t="s">
        <v>5108</v>
      </c>
      <c r="CD99" t="s">
        <v>357</v>
      </c>
      <c r="CT99">
        <v>5</v>
      </c>
    </row>
    <row r="100" spans="1:104" x14ac:dyDescent="0.25">
      <c r="A100" t="s">
        <v>511</v>
      </c>
      <c r="B100" t="s">
        <v>5233</v>
      </c>
      <c r="BF100">
        <v>12</v>
      </c>
      <c r="BH100">
        <v>152</v>
      </c>
      <c r="BK100" t="s">
        <v>5113</v>
      </c>
      <c r="CD100" s="1" t="s">
        <v>674</v>
      </c>
      <c r="CG100">
        <v>577</v>
      </c>
      <c r="CH100">
        <v>281</v>
      </c>
      <c r="CI100" t="s">
        <v>5229</v>
      </c>
      <c r="CJ100">
        <v>5</v>
      </c>
      <c r="CT100">
        <v>5</v>
      </c>
      <c r="CU100">
        <v>23</v>
      </c>
      <c r="CV100">
        <v>131</v>
      </c>
      <c r="CY100" t="s">
        <v>5234</v>
      </c>
    </row>
    <row r="101" spans="1:104" x14ac:dyDescent="0.25">
      <c r="A101" t="s">
        <v>513</v>
      </c>
      <c r="B101" t="s">
        <v>5235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244</v>
      </c>
      <c r="CV101">
        <v>128</v>
      </c>
      <c r="CW101">
        <v>60</v>
      </c>
    </row>
    <row r="102" spans="1:104" x14ac:dyDescent="0.25">
      <c r="A102" t="s">
        <v>515</v>
      </c>
      <c r="B102" t="s">
        <v>5170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5090</v>
      </c>
      <c r="CT102">
        <v>5</v>
      </c>
      <c r="CU102">
        <v>25</v>
      </c>
      <c r="CV102">
        <v>108</v>
      </c>
      <c r="CY102" t="s">
        <v>5221</v>
      </c>
    </row>
    <row r="103" spans="1:104" x14ac:dyDescent="0.25">
      <c r="A103" t="s">
        <v>516</v>
      </c>
      <c r="B103" t="s">
        <v>5236</v>
      </c>
      <c r="BF103">
        <v>13</v>
      </c>
      <c r="BG103">
        <v>18</v>
      </c>
      <c r="BH103">
        <v>174</v>
      </c>
      <c r="BK103" t="s">
        <v>5237</v>
      </c>
      <c r="BL103" t="b">
        <v>0</v>
      </c>
      <c r="CD103">
        <v>14</v>
      </c>
      <c r="CE103">
        <v>8</v>
      </c>
      <c r="CF103">
        <v>3</v>
      </c>
      <c r="CG103">
        <v>442</v>
      </c>
      <c r="CH103">
        <v>186</v>
      </c>
      <c r="CI103" t="s">
        <v>5092</v>
      </c>
      <c r="CT103">
        <v>8</v>
      </c>
      <c r="CU103">
        <v>244</v>
      </c>
      <c r="CV103">
        <v>105</v>
      </c>
      <c r="CW103">
        <v>60</v>
      </c>
    </row>
    <row r="104" spans="1:104" x14ac:dyDescent="0.25">
      <c r="A104" t="s">
        <v>519</v>
      </c>
      <c r="B104" t="s">
        <v>5238</v>
      </c>
      <c r="BF104">
        <v>13</v>
      </c>
      <c r="BK104" t="s">
        <v>5239</v>
      </c>
      <c r="BL104" t="b">
        <v>0</v>
      </c>
      <c r="CD104">
        <v>5</v>
      </c>
      <c r="CE104">
        <v>17</v>
      </c>
      <c r="CF104">
        <v>18</v>
      </c>
      <c r="CI104" t="s">
        <v>5097</v>
      </c>
    </row>
    <row r="105" spans="1:104" x14ac:dyDescent="0.25">
      <c r="A105" t="s">
        <v>534</v>
      </c>
      <c r="B105" t="s">
        <v>5240</v>
      </c>
      <c r="BF105">
        <v>13</v>
      </c>
      <c r="BK105" t="s">
        <v>5134</v>
      </c>
      <c r="BL105" t="b">
        <v>0</v>
      </c>
      <c r="CD105">
        <v>10</v>
      </c>
      <c r="CE105">
        <v>222</v>
      </c>
      <c r="CF105">
        <v>16</v>
      </c>
      <c r="CG105">
        <v>212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5241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5105</v>
      </c>
      <c r="CT106">
        <v>5</v>
      </c>
      <c r="CZ106" t="s">
        <v>382</v>
      </c>
    </row>
    <row r="107" spans="1:104" x14ac:dyDescent="0.25">
      <c r="A107" t="s">
        <v>538</v>
      </c>
      <c r="B107" t="s">
        <v>5089</v>
      </c>
      <c r="CD107">
        <v>10</v>
      </c>
      <c r="CE107">
        <v>222</v>
      </c>
      <c r="CF107">
        <v>39</v>
      </c>
      <c r="CG107">
        <v>212</v>
      </c>
      <c r="CJ107" t="s">
        <v>316</v>
      </c>
      <c r="CT107">
        <v>5</v>
      </c>
    </row>
    <row r="108" spans="1:104" x14ac:dyDescent="0.25">
      <c r="A108" t="s">
        <v>259</v>
      </c>
      <c r="B108" t="s">
        <v>5242</v>
      </c>
      <c r="CD108">
        <v>5</v>
      </c>
      <c r="CE108">
        <v>17</v>
      </c>
      <c r="CF108">
        <v>68</v>
      </c>
      <c r="CI108" t="s">
        <v>5162</v>
      </c>
      <c r="CT108">
        <v>5</v>
      </c>
    </row>
    <row r="109" spans="1:104" x14ac:dyDescent="0.25">
      <c r="A109" t="s">
        <v>60</v>
      </c>
      <c r="B109" t="s">
        <v>5243</v>
      </c>
      <c r="CD109">
        <v>8</v>
      </c>
      <c r="CE109">
        <v>280</v>
      </c>
      <c r="CF109">
        <v>65</v>
      </c>
      <c r="CG109">
        <v>153</v>
      </c>
      <c r="CT109">
        <v>5</v>
      </c>
    </row>
    <row r="110" spans="1:104" x14ac:dyDescent="0.25">
      <c r="A110" t="s">
        <v>62</v>
      </c>
      <c r="B110" t="s">
        <v>5244</v>
      </c>
      <c r="CD110">
        <v>5</v>
      </c>
      <c r="CE110">
        <v>20</v>
      </c>
      <c r="CF110">
        <v>95</v>
      </c>
      <c r="CI110" t="s">
        <v>5245</v>
      </c>
      <c r="CT110">
        <v>5</v>
      </c>
    </row>
    <row r="111" spans="1:104" x14ac:dyDescent="0.25">
      <c r="A111" t="s">
        <v>434</v>
      </c>
      <c r="B111" t="s">
        <v>5246</v>
      </c>
      <c r="CD111">
        <v>8</v>
      </c>
      <c r="CE111">
        <v>280</v>
      </c>
      <c r="CF111">
        <v>91</v>
      </c>
      <c r="CG111">
        <v>153</v>
      </c>
      <c r="CT111">
        <v>5</v>
      </c>
    </row>
    <row r="112" spans="1:104" x14ac:dyDescent="0.25">
      <c r="A112" t="s">
        <v>436</v>
      </c>
      <c r="B112" t="s">
        <v>5247</v>
      </c>
      <c r="CD112">
        <v>5</v>
      </c>
      <c r="CE112">
        <v>17</v>
      </c>
      <c r="CF112">
        <v>119</v>
      </c>
      <c r="CI112" t="s">
        <v>5248</v>
      </c>
      <c r="CT112">
        <v>5</v>
      </c>
    </row>
    <row r="113" spans="1:104" x14ac:dyDescent="0.25">
      <c r="A113" t="s">
        <v>539</v>
      </c>
      <c r="B113" t="s">
        <v>5249</v>
      </c>
      <c r="CD113">
        <v>8</v>
      </c>
      <c r="CE113">
        <v>280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5250</v>
      </c>
      <c r="CD114">
        <v>13</v>
      </c>
      <c r="CE114">
        <v>17</v>
      </c>
      <c r="CF114">
        <v>143</v>
      </c>
      <c r="CI114" t="s">
        <v>5106</v>
      </c>
      <c r="CJ114" t="b">
        <v>0</v>
      </c>
      <c r="CT114">
        <v>5</v>
      </c>
    </row>
    <row r="115" spans="1:104" x14ac:dyDescent="0.25">
      <c r="A115" t="s">
        <v>543</v>
      </c>
      <c r="B115" t="s">
        <v>5083</v>
      </c>
      <c r="CD115">
        <v>5</v>
      </c>
      <c r="CE115">
        <v>17</v>
      </c>
      <c r="CF115">
        <v>168</v>
      </c>
      <c r="CI115" t="s">
        <v>5118</v>
      </c>
      <c r="CT115">
        <v>5</v>
      </c>
    </row>
    <row r="116" spans="1:104" x14ac:dyDescent="0.25">
      <c r="A116" t="s">
        <v>544</v>
      </c>
      <c r="B116" t="s">
        <v>5251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5252</v>
      </c>
    </row>
    <row r="117" spans="1:104" x14ac:dyDescent="0.25">
      <c r="A117" t="s">
        <v>547</v>
      </c>
      <c r="B117" t="s">
        <v>5253</v>
      </c>
      <c r="CD117">
        <v>14</v>
      </c>
      <c r="CE117">
        <v>8</v>
      </c>
      <c r="CF117">
        <v>195</v>
      </c>
      <c r="CG117">
        <v>442</v>
      </c>
      <c r="CH117">
        <v>81</v>
      </c>
      <c r="CI117" t="s">
        <v>5093</v>
      </c>
      <c r="CT117">
        <v>8</v>
      </c>
      <c r="CU117">
        <v>244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5254</v>
      </c>
      <c r="CD118">
        <v>111</v>
      </c>
      <c r="CJ118">
        <v>2</v>
      </c>
    </row>
    <row r="119" spans="1:104" x14ac:dyDescent="0.25">
      <c r="A119" t="s">
        <v>562</v>
      </c>
      <c r="B119" t="s">
        <v>5255</v>
      </c>
      <c r="CD119">
        <v>12</v>
      </c>
      <c r="CE119">
        <v>17</v>
      </c>
      <c r="CF119">
        <v>211</v>
      </c>
      <c r="CI119" t="s">
        <v>5125</v>
      </c>
      <c r="CT119" t="s">
        <v>332</v>
      </c>
    </row>
    <row r="120" spans="1:104" x14ac:dyDescent="0.25">
      <c r="A120" t="s">
        <v>366</v>
      </c>
      <c r="B120" t="s">
        <v>5256</v>
      </c>
      <c r="CD120">
        <v>12</v>
      </c>
      <c r="CF120">
        <v>231</v>
      </c>
      <c r="CI120" t="s">
        <v>5108</v>
      </c>
      <c r="CT120">
        <v>5</v>
      </c>
      <c r="CZ120" t="s">
        <v>332</v>
      </c>
    </row>
    <row r="121" spans="1:104" x14ac:dyDescent="0.25">
      <c r="A121" t="s">
        <v>368</v>
      </c>
      <c r="B121" t="s">
        <v>5257</v>
      </c>
      <c r="CD121">
        <v>12</v>
      </c>
      <c r="CF121">
        <v>251</v>
      </c>
      <c r="CI121" t="s">
        <v>5113</v>
      </c>
      <c r="CT121">
        <v>5</v>
      </c>
    </row>
    <row r="122" spans="1:104" x14ac:dyDescent="0.25">
      <c r="A122" t="s">
        <v>370</v>
      </c>
      <c r="B122" t="s">
        <v>5258</v>
      </c>
      <c r="CD122">
        <v>210</v>
      </c>
      <c r="CE122">
        <v>222</v>
      </c>
      <c r="CF122">
        <v>209</v>
      </c>
      <c r="CG122">
        <v>212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212</v>
      </c>
      <c r="CT123">
        <v>5</v>
      </c>
    </row>
    <row r="124" spans="1:104" x14ac:dyDescent="0.25">
      <c r="A124" t="s">
        <v>294</v>
      </c>
      <c r="B124" t="s">
        <v>5259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5260</v>
      </c>
      <c r="CT125">
        <v>5</v>
      </c>
    </row>
    <row r="126" spans="1:104" x14ac:dyDescent="0.25">
      <c r="A126" t="s">
        <v>590</v>
      </c>
      <c r="B126" t="s">
        <v>5261</v>
      </c>
      <c r="CT126">
        <v>5</v>
      </c>
    </row>
    <row r="127" spans="1:104" x14ac:dyDescent="0.25">
      <c r="A127" t="s">
        <v>592</v>
      </c>
      <c r="B127" t="s">
        <v>5262</v>
      </c>
      <c r="CT127">
        <v>5</v>
      </c>
    </row>
    <row r="128" spans="1:104" x14ac:dyDescent="0.25">
      <c r="A128" t="s">
        <v>594</v>
      </c>
      <c r="B128" t="s">
        <v>5263</v>
      </c>
      <c r="CT128">
        <v>5</v>
      </c>
    </row>
    <row r="129" spans="1:104" x14ac:dyDescent="0.25">
      <c r="A129" t="s">
        <v>596</v>
      </c>
      <c r="B129" t="s">
        <v>5264</v>
      </c>
      <c r="CT129">
        <v>5</v>
      </c>
    </row>
    <row r="130" spans="1:104" x14ac:dyDescent="0.25">
      <c r="A130" t="s">
        <v>277</v>
      </c>
      <c r="B130" t="s">
        <v>5265</v>
      </c>
      <c r="CT130">
        <v>5</v>
      </c>
      <c r="CU130">
        <v>23</v>
      </c>
      <c r="CV130">
        <v>107</v>
      </c>
      <c r="CY130" t="s">
        <v>5140</v>
      </c>
    </row>
    <row r="131" spans="1:104" x14ac:dyDescent="0.25">
      <c r="A131" t="s">
        <v>279</v>
      </c>
      <c r="B131" t="s">
        <v>5266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5267</v>
      </c>
    </row>
    <row r="133" spans="1:104" x14ac:dyDescent="0.25">
      <c r="A133" t="s">
        <v>283</v>
      </c>
      <c r="B133" t="s">
        <v>5268</v>
      </c>
    </row>
    <row r="134" spans="1:104" x14ac:dyDescent="0.25">
      <c r="A134" t="s">
        <v>285</v>
      </c>
      <c r="B134" t="s">
        <v>5269</v>
      </c>
      <c r="CT134" t="s">
        <v>287</v>
      </c>
    </row>
    <row r="135" spans="1:104" x14ac:dyDescent="0.25">
      <c r="A135" t="s">
        <v>288</v>
      </c>
      <c r="B135" t="s">
        <v>5270</v>
      </c>
      <c r="CT135" t="s">
        <v>507</v>
      </c>
    </row>
    <row r="136" spans="1:104" x14ac:dyDescent="0.25">
      <c r="A136" t="s">
        <v>290</v>
      </c>
      <c r="B136" t="s">
        <v>5271</v>
      </c>
      <c r="CT136" t="str">
        <f>mg01s.RandUniform</f>
        <v>Равномерное</v>
      </c>
      <c r="CU136" t="s">
        <v>551</v>
      </c>
    </row>
    <row r="137" spans="1:104" x14ac:dyDescent="0.25">
      <c r="A137" t="s">
        <v>292</v>
      </c>
      <c r="B137" t="s">
        <v>5272</v>
      </c>
      <c r="CT137" t="str">
        <f>mg01s.RandNormal</f>
        <v>Нормальное</v>
      </c>
      <c r="CU137" t="s">
        <v>554</v>
      </c>
    </row>
    <row r="138" spans="1:104" x14ac:dyDescent="0.25">
      <c r="A138" t="s">
        <v>609</v>
      </c>
      <c r="B138" t="s">
        <v>5273</v>
      </c>
      <c r="CT138" t="str">
        <f>mg01s.RandBernoulli</f>
        <v>Бернулли</v>
      </c>
      <c r="CU138" t="s">
        <v>376</v>
      </c>
    </row>
    <row r="139" spans="1:104" x14ac:dyDescent="0.25">
      <c r="A139" t="s">
        <v>611</v>
      </c>
      <c r="B139" t="s">
        <v>5274</v>
      </c>
      <c r="CT139" t="str">
        <f>mg01s.RandBinomial</f>
        <v>Биномиальное</v>
      </c>
      <c r="CU139" t="s">
        <v>379</v>
      </c>
    </row>
    <row r="140" spans="1:104" x14ac:dyDescent="0.25">
      <c r="A140" t="s">
        <v>613</v>
      </c>
      <c r="B140" t="s">
        <v>5275</v>
      </c>
      <c r="CT140" t="str">
        <f>mg01s.RandPoisson</f>
        <v>Пуассона</v>
      </c>
      <c r="CU140" t="s">
        <v>382</v>
      </c>
    </row>
    <row r="141" spans="1:104" x14ac:dyDescent="0.25">
      <c r="A141" t="s">
        <v>298</v>
      </c>
      <c r="B141" t="s">
        <v>5276</v>
      </c>
      <c r="CT141" t="str">
        <f>mg01s.RandPatterned</f>
        <v>Модельное</v>
      </c>
      <c r="CU141" t="s">
        <v>599</v>
      </c>
    </row>
    <row r="142" spans="1:104" x14ac:dyDescent="0.25">
      <c r="A142" t="s">
        <v>92</v>
      </c>
      <c r="B142" t="s">
        <v>5088</v>
      </c>
      <c r="CT142" t="str">
        <f>mg01s.RandDiscrete</f>
        <v>Дискретное</v>
      </c>
      <c r="CU142" t="s">
        <v>332</v>
      </c>
    </row>
    <row r="143" spans="1:104" x14ac:dyDescent="0.25">
      <c r="A143" t="s">
        <v>304</v>
      </c>
      <c r="B143" t="s">
        <v>5277</v>
      </c>
    </row>
    <row r="144" spans="1:104" x14ac:dyDescent="0.25">
      <c r="A144" t="s">
        <v>306</v>
      </c>
      <c r="B144" t="s">
        <v>5278</v>
      </c>
    </row>
    <row r="145" spans="1:2" x14ac:dyDescent="0.25">
      <c r="A145" t="s">
        <v>98</v>
      </c>
      <c r="B145" t="s">
        <v>5279</v>
      </c>
    </row>
    <row r="146" spans="1:2" x14ac:dyDescent="0.25">
      <c r="A146" t="s">
        <v>311</v>
      </c>
      <c r="B146" t="s">
        <v>5280</v>
      </c>
    </row>
    <row r="147" spans="1:2" x14ac:dyDescent="0.25">
      <c r="A147" t="s">
        <v>313</v>
      </c>
      <c r="B147" t="s">
        <v>5281</v>
      </c>
    </row>
    <row r="148" spans="1:2" x14ac:dyDescent="0.25">
      <c r="A148" t="s">
        <v>102</v>
      </c>
      <c r="B148" t="s">
        <v>5282</v>
      </c>
    </row>
    <row r="149" spans="1:2" x14ac:dyDescent="0.25">
      <c r="A149" t="s">
        <v>319</v>
      </c>
      <c r="B149" t="s">
        <v>5283</v>
      </c>
    </row>
    <row r="150" spans="1:2" x14ac:dyDescent="0.25">
      <c r="A150" t="s">
        <v>105</v>
      </c>
      <c r="B150" t="s">
        <v>5284</v>
      </c>
    </row>
    <row r="151" spans="1:2" x14ac:dyDescent="0.25">
      <c r="A151" t="s">
        <v>323</v>
      </c>
      <c r="B151" t="s">
        <v>5285</v>
      </c>
    </row>
    <row r="152" spans="1:2" x14ac:dyDescent="0.25">
      <c r="A152" t="s">
        <v>108</v>
      </c>
      <c r="B152" t="s">
        <v>5286</v>
      </c>
    </row>
    <row r="153" spans="1:2" x14ac:dyDescent="0.25">
      <c r="A153" t="s">
        <v>110</v>
      </c>
      <c r="B153" t="s">
        <v>5287</v>
      </c>
    </row>
    <row r="154" spans="1:2" x14ac:dyDescent="0.25">
      <c r="A154" t="s">
        <v>112</v>
      </c>
      <c r="B154" t="s">
        <v>5288</v>
      </c>
    </row>
    <row r="155" spans="1:2" x14ac:dyDescent="0.25">
      <c r="A155" t="s">
        <v>336</v>
      </c>
      <c r="B155" t="s">
        <v>5289</v>
      </c>
    </row>
    <row r="156" spans="1:2" x14ac:dyDescent="0.25">
      <c r="A156" t="s">
        <v>120</v>
      </c>
      <c r="B156" t="s">
        <v>5290</v>
      </c>
    </row>
    <row r="157" spans="1:2" x14ac:dyDescent="0.25">
      <c r="A157" t="s">
        <v>349</v>
      </c>
      <c r="B157" t="s">
        <v>5291</v>
      </c>
    </row>
    <row r="158" spans="1:2" x14ac:dyDescent="0.25">
      <c r="A158" t="s">
        <v>350</v>
      </c>
      <c r="B158" t="s">
        <v>5292</v>
      </c>
    </row>
    <row r="159" spans="1:2" x14ac:dyDescent="0.25">
      <c r="A159" t="s">
        <v>438</v>
      </c>
      <c r="B159" t="s">
        <v>5293</v>
      </c>
    </row>
    <row r="160" spans="1:2" x14ac:dyDescent="0.25">
      <c r="A160" t="s">
        <v>353</v>
      </c>
      <c r="B160" t="s">
        <v>5294</v>
      </c>
    </row>
    <row r="161" spans="1:2" x14ac:dyDescent="0.25">
      <c r="A161" t="s">
        <v>355</v>
      </c>
      <c r="B161" t="s">
        <v>5295</v>
      </c>
    </row>
    <row r="162" spans="1:2" x14ac:dyDescent="0.25">
      <c r="A162" t="s">
        <v>129</v>
      </c>
      <c r="B162" t="s">
        <v>5296</v>
      </c>
    </row>
    <row r="163" spans="1:2" x14ac:dyDescent="0.25">
      <c r="A163" t="s">
        <v>363</v>
      </c>
      <c r="B163" t="s">
        <v>5297</v>
      </c>
    </row>
    <row r="164" spans="1:2" x14ac:dyDescent="0.25">
      <c r="A164" t="s">
        <v>365</v>
      </c>
      <c r="B164" t="s">
        <v>5298</v>
      </c>
    </row>
    <row r="165" spans="1:2" x14ac:dyDescent="0.25">
      <c r="A165" t="s">
        <v>374</v>
      </c>
      <c r="B165" t="s">
        <v>5299</v>
      </c>
    </row>
    <row r="166" spans="1:2" x14ac:dyDescent="0.25">
      <c r="A166" t="s">
        <v>135</v>
      </c>
      <c r="B166" t="s">
        <v>5300</v>
      </c>
    </row>
    <row r="167" spans="1:2" x14ac:dyDescent="0.25">
      <c r="A167" t="s">
        <v>137</v>
      </c>
      <c r="B167" t="s">
        <v>5301</v>
      </c>
    </row>
    <row r="168" spans="1:2" x14ac:dyDescent="0.25">
      <c r="A168" t="s">
        <v>139</v>
      </c>
      <c r="B168" t="s">
        <v>5302</v>
      </c>
    </row>
    <row r="169" spans="1:2" x14ac:dyDescent="0.25">
      <c r="A169" t="s">
        <v>384</v>
      </c>
      <c r="B169" t="s">
        <v>5303</v>
      </c>
    </row>
    <row r="170" spans="1:2" x14ac:dyDescent="0.25">
      <c r="A170" t="s">
        <v>462</v>
      </c>
      <c r="B170" t="s">
        <v>5304</v>
      </c>
    </row>
    <row r="171" spans="1:2" x14ac:dyDescent="0.25">
      <c r="A171" t="s">
        <v>464</v>
      </c>
      <c r="B171" t="s">
        <v>5305</v>
      </c>
    </row>
    <row r="172" spans="1:2" x14ac:dyDescent="0.25">
      <c r="A172" t="s">
        <v>388</v>
      </c>
      <c r="B172" t="s">
        <v>5306</v>
      </c>
    </row>
    <row r="173" spans="1:2" x14ac:dyDescent="0.25">
      <c r="A173" t="s">
        <v>147</v>
      </c>
      <c r="B173" t="s">
        <v>5307</v>
      </c>
    </row>
    <row r="174" spans="1:2" x14ac:dyDescent="0.25">
      <c r="A174" t="s">
        <v>385</v>
      </c>
      <c r="B174" t="s">
        <v>5308</v>
      </c>
    </row>
    <row r="175" spans="1:2" x14ac:dyDescent="0.25">
      <c r="A175" t="s">
        <v>151</v>
      </c>
      <c r="B175" t="s">
        <v>5309</v>
      </c>
    </row>
    <row r="176" spans="1:2" x14ac:dyDescent="0.25">
      <c r="A176" t="s">
        <v>406</v>
      </c>
      <c r="B176" t="s">
        <v>5310</v>
      </c>
    </row>
    <row r="177" spans="1:2" x14ac:dyDescent="0.25">
      <c r="A177" t="s">
        <v>408</v>
      </c>
      <c r="B177" t="s">
        <v>5311</v>
      </c>
    </row>
    <row r="178" spans="1:2" x14ac:dyDescent="0.25">
      <c r="A178" t="s">
        <v>503</v>
      </c>
      <c r="B178" t="s">
        <v>5312</v>
      </c>
    </row>
    <row r="179" spans="1:2" x14ac:dyDescent="0.25">
      <c r="A179" t="s">
        <v>410</v>
      </c>
      <c r="B179" t="s">
        <v>5313</v>
      </c>
    </row>
    <row r="180" spans="1:2" x14ac:dyDescent="0.25">
      <c r="A180" t="s">
        <v>412</v>
      </c>
      <c r="B180" t="s">
        <v>5314</v>
      </c>
    </row>
    <row r="181" spans="1:2" x14ac:dyDescent="0.25">
      <c r="A181" t="s">
        <v>161</v>
      </c>
      <c r="B181" t="s">
        <v>5315</v>
      </c>
    </row>
    <row r="182" spans="1:2" x14ac:dyDescent="0.25">
      <c r="A182" t="s">
        <v>415</v>
      </c>
      <c r="B182" t="s">
        <v>5316</v>
      </c>
    </row>
    <row r="183" spans="1:2" x14ac:dyDescent="0.25">
      <c r="A183" t="s">
        <v>173</v>
      </c>
      <c r="B183" t="s">
        <v>5317</v>
      </c>
    </row>
    <row r="184" spans="1:2" x14ac:dyDescent="0.25">
      <c r="A184" t="s">
        <v>167</v>
      </c>
      <c r="B184" t="s">
        <v>5318</v>
      </c>
    </row>
    <row r="185" spans="1:2" x14ac:dyDescent="0.25">
      <c r="A185" t="s">
        <v>169</v>
      </c>
      <c r="B185" t="s">
        <v>5319</v>
      </c>
    </row>
    <row r="186" spans="1:2" x14ac:dyDescent="0.25">
      <c r="A186" t="s">
        <v>444</v>
      </c>
      <c r="B186" t="s">
        <v>5320</v>
      </c>
    </row>
    <row r="187" spans="1:2" x14ac:dyDescent="0.25">
      <c r="A187" t="s">
        <v>18</v>
      </c>
      <c r="B187" t="s">
        <v>5321</v>
      </c>
    </row>
    <row r="188" spans="1:2" x14ac:dyDescent="0.25">
      <c r="A188" t="s">
        <v>175</v>
      </c>
      <c r="B188" t="s">
        <v>5322</v>
      </c>
    </row>
    <row r="189" spans="1:2" x14ac:dyDescent="0.25">
      <c r="A189" t="s">
        <v>181</v>
      </c>
      <c r="B189" t="s">
        <v>5323</v>
      </c>
    </row>
    <row r="190" spans="1:2" x14ac:dyDescent="0.25">
      <c r="A190" t="s">
        <v>64</v>
      </c>
      <c r="B190" t="s">
        <v>5324</v>
      </c>
    </row>
    <row r="191" spans="1:2" x14ac:dyDescent="0.25">
      <c r="A191" t="s">
        <v>185</v>
      </c>
      <c r="B191" t="s">
        <v>5325</v>
      </c>
    </row>
    <row r="192" spans="1:2" x14ac:dyDescent="0.25">
      <c r="A192" t="s">
        <v>192</v>
      </c>
      <c r="B192" t="s">
        <v>5326</v>
      </c>
    </row>
    <row r="193" spans="1:2" x14ac:dyDescent="0.25">
      <c r="A193" t="s">
        <v>67</v>
      </c>
      <c r="B193" t="s">
        <v>5327</v>
      </c>
    </row>
    <row r="194" spans="1:2" x14ac:dyDescent="0.25">
      <c r="A194" t="s">
        <v>197</v>
      </c>
      <c r="B194" t="s">
        <v>5328</v>
      </c>
    </row>
    <row r="195" spans="1:2" x14ac:dyDescent="0.25">
      <c r="A195" t="s">
        <v>199</v>
      </c>
      <c r="B195" t="s">
        <v>5329</v>
      </c>
    </row>
    <row r="196" spans="1:2" x14ac:dyDescent="0.25">
      <c r="A196" t="s">
        <v>44</v>
      </c>
      <c r="B196" t="s">
        <v>5330</v>
      </c>
    </row>
    <row r="197" spans="1:2" x14ac:dyDescent="0.25">
      <c r="A197" t="s">
        <v>46</v>
      </c>
      <c r="B197" t="s">
        <v>5331</v>
      </c>
    </row>
    <row r="198" spans="1:2" x14ac:dyDescent="0.25">
      <c r="A198" t="s">
        <v>212</v>
      </c>
      <c r="B198" t="s">
        <v>5332</v>
      </c>
    </row>
    <row r="199" spans="1:2" x14ac:dyDescent="0.25">
      <c r="A199" t="s">
        <v>215</v>
      </c>
      <c r="B199" t="s">
        <v>5333</v>
      </c>
    </row>
    <row r="200" spans="1:2" x14ac:dyDescent="0.25">
      <c r="A200" t="s">
        <v>77</v>
      </c>
      <c r="B200" t="s">
        <v>5334</v>
      </c>
    </row>
    <row r="201" spans="1:2" x14ac:dyDescent="0.25">
      <c r="A201" t="s">
        <v>223</v>
      </c>
      <c r="B201" t="s">
        <v>5335</v>
      </c>
    </row>
    <row r="202" spans="1:2" x14ac:dyDescent="0.25">
      <c r="A202" t="s">
        <v>1</v>
      </c>
      <c r="B202" t="s">
        <v>5336</v>
      </c>
    </row>
    <row r="203" spans="1:2" x14ac:dyDescent="0.25">
      <c r="A203" t="s">
        <v>225</v>
      </c>
      <c r="B203" t="s">
        <v>5337</v>
      </c>
    </row>
    <row r="204" spans="1:2" x14ac:dyDescent="0.25">
      <c r="A204" t="s">
        <v>4</v>
      </c>
      <c r="B204" t="s">
        <v>5338</v>
      </c>
    </row>
    <row r="205" spans="1:2" x14ac:dyDescent="0.25">
      <c r="A205" t="s">
        <v>233</v>
      </c>
      <c r="B205" t="s">
        <v>5339</v>
      </c>
    </row>
    <row r="206" spans="1:2" x14ac:dyDescent="0.25">
      <c r="A206" t="s">
        <v>6</v>
      </c>
      <c r="B206" t="s">
        <v>5340</v>
      </c>
    </row>
    <row r="207" spans="1:2" x14ac:dyDescent="0.25">
      <c r="A207" t="s">
        <v>241</v>
      </c>
      <c r="B207" t="s">
        <v>5341</v>
      </c>
    </row>
    <row r="208" spans="1:2" x14ac:dyDescent="0.25">
      <c r="A208" t="s">
        <v>11</v>
      </c>
      <c r="B208" t="s">
        <v>5342</v>
      </c>
    </row>
    <row r="209" spans="1:103" x14ac:dyDescent="0.25">
      <c r="A209" t="s">
        <v>13</v>
      </c>
      <c r="B209" t="s">
        <v>5343</v>
      </c>
    </row>
    <row r="210" spans="1:103" x14ac:dyDescent="0.25">
      <c r="A210" t="s">
        <v>254</v>
      </c>
      <c r="B210" t="s">
        <v>5344</v>
      </c>
    </row>
    <row r="211" spans="1:103" x14ac:dyDescent="0.25">
      <c r="A211" t="s">
        <v>256</v>
      </c>
      <c r="B211" t="s">
        <v>5345</v>
      </c>
    </row>
    <row r="212" spans="1:103" x14ac:dyDescent="0.25">
      <c r="A212" t="s">
        <v>258</v>
      </c>
      <c r="B212" t="s">
        <v>5346</v>
      </c>
    </row>
    <row r="213" spans="1:103" x14ac:dyDescent="0.25">
      <c r="A213" t="s">
        <v>533</v>
      </c>
      <c r="B213" t="s">
        <v>5347</v>
      </c>
      <c r="BS213" t="b">
        <v>1</v>
      </c>
    </row>
    <row r="214" spans="1:103" x14ac:dyDescent="0.25">
      <c r="A214" t="s">
        <v>17</v>
      </c>
      <c r="B214" t="s">
        <v>5348</v>
      </c>
    </row>
    <row r="215" spans="1:103" x14ac:dyDescent="0.25">
      <c r="A215" t="s">
        <v>265</v>
      </c>
      <c r="B215" t="s">
        <v>5349</v>
      </c>
    </row>
    <row r="216" spans="1:103" x14ac:dyDescent="0.25">
      <c r="A216" t="s">
        <v>550</v>
      </c>
      <c r="B216" t="s">
        <v>5350</v>
      </c>
    </row>
    <row r="217" spans="1:103" x14ac:dyDescent="0.25">
      <c r="A217" t="s">
        <v>267</v>
      </c>
      <c r="B217" t="s">
        <v>5351</v>
      </c>
    </row>
    <row r="218" spans="1:103" x14ac:dyDescent="0.25">
      <c r="A218" t="s">
        <v>262</v>
      </c>
      <c r="B218" t="s">
        <v>5352</v>
      </c>
    </row>
    <row r="219" spans="1:103" x14ac:dyDescent="0.25">
      <c r="A219" t="s">
        <v>272</v>
      </c>
      <c r="B219" t="s">
        <v>5353</v>
      </c>
    </row>
    <row r="220" spans="1:103" x14ac:dyDescent="0.25">
      <c r="A220" t="s">
        <v>36</v>
      </c>
      <c r="B220" t="s">
        <v>5354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5355</v>
      </c>
      <c r="AE221" t="b">
        <v>1</v>
      </c>
    </row>
    <row r="222" spans="1:103" x14ac:dyDescent="0.25">
      <c r="A222" t="s">
        <v>269</v>
      </c>
      <c r="B222" t="s">
        <v>5356</v>
      </c>
      <c r="CY222" t="b">
        <v>1</v>
      </c>
    </row>
    <row r="223" spans="1:103" x14ac:dyDescent="0.25">
      <c r="A223" t="s">
        <v>40</v>
      </c>
      <c r="B223" t="s">
        <v>5357</v>
      </c>
    </row>
    <row r="224" spans="1:103" x14ac:dyDescent="0.25">
      <c r="A224" t="s">
        <v>42</v>
      </c>
      <c r="B224" t="s">
        <v>5358</v>
      </c>
      <c r="CI224" t="b">
        <v>1</v>
      </c>
    </row>
    <row r="225" spans="1:2" x14ac:dyDescent="0.25">
      <c r="A225" t="s">
        <v>275</v>
      </c>
      <c r="B225" t="s">
        <v>5359</v>
      </c>
    </row>
    <row r="226" spans="1:2" x14ac:dyDescent="0.25">
      <c r="A226" t="s">
        <v>73</v>
      </c>
      <c r="B226" t="s">
        <v>5360</v>
      </c>
    </row>
    <row r="227" spans="1:2" x14ac:dyDescent="0.25">
      <c r="A227" t="s">
        <v>75</v>
      </c>
      <c r="B227" t="s">
        <v>5361</v>
      </c>
    </row>
    <row r="228" spans="1:2" x14ac:dyDescent="0.25">
      <c r="A228" t="s">
        <v>88</v>
      </c>
      <c r="B228" t="s">
        <v>5362</v>
      </c>
    </row>
    <row r="229" spans="1:2" x14ac:dyDescent="0.25">
      <c r="A229" t="s">
        <v>49</v>
      </c>
      <c r="B229" t="s">
        <v>5363</v>
      </c>
    </row>
    <row r="230" spans="1:2" x14ac:dyDescent="0.25">
      <c r="A230" t="s">
        <v>51</v>
      </c>
      <c r="B230" t="s">
        <v>5364</v>
      </c>
    </row>
    <row r="231" spans="1:2" x14ac:dyDescent="0.25">
      <c r="A231" t="s">
        <v>53</v>
      </c>
      <c r="B231" t="s">
        <v>5365</v>
      </c>
    </row>
    <row r="232" spans="1:2" x14ac:dyDescent="0.25">
      <c r="A232" t="s">
        <v>55</v>
      </c>
      <c r="B232" t="s">
        <v>5366</v>
      </c>
    </row>
    <row r="233" spans="1:2" x14ac:dyDescent="0.25">
      <c r="A233" t="s">
        <v>57</v>
      </c>
      <c r="B233" t="s">
        <v>5367</v>
      </c>
    </row>
    <row r="234" spans="1:2" x14ac:dyDescent="0.25">
      <c r="A234" t="s">
        <v>59</v>
      </c>
      <c r="B234" t="s">
        <v>5368</v>
      </c>
    </row>
    <row r="235" spans="1:2" x14ac:dyDescent="0.25">
      <c r="A235" t="s">
        <v>24</v>
      </c>
      <c r="B235" t="s">
        <v>5369</v>
      </c>
    </row>
    <row r="236" spans="1:2" x14ac:dyDescent="0.25">
      <c r="A236" t="s">
        <v>32</v>
      </c>
      <c r="B236" t="s">
        <v>5370</v>
      </c>
    </row>
    <row r="237" spans="1:2" x14ac:dyDescent="0.25">
      <c r="A237" t="s">
        <v>101</v>
      </c>
      <c r="B237" t="s">
        <v>5371</v>
      </c>
    </row>
    <row r="238" spans="1:2" x14ac:dyDescent="0.25">
      <c r="A238" t="s">
        <v>159</v>
      </c>
      <c r="B238" t="s">
        <v>5372</v>
      </c>
    </row>
    <row r="239" spans="1:2" x14ac:dyDescent="0.25">
      <c r="A239" t="s">
        <v>107</v>
      </c>
      <c r="B239" t="s">
        <v>5373</v>
      </c>
    </row>
    <row r="240" spans="1:2" x14ac:dyDescent="0.25">
      <c r="A240" t="s">
        <v>15</v>
      </c>
      <c r="B240" t="s">
        <v>5374</v>
      </c>
    </row>
    <row r="241" spans="1:2" x14ac:dyDescent="0.25">
      <c r="A241" t="s">
        <v>171</v>
      </c>
      <c r="B241" t="s">
        <v>5375</v>
      </c>
    </row>
    <row r="242" spans="1:2" x14ac:dyDescent="0.25">
      <c r="A242" t="s">
        <v>117</v>
      </c>
      <c r="B242" t="s">
        <v>5376</v>
      </c>
    </row>
    <row r="243" spans="1:2" x14ac:dyDescent="0.25">
      <c r="A243" t="s">
        <v>119</v>
      </c>
      <c r="B243" t="s">
        <v>5377</v>
      </c>
    </row>
    <row r="244" spans="1:2" x14ac:dyDescent="0.25">
      <c r="A244" t="s">
        <v>122</v>
      </c>
      <c r="B244" t="s">
        <v>5378</v>
      </c>
    </row>
    <row r="245" spans="1:2" x14ac:dyDescent="0.25">
      <c r="A245" t="s">
        <v>176</v>
      </c>
      <c r="B245" t="s">
        <v>5379</v>
      </c>
    </row>
    <row r="246" spans="1:2" x14ac:dyDescent="0.25">
      <c r="A246" t="s">
        <v>126</v>
      </c>
      <c r="B246" t="s">
        <v>5380</v>
      </c>
    </row>
    <row r="247" spans="1:2" x14ac:dyDescent="0.25">
      <c r="A247" t="s">
        <v>130</v>
      </c>
      <c r="B247" t="s">
        <v>5381</v>
      </c>
    </row>
    <row r="248" spans="1:2" x14ac:dyDescent="0.25">
      <c r="A248" t="s">
        <v>39</v>
      </c>
      <c r="B248" t="s">
        <v>5382</v>
      </c>
    </row>
    <row r="249" spans="1:2" x14ac:dyDescent="0.25">
      <c r="A249" t="s">
        <v>133</v>
      </c>
      <c r="B249" t="s">
        <v>5383</v>
      </c>
    </row>
    <row r="250" spans="1:2" x14ac:dyDescent="0.25">
      <c r="A250" t="s">
        <v>69</v>
      </c>
      <c r="B250" t="s">
        <v>5384</v>
      </c>
    </row>
    <row r="251" spans="1:2" x14ac:dyDescent="0.25">
      <c r="A251" t="s">
        <v>71</v>
      </c>
      <c r="B251" t="s">
        <v>5385</v>
      </c>
    </row>
    <row r="252" spans="1:2" x14ac:dyDescent="0.25">
      <c r="A252" t="s">
        <v>141</v>
      </c>
      <c r="B252" t="s">
        <v>5386</v>
      </c>
    </row>
    <row r="253" spans="1:2" x14ac:dyDescent="0.25">
      <c r="A253" t="s">
        <v>143</v>
      </c>
      <c r="B253" t="s">
        <v>5387</v>
      </c>
    </row>
    <row r="254" spans="1:2" x14ac:dyDescent="0.25">
      <c r="A254" t="s">
        <v>145</v>
      </c>
      <c r="B254" t="s">
        <v>5388</v>
      </c>
    </row>
    <row r="255" spans="1:2" x14ac:dyDescent="0.25">
      <c r="A255" t="s">
        <v>386</v>
      </c>
      <c r="B255" t="s">
        <v>5389</v>
      </c>
    </row>
    <row r="256" spans="1:2" x14ac:dyDescent="0.25">
      <c r="A256" t="s">
        <v>30</v>
      </c>
      <c r="B256" t="s">
        <v>5390</v>
      </c>
    </row>
    <row r="257" spans="1:2" x14ac:dyDescent="0.25">
      <c r="A257" t="s">
        <v>33</v>
      </c>
      <c r="B257" t="s">
        <v>5391</v>
      </c>
    </row>
    <row r="258" spans="1:2" x14ac:dyDescent="0.25">
      <c r="A258" t="s">
        <v>153</v>
      </c>
      <c r="B258" t="s">
        <v>5392</v>
      </c>
    </row>
    <row r="259" spans="1:2" x14ac:dyDescent="0.25">
      <c r="A259" t="s">
        <v>155</v>
      </c>
      <c r="B259" t="s">
        <v>5393</v>
      </c>
    </row>
    <row r="260" spans="1:2" x14ac:dyDescent="0.25">
      <c r="A260" t="s">
        <v>157</v>
      </c>
      <c r="B260" t="s">
        <v>5394</v>
      </c>
    </row>
    <row r="261" spans="1:2" x14ac:dyDescent="0.25">
      <c r="A261" t="s">
        <v>3</v>
      </c>
      <c r="B261" t="s">
        <v>5395</v>
      </c>
    </row>
    <row r="262" spans="1:2" x14ac:dyDescent="0.25">
      <c r="A262" t="s">
        <v>78</v>
      </c>
      <c r="B262" t="s">
        <v>5396</v>
      </c>
    </row>
    <row r="263" spans="1:2" x14ac:dyDescent="0.25">
      <c r="A263" t="s">
        <v>80</v>
      </c>
      <c r="B263" t="s">
        <v>5397</v>
      </c>
    </row>
    <row r="264" spans="1:2" x14ac:dyDescent="0.25">
      <c r="A264" t="s">
        <v>82</v>
      </c>
      <c r="B264" t="s">
        <v>5398</v>
      </c>
    </row>
    <row r="265" spans="1:2" x14ac:dyDescent="0.25">
      <c r="A265" t="s">
        <v>84</v>
      </c>
      <c r="B265" t="s">
        <v>5399</v>
      </c>
    </row>
    <row r="266" spans="1:2" x14ac:dyDescent="0.25">
      <c r="A266" t="s">
        <v>86</v>
      </c>
      <c r="B266" t="s">
        <v>5400</v>
      </c>
    </row>
    <row r="267" spans="1:2" x14ac:dyDescent="0.25">
      <c r="A267" t="s">
        <v>29</v>
      </c>
      <c r="B267" t="s">
        <v>5401</v>
      </c>
    </row>
    <row r="268" spans="1:2" x14ac:dyDescent="0.25">
      <c r="A268" t="s">
        <v>90</v>
      </c>
      <c r="B268" t="s">
        <v>5402</v>
      </c>
    </row>
    <row r="269" spans="1:2" x14ac:dyDescent="0.25">
      <c r="A269" t="s">
        <v>95</v>
      </c>
      <c r="B269" t="s">
        <v>5403</v>
      </c>
    </row>
    <row r="270" spans="1:2" x14ac:dyDescent="0.25">
      <c r="A270" t="s">
        <v>2</v>
      </c>
      <c r="B270" t="s">
        <v>5404</v>
      </c>
    </row>
    <row r="271" spans="1:2" x14ac:dyDescent="0.25">
      <c r="A271" t="s">
        <v>7</v>
      </c>
      <c r="B271" t="s">
        <v>5405</v>
      </c>
    </row>
    <row r="273" spans="1:2" x14ac:dyDescent="0.25">
      <c r="A273" t="s">
        <v>9</v>
      </c>
      <c r="B273" t="s">
        <v>5406</v>
      </c>
    </row>
    <row r="274" spans="1:2" x14ac:dyDescent="0.25">
      <c r="A274" t="s">
        <v>163</v>
      </c>
      <c r="B274" t="s">
        <v>5407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5139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CZ278"/>
  <sheetViews>
    <sheetView topLeftCell="AB67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455</v>
      </c>
      <c r="AF2">
        <v>4</v>
      </c>
      <c r="AH2" s="1" t="s">
        <v>656</v>
      </c>
      <c r="AK2">
        <v>515</v>
      </c>
      <c r="AL2">
        <v>223</v>
      </c>
      <c r="AM2" t="s">
        <v>456</v>
      </c>
      <c r="AN2">
        <v>5</v>
      </c>
      <c r="AP2" s="1" t="s">
        <v>657</v>
      </c>
      <c r="AS2">
        <v>546</v>
      </c>
      <c r="AT2">
        <v>312</v>
      </c>
      <c r="AU2" t="s">
        <v>457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458</v>
      </c>
      <c r="BL2">
        <v>5</v>
      </c>
      <c r="BN2" s="1" t="s">
        <v>659</v>
      </c>
      <c r="BQ2">
        <v>523</v>
      </c>
      <c r="BR2">
        <v>293</v>
      </c>
      <c r="BS2" t="s">
        <v>459</v>
      </c>
      <c r="BT2">
        <v>5</v>
      </c>
      <c r="BV2" s="1" t="s">
        <v>660</v>
      </c>
      <c r="BY2">
        <v>523</v>
      </c>
      <c r="BZ2">
        <v>195</v>
      </c>
      <c r="CA2" t="s">
        <v>460</v>
      </c>
      <c r="CB2">
        <v>5</v>
      </c>
      <c r="CD2" s="1" t="s">
        <v>661</v>
      </c>
      <c r="CG2">
        <v>523</v>
      </c>
      <c r="CH2">
        <v>203</v>
      </c>
      <c r="CI2" t="s">
        <v>216</v>
      </c>
      <c r="CJ2">
        <v>5</v>
      </c>
      <c r="CL2" s="1" t="s">
        <v>662</v>
      </c>
      <c r="CO2">
        <v>523</v>
      </c>
      <c r="CP2">
        <v>263</v>
      </c>
      <c r="CQ2" t="s">
        <v>498</v>
      </c>
      <c r="CR2">
        <v>5</v>
      </c>
      <c r="CT2" s="1" t="s">
        <v>663</v>
      </c>
      <c r="CW2">
        <v>516</v>
      </c>
      <c r="CX2">
        <v>298</v>
      </c>
      <c r="CY2" t="s">
        <v>389</v>
      </c>
      <c r="CZ2">
        <v>4</v>
      </c>
    </row>
    <row r="3" spans="1:104" x14ac:dyDescent="0.25">
      <c r="W3" t="str">
        <f>dbCorrelationTitle</f>
        <v>Correlation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397</v>
      </c>
      <c r="AH4">
        <v>2</v>
      </c>
      <c r="AI4">
        <v>412</v>
      </c>
      <c r="AJ4">
        <v>30</v>
      </c>
      <c r="AK4">
        <v>90</v>
      </c>
      <c r="AM4" t="s">
        <v>397</v>
      </c>
      <c r="AP4">
        <v>2</v>
      </c>
      <c r="AQ4">
        <v>443</v>
      </c>
      <c r="AR4">
        <v>31</v>
      </c>
      <c r="AS4">
        <v>90</v>
      </c>
      <c r="AU4" t="s">
        <v>397</v>
      </c>
      <c r="AX4">
        <v>2</v>
      </c>
      <c r="AY4">
        <v>418</v>
      </c>
      <c r="AZ4">
        <v>33</v>
      </c>
      <c r="BA4">
        <v>104</v>
      </c>
      <c r="BC4" t="s">
        <v>397</v>
      </c>
      <c r="BF4">
        <v>2</v>
      </c>
      <c r="BG4">
        <v>407</v>
      </c>
      <c r="BH4">
        <v>30</v>
      </c>
      <c r="BI4">
        <v>90</v>
      </c>
      <c r="BK4" t="s">
        <v>397</v>
      </c>
      <c r="BN4">
        <v>2</v>
      </c>
      <c r="BO4">
        <v>407</v>
      </c>
      <c r="BP4">
        <v>30</v>
      </c>
      <c r="BQ4">
        <v>90</v>
      </c>
      <c r="BS4" t="s">
        <v>397</v>
      </c>
      <c r="BV4">
        <v>2</v>
      </c>
      <c r="BW4">
        <v>407</v>
      </c>
      <c r="BX4">
        <v>30</v>
      </c>
      <c r="BY4">
        <v>90</v>
      </c>
      <c r="CA4" t="s">
        <v>397</v>
      </c>
      <c r="CD4">
        <v>2</v>
      </c>
      <c r="CE4">
        <v>407</v>
      </c>
      <c r="CF4">
        <v>30</v>
      </c>
      <c r="CG4">
        <v>90</v>
      </c>
      <c r="CI4" t="s">
        <v>397</v>
      </c>
      <c r="CL4">
        <v>2</v>
      </c>
      <c r="CM4">
        <v>407</v>
      </c>
      <c r="CN4">
        <v>30</v>
      </c>
      <c r="CO4">
        <v>90</v>
      </c>
      <c r="CQ4" t="s">
        <v>397</v>
      </c>
      <c r="CT4">
        <v>2</v>
      </c>
      <c r="CU4">
        <v>410</v>
      </c>
      <c r="CV4">
        <v>31</v>
      </c>
      <c r="CW4">
        <v>90</v>
      </c>
      <c r="CY4" t="s">
        <v>397</v>
      </c>
    </row>
    <row r="5" spans="1:104" x14ac:dyDescent="0.25">
      <c r="T5">
        <v>0</v>
      </c>
      <c r="U5" t="str">
        <f>dbAnova1Title</f>
        <v>Anova: Single Factor</v>
      </c>
      <c r="V5">
        <v>0</v>
      </c>
      <c r="W5" t="str">
        <f>dbAnova1Title</f>
        <v>Anova: Single Factor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398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399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399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622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399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399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399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399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399</v>
      </c>
      <c r="CT5">
        <v>5</v>
      </c>
      <c r="CU5">
        <v>17</v>
      </c>
      <c r="CV5">
        <v>12</v>
      </c>
      <c r="CY5" t="s">
        <v>649</v>
      </c>
    </row>
    <row r="6" spans="1:104" x14ac:dyDescent="0.25">
      <c r="T6">
        <v>1</v>
      </c>
      <c r="U6" t="str">
        <f>dbAnova2Title</f>
        <v>Anova: Two-Factor With Replication</v>
      </c>
      <c r="V6">
        <v>1</v>
      </c>
      <c r="W6" t="str">
        <f>dbAnova2Title</f>
        <v>Anova: Two-Factor With Replication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619</v>
      </c>
      <c r="AP6">
        <v>5</v>
      </c>
      <c r="AQ6">
        <v>24</v>
      </c>
      <c r="AR6">
        <v>22</v>
      </c>
      <c r="AU6" t="s">
        <v>628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619</v>
      </c>
      <c r="BN6">
        <v>5</v>
      </c>
      <c r="BO6">
        <v>18</v>
      </c>
      <c r="BP6">
        <v>19</v>
      </c>
      <c r="BS6" t="s">
        <v>619</v>
      </c>
      <c r="BV6">
        <v>5</v>
      </c>
      <c r="BW6">
        <v>18</v>
      </c>
      <c r="BX6">
        <v>19</v>
      </c>
      <c r="CA6" t="s">
        <v>619</v>
      </c>
      <c r="CD6">
        <v>5</v>
      </c>
      <c r="CE6">
        <v>18</v>
      </c>
      <c r="CF6">
        <v>19</v>
      </c>
      <c r="CI6" t="s">
        <v>642</v>
      </c>
      <c r="CL6">
        <v>5</v>
      </c>
      <c r="CM6">
        <v>18</v>
      </c>
      <c r="CN6">
        <v>19</v>
      </c>
      <c r="CQ6" t="s">
        <v>619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Two-Factor Without Replication</v>
      </c>
      <c r="V7">
        <v>2</v>
      </c>
      <c r="W7" t="str">
        <f>dbAnova3Title</f>
        <v>Anova: Two-Factor Without Replication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317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650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Correlation</v>
      </c>
      <c r="V8">
        <v>3</v>
      </c>
      <c r="W8" t="str">
        <f>dbCorrelationTitle</f>
        <v>Correlation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620</v>
      </c>
      <c r="AP8">
        <v>5</v>
      </c>
      <c r="AQ8">
        <v>24</v>
      </c>
      <c r="AR8">
        <v>48</v>
      </c>
      <c r="AU8" t="s">
        <v>629</v>
      </c>
      <c r="AX8">
        <v>12</v>
      </c>
      <c r="AZ8">
        <v>90</v>
      </c>
      <c r="BC8" t="s">
        <v>478</v>
      </c>
      <c r="BF8">
        <v>5</v>
      </c>
      <c r="BG8">
        <v>18</v>
      </c>
      <c r="BH8">
        <v>44</v>
      </c>
      <c r="BK8" t="s">
        <v>620</v>
      </c>
      <c r="BN8">
        <v>5</v>
      </c>
      <c r="BO8">
        <v>18</v>
      </c>
      <c r="BP8">
        <v>44</v>
      </c>
      <c r="BS8" t="s">
        <v>620</v>
      </c>
      <c r="BV8">
        <v>5</v>
      </c>
      <c r="BW8">
        <v>17</v>
      </c>
      <c r="BX8">
        <v>40</v>
      </c>
      <c r="CA8" t="s">
        <v>479</v>
      </c>
      <c r="CD8">
        <v>5</v>
      </c>
      <c r="CE8">
        <v>18</v>
      </c>
      <c r="CF8">
        <v>41</v>
      </c>
      <c r="CI8" t="s">
        <v>643</v>
      </c>
      <c r="CL8">
        <v>13</v>
      </c>
      <c r="CM8">
        <v>18</v>
      </c>
      <c r="CN8">
        <v>39</v>
      </c>
      <c r="CQ8" t="s">
        <v>480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Covariance</v>
      </c>
      <c r="V9">
        <v>4</v>
      </c>
      <c r="W9" t="str">
        <f>dbCovarianceTitle</f>
        <v>Covariance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624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320</v>
      </c>
      <c r="CT9">
        <v>5</v>
      </c>
      <c r="CU9">
        <v>17</v>
      </c>
      <c r="CV9">
        <v>63</v>
      </c>
      <c r="CY9" t="s">
        <v>321</v>
      </c>
    </row>
    <row r="10" spans="1:104" x14ac:dyDescent="0.25">
      <c r="A10" t="s">
        <v>505</v>
      </c>
      <c r="B10" t="s">
        <v>300</v>
      </c>
      <c r="T10">
        <v>5</v>
      </c>
      <c r="U10" t="str">
        <f>dbDescripTitle</f>
        <v>Descriptive Statistics</v>
      </c>
      <c r="V10">
        <v>5</v>
      </c>
      <c r="W10" t="str">
        <f>dbDescripTitle</f>
        <v>Descriptive Statistics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506</v>
      </c>
      <c r="AP10">
        <v>13</v>
      </c>
      <c r="AQ10">
        <v>25</v>
      </c>
      <c r="AR10">
        <v>75</v>
      </c>
      <c r="AU10" t="s">
        <v>480</v>
      </c>
      <c r="AV10" t="b">
        <v>0</v>
      </c>
      <c r="AX10">
        <v>12</v>
      </c>
      <c r="AZ10">
        <v>130</v>
      </c>
      <c r="BC10" t="s">
        <v>625</v>
      </c>
      <c r="BF10">
        <v>12</v>
      </c>
      <c r="BG10">
        <v>220</v>
      </c>
      <c r="BH10">
        <v>40</v>
      </c>
      <c r="BK10" t="s">
        <v>506</v>
      </c>
      <c r="BN10">
        <v>12</v>
      </c>
      <c r="BO10">
        <v>220</v>
      </c>
      <c r="BP10">
        <v>40</v>
      </c>
      <c r="BS10" t="s">
        <v>506</v>
      </c>
      <c r="BV10">
        <v>13</v>
      </c>
      <c r="BW10">
        <v>17</v>
      </c>
      <c r="BX10">
        <v>60</v>
      </c>
      <c r="CA10" t="s">
        <v>480</v>
      </c>
      <c r="CB10" t="b">
        <v>0</v>
      </c>
      <c r="CD10">
        <v>13</v>
      </c>
      <c r="CE10">
        <v>18</v>
      </c>
      <c r="CF10">
        <v>64</v>
      </c>
      <c r="CI10" t="s">
        <v>480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26</v>
      </c>
      <c r="T11">
        <v>6</v>
      </c>
      <c r="U11" t="str">
        <f>dbExponentTitle</f>
        <v>Exponential Smoothing</v>
      </c>
      <c r="V11">
        <v>6</v>
      </c>
      <c r="W11" t="str">
        <f>dbExponentTitle</f>
        <v>Exponential Smoothing</v>
      </c>
      <c r="X11" t="s">
        <v>452</v>
      </c>
      <c r="Y11" s="1" t="s">
        <v>660</v>
      </c>
      <c r="AH11">
        <v>12</v>
      </c>
      <c r="AM11" t="s">
        <v>509</v>
      </c>
      <c r="AP11">
        <v>13</v>
      </c>
      <c r="AQ11">
        <v>197</v>
      </c>
      <c r="AR11">
        <v>75</v>
      </c>
      <c r="AU11" t="s">
        <v>630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325</v>
      </c>
      <c r="BF11">
        <v>12</v>
      </c>
      <c r="BK11" t="s">
        <v>509</v>
      </c>
      <c r="BN11">
        <v>12</v>
      </c>
      <c r="BS11" t="s">
        <v>509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622</v>
      </c>
      <c r="CD11">
        <v>5</v>
      </c>
      <c r="CE11">
        <v>18</v>
      </c>
      <c r="CF11">
        <v>85</v>
      </c>
      <c r="CI11" t="s">
        <v>326</v>
      </c>
      <c r="CL11">
        <v>12</v>
      </c>
      <c r="CM11">
        <v>18</v>
      </c>
      <c r="CN11">
        <v>82</v>
      </c>
      <c r="CQ11" t="s">
        <v>327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651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 Two-Sample for Variances</v>
      </c>
      <c r="V12">
        <v>7</v>
      </c>
      <c r="W12" t="str">
        <f>dbFTestTitle</f>
        <v>F-Test Two-Sample for Variances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621</v>
      </c>
      <c r="AN12" t="b">
        <v>0</v>
      </c>
      <c r="AP12">
        <v>113</v>
      </c>
      <c r="AQ12">
        <v>25</v>
      </c>
      <c r="AR12">
        <v>93</v>
      </c>
      <c r="AU12" t="s">
        <v>631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621</v>
      </c>
      <c r="BL12" t="b">
        <v>0</v>
      </c>
      <c r="BN12">
        <v>13</v>
      </c>
      <c r="BO12">
        <v>18</v>
      </c>
      <c r="BP12">
        <v>75</v>
      </c>
      <c r="BS12" t="s">
        <v>621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331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 Analysis</v>
      </c>
      <c r="V13">
        <v>8</v>
      </c>
      <c r="W13" t="str">
        <f>dbFourierTitle</f>
        <v>Fourier Analysis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326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622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622</v>
      </c>
      <c r="BV13">
        <v>5</v>
      </c>
      <c r="BW13">
        <v>17</v>
      </c>
      <c r="BX13">
        <v>99</v>
      </c>
      <c r="CA13" t="s">
        <v>623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622</v>
      </c>
      <c r="CL13">
        <v>5</v>
      </c>
      <c r="CM13">
        <v>42</v>
      </c>
      <c r="CN13">
        <v>103</v>
      </c>
      <c r="CQ13" t="s">
        <v>403</v>
      </c>
      <c r="CT13">
        <v>5</v>
      </c>
    </row>
    <row r="14" spans="1:104" x14ac:dyDescent="0.25">
      <c r="A14" t="s">
        <v>404</v>
      </c>
      <c r="B14" t="s">
        <v>405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Moving Average</v>
      </c>
      <c r="V15">
        <v>10</v>
      </c>
      <c r="W15" t="str">
        <f>dbMovingTitle</f>
        <v>Moving Average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622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622</v>
      </c>
      <c r="AX15">
        <v>24</v>
      </c>
      <c r="AY15">
        <v>418</v>
      </c>
      <c r="AZ15">
        <v>66</v>
      </c>
      <c r="BA15">
        <v>104</v>
      </c>
      <c r="BC15" t="s">
        <v>525</v>
      </c>
      <c r="BF15">
        <v>12</v>
      </c>
      <c r="BG15">
        <v>20</v>
      </c>
      <c r="BH15">
        <v>120</v>
      </c>
      <c r="BK15" t="s">
        <v>623</v>
      </c>
      <c r="BN15">
        <v>12</v>
      </c>
      <c r="BO15">
        <v>18</v>
      </c>
      <c r="BP15">
        <v>127</v>
      </c>
      <c r="BS15" t="s">
        <v>623</v>
      </c>
      <c r="BV15">
        <v>205</v>
      </c>
      <c r="BW15">
        <v>17</v>
      </c>
      <c r="BX15">
        <v>119</v>
      </c>
      <c r="CA15" t="s">
        <v>624</v>
      </c>
      <c r="CD15">
        <v>12</v>
      </c>
      <c r="CE15">
        <v>18</v>
      </c>
      <c r="CF15">
        <v>132</v>
      </c>
      <c r="CI15" t="s">
        <v>623</v>
      </c>
      <c r="CL15">
        <v>5</v>
      </c>
      <c r="CM15">
        <v>42</v>
      </c>
      <c r="CN15">
        <v>146</v>
      </c>
      <c r="CQ15" t="s">
        <v>648</v>
      </c>
      <c r="CT15">
        <v>5</v>
      </c>
    </row>
    <row r="16" spans="1:104" x14ac:dyDescent="0.25">
      <c r="A16" t="s">
        <v>526</v>
      </c>
      <c r="B16" t="s">
        <v>527</v>
      </c>
      <c r="T16">
        <v>11</v>
      </c>
      <c r="U16" t="str">
        <f>dbRandomTitle</f>
        <v>Random Number Generation</v>
      </c>
      <c r="V16">
        <v>11</v>
      </c>
      <c r="W16" t="str">
        <f>dbRandomTitle</f>
        <v>Random Number Generation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624</v>
      </c>
      <c r="BN16">
        <v>12</v>
      </c>
      <c r="BP16">
        <v>147</v>
      </c>
      <c r="BS16" t="s">
        <v>624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624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529</v>
      </c>
      <c r="T17">
        <v>12</v>
      </c>
      <c r="U17" t="str">
        <f>dbRankPerTitle</f>
        <v>Rank and Percentile</v>
      </c>
      <c r="V17">
        <v>12</v>
      </c>
      <c r="W17" t="str">
        <f>dbRankPerTitle</f>
        <v>Rank and Percentile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623</v>
      </c>
      <c r="AP17">
        <v>12</v>
      </c>
      <c r="AQ17">
        <v>24</v>
      </c>
      <c r="AR17">
        <v>142</v>
      </c>
      <c r="AU17" t="s">
        <v>623</v>
      </c>
      <c r="BF17">
        <v>12</v>
      </c>
      <c r="BH17">
        <v>160</v>
      </c>
      <c r="BK17" t="s">
        <v>625</v>
      </c>
      <c r="BN17">
        <v>12</v>
      </c>
      <c r="BP17">
        <v>167</v>
      </c>
      <c r="BS17" t="s">
        <v>625</v>
      </c>
      <c r="BV17">
        <v>205</v>
      </c>
      <c r="BW17">
        <v>17</v>
      </c>
      <c r="BX17">
        <v>139</v>
      </c>
      <c r="CA17" t="s">
        <v>625</v>
      </c>
      <c r="CD17">
        <v>12</v>
      </c>
      <c r="CF17">
        <v>172</v>
      </c>
      <c r="CI17" t="s">
        <v>625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622</v>
      </c>
      <c r="CT17">
        <v>5</v>
      </c>
    </row>
    <row r="18" spans="1:104" x14ac:dyDescent="0.25">
      <c r="A18" t="s">
        <v>531</v>
      </c>
      <c r="B18" t="s">
        <v>351</v>
      </c>
      <c r="T18">
        <v>13</v>
      </c>
      <c r="U18" t="str">
        <f>dbRegressionTitle</f>
        <v>Regression</v>
      </c>
      <c r="V18">
        <v>13</v>
      </c>
      <c r="W18" t="str">
        <f>dbRegressionTitle</f>
        <v>Regression</v>
      </c>
      <c r="X18" t="s">
        <v>448</v>
      </c>
      <c r="Y18" s="1" t="s">
        <v>657</v>
      </c>
      <c r="AH18">
        <v>12</v>
      </c>
      <c r="AJ18">
        <v>169</v>
      </c>
      <c r="AM18" t="s">
        <v>624</v>
      </c>
      <c r="AP18">
        <v>12</v>
      </c>
      <c r="AR18">
        <v>162</v>
      </c>
      <c r="AU18" t="s">
        <v>624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626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125</v>
      </c>
      <c r="T19">
        <v>14</v>
      </c>
      <c r="U19" t="str">
        <f>dbSamplingTitle</f>
        <v>Sampling</v>
      </c>
      <c r="V19">
        <v>14</v>
      </c>
      <c r="W19" t="str">
        <f>dbSamplingTitle</f>
        <v>Sampling</v>
      </c>
      <c r="X19" t="s">
        <v>585</v>
      </c>
      <c r="Y19" s="1" t="s">
        <v>662</v>
      </c>
      <c r="AH19">
        <v>12</v>
      </c>
      <c r="AJ19">
        <v>189</v>
      </c>
      <c r="AM19" t="s">
        <v>625</v>
      </c>
      <c r="AP19">
        <v>12</v>
      </c>
      <c r="AR19">
        <v>182</v>
      </c>
      <c r="AU19" t="s">
        <v>625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627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623</v>
      </c>
      <c r="CT19">
        <v>5</v>
      </c>
    </row>
    <row r="20" spans="1:104" x14ac:dyDescent="0.25">
      <c r="A20" t="s">
        <v>343</v>
      </c>
      <c r="B20" t="s">
        <v>455</v>
      </c>
      <c r="T20">
        <v>15</v>
      </c>
      <c r="U20" t="str">
        <f>dbTTest1Title</f>
        <v>t-Test: Paired Two Sample for Means</v>
      </c>
      <c r="V20">
        <v>15</v>
      </c>
      <c r="W20" t="str">
        <f>dbTTest1Title</f>
        <v>t-Test: Paired Two Sample for Means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345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624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t-Test: Two-Sample Assuming Equal Variances</v>
      </c>
      <c r="V21">
        <v>16</v>
      </c>
      <c r="W21" t="str">
        <f>dbTTest2Title</f>
        <v>t-Test: Two-Sample Assuming Equal Variances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639</v>
      </c>
      <c r="BT21" t="b">
        <v>0</v>
      </c>
      <c r="CL21">
        <v>12</v>
      </c>
      <c r="CN21">
        <v>230</v>
      </c>
      <c r="CQ21" t="s">
        <v>625</v>
      </c>
      <c r="CT21">
        <v>5</v>
      </c>
    </row>
    <row r="22" spans="1:104" x14ac:dyDescent="0.25">
      <c r="A22" t="s">
        <v>440</v>
      </c>
      <c r="B22" t="s">
        <v>456</v>
      </c>
      <c r="T22">
        <v>17</v>
      </c>
      <c r="U22" t="str">
        <f>dbTTest3Title</f>
        <v>t-Test: Two-Sample Assuming Unequal Variances</v>
      </c>
      <c r="V22">
        <v>17</v>
      </c>
      <c r="W22" t="str">
        <f>dbTTest3Title</f>
        <v>t-Test: Two-Sample Assuming Unequal Variances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442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652</v>
      </c>
    </row>
    <row r="23" spans="1:104" x14ac:dyDescent="0.25">
      <c r="A23" t="s">
        <v>443</v>
      </c>
      <c r="B23" t="s">
        <v>356</v>
      </c>
      <c r="T23">
        <v>18</v>
      </c>
      <c r="U23" t="str">
        <f>dbZTestTitle</f>
        <v>z-Test: Two Sample for Means</v>
      </c>
      <c r="V23">
        <v>18</v>
      </c>
      <c r="W23" t="str">
        <f>dbZTestTitle</f>
        <v>z-Test: Two Sample for Means</v>
      </c>
      <c r="X23" t="s">
        <v>357</v>
      </c>
      <c r="Y23" s="1" t="s">
        <v>674</v>
      </c>
      <c r="AP23">
        <v>13</v>
      </c>
      <c r="AR23">
        <v>216</v>
      </c>
      <c r="AU23" t="s">
        <v>358</v>
      </c>
      <c r="AV23" t="b">
        <v>0</v>
      </c>
      <c r="BF23" s="1" t="s">
        <v>666</v>
      </c>
      <c r="BI23">
        <v>523</v>
      </c>
      <c r="BJ23">
        <v>191</v>
      </c>
      <c r="BK23" t="s">
        <v>359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361</v>
      </c>
      <c r="X24" t="s">
        <v>551</v>
      </c>
      <c r="AP24">
        <v>13</v>
      </c>
      <c r="AR24">
        <v>231</v>
      </c>
      <c r="AU24" t="s">
        <v>632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640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653</v>
      </c>
    </row>
    <row r="25" spans="1:104" x14ac:dyDescent="0.25">
      <c r="A25" t="s">
        <v>552</v>
      </c>
      <c r="B25" t="s">
        <v>553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633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397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555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574</v>
      </c>
      <c r="X26" t="s">
        <v>376</v>
      </c>
      <c r="AH26" s="1" t="s">
        <v>664</v>
      </c>
      <c r="AK26">
        <v>509</v>
      </c>
      <c r="AL26">
        <v>187</v>
      </c>
      <c r="AM26" t="s">
        <v>356</v>
      </c>
      <c r="AN26">
        <v>5</v>
      </c>
      <c r="AP26">
        <v>13</v>
      </c>
      <c r="AR26">
        <v>231</v>
      </c>
      <c r="AU26" t="s">
        <v>634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399</v>
      </c>
      <c r="BN26">
        <v>113</v>
      </c>
      <c r="BO26">
        <v>18</v>
      </c>
      <c r="BP26">
        <v>247</v>
      </c>
      <c r="BS26" t="s">
        <v>641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622</v>
      </c>
    </row>
    <row r="27" spans="1:104" x14ac:dyDescent="0.25">
      <c r="A27" t="s">
        <v>377</v>
      </c>
      <c r="B27" t="s">
        <v>378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635</v>
      </c>
      <c r="BF27">
        <v>5</v>
      </c>
      <c r="BG27">
        <v>18</v>
      </c>
      <c r="BH27">
        <v>19</v>
      </c>
      <c r="BK27" t="s">
        <v>619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397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381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397</v>
      </c>
      <c r="AP28">
        <v>13</v>
      </c>
      <c r="AR28">
        <v>270</v>
      </c>
      <c r="AU28" t="s">
        <v>636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399</v>
      </c>
      <c r="CT28">
        <v>12</v>
      </c>
      <c r="CU28">
        <v>17</v>
      </c>
      <c r="CV28">
        <v>225</v>
      </c>
      <c r="CY28" t="s">
        <v>623</v>
      </c>
    </row>
    <row r="29" spans="1:104" x14ac:dyDescent="0.25">
      <c r="A29" t="s">
        <v>383</v>
      </c>
      <c r="B29" t="s">
        <v>598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399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620</v>
      </c>
      <c r="CD29">
        <v>5</v>
      </c>
      <c r="CE29">
        <v>17</v>
      </c>
      <c r="CF29">
        <v>18</v>
      </c>
      <c r="CI29" t="s">
        <v>642</v>
      </c>
      <c r="CT29">
        <v>12</v>
      </c>
      <c r="CV29">
        <v>245</v>
      </c>
      <c r="CY29" t="s">
        <v>624</v>
      </c>
    </row>
    <row r="30" spans="1:104" x14ac:dyDescent="0.25">
      <c r="A30" t="s">
        <v>600</v>
      </c>
      <c r="B30" t="s">
        <v>601</v>
      </c>
      <c r="X30" t="s">
        <v>332</v>
      </c>
      <c r="AH30">
        <v>5</v>
      </c>
      <c r="AI30">
        <v>20</v>
      </c>
      <c r="AJ30">
        <v>19</v>
      </c>
      <c r="AM30" t="s">
        <v>619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625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506</v>
      </c>
      <c r="CD31">
        <v>5</v>
      </c>
      <c r="CE31">
        <v>17</v>
      </c>
      <c r="CF31">
        <v>41</v>
      </c>
      <c r="CI31" t="s">
        <v>643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94</v>
      </c>
      <c r="AH32">
        <v>5</v>
      </c>
      <c r="AI32">
        <v>20</v>
      </c>
      <c r="AJ32">
        <v>45</v>
      </c>
      <c r="AM32" t="s">
        <v>301</v>
      </c>
      <c r="BF32">
        <v>12</v>
      </c>
      <c r="BK32" t="s">
        <v>509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621</v>
      </c>
      <c r="BL33" t="b">
        <v>0</v>
      </c>
      <c r="CD33">
        <v>5</v>
      </c>
      <c r="CE33">
        <v>17</v>
      </c>
      <c r="CF33">
        <v>70</v>
      </c>
      <c r="CI33" t="s">
        <v>644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326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622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480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622</v>
      </c>
      <c r="BF36">
        <v>12</v>
      </c>
      <c r="BG36">
        <v>18</v>
      </c>
      <c r="BH36">
        <v>120</v>
      </c>
      <c r="BK36" t="s">
        <v>623</v>
      </c>
      <c r="CD36">
        <v>5</v>
      </c>
      <c r="CE36">
        <v>17</v>
      </c>
      <c r="CF36">
        <v>114</v>
      </c>
      <c r="CI36" t="s">
        <v>326</v>
      </c>
      <c r="CT36">
        <v>5</v>
      </c>
      <c r="CZ36" t="s">
        <v>551</v>
      </c>
    </row>
    <row r="37" spans="1:104" x14ac:dyDescent="0.25">
      <c r="A37" t="s">
        <v>473</v>
      </c>
      <c r="B37" t="s">
        <v>474</v>
      </c>
      <c r="AH37">
        <v>111</v>
      </c>
      <c r="AN37">
        <v>2</v>
      </c>
      <c r="BF37">
        <v>12</v>
      </c>
      <c r="BH37">
        <v>140</v>
      </c>
      <c r="BK37" t="s">
        <v>624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487</v>
      </c>
      <c r="AH38">
        <v>12</v>
      </c>
      <c r="AI38">
        <v>20</v>
      </c>
      <c r="AJ38">
        <v>115</v>
      </c>
      <c r="AM38" t="s">
        <v>623</v>
      </c>
      <c r="BF38">
        <v>12</v>
      </c>
      <c r="BH38">
        <v>160</v>
      </c>
      <c r="BK38" t="s">
        <v>625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622</v>
      </c>
      <c r="CT38">
        <v>5</v>
      </c>
    </row>
    <row r="39" spans="1:104" x14ac:dyDescent="0.25">
      <c r="A39" t="s">
        <v>488</v>
      </c>
      <c r="B39" t="s">
        <v>489</v>
      </c>
      <c r="AH39">
        <v>12</v>
      </c>
      <c r="AJ39">
        <v>135</v>
      </c>
      <c r="AM39" t="s">
        <v>624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491</v>
      </c>
      <c r="AH40">
        <v>12</v>
      </c>
      <c r="AJ40">
        <v>155</v>
      </c>
      <c r="AM40" t="s">
        <v>625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623</v>
      </c>
      <c r="CT40">
        <v>5</v>
      </c>
    </row>
    <row r="41" spans="1:104" x14ac:dyDescent="0.25">
      <c r="A41" t="s">
        <v>492</v>
      </c>
      <c r="B41" t="s">
        <v>493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624</v>
      </c>
      <c r="CT41">
        <v>5</v>
      </c>
    </row>
    <row r="42" spans="1:104" x14ac:dyDescent="0.25">
      <c r="A42" t="s">
        <v>494</v>
      </c>
      <c r="B42" t="s">
        <v>495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625</v>
      </c>
      <c r="CT42">
        <v>5</v>
      </c>
    </row>
    <row r="43" spans="1:104" x14ac:dyDescent="0.25">
      <c r="A43" t="s">
        <v>496</v>
      </c>
      <c r="B43" t="s">
        <v>497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401</v>
      </c>
      <c r="BF44" s="1" t="s">
        <v>670</v>
      </c>
      <c r="BI44">
        <v>523</v>
      </c>
      <c r="BJ44">
        <v>191</v>
      </c>
      <c r="BK44" t="s">
        <v>402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174</v>
      </c>
    </row>
    <row r="45" spans="1:104" x14ac:dyDescent="0.25">
      <c r="A45" t="s">
        <v>422</v>
      </c>
      <c r="B45" t="s">
        <v>423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425</v>
      </c>
      <c r="BF46">
        <v>2</v>
      </c>
      <c r="BG46">
        <v>407</v>
      </c>
      <c r="BH46">
        <v>30</v>
      </c>
      <c r="BI46">
        <v>90</v>
      </c>
      <c r="BK46" t="s">
        <v>397</v>
      </c>
      <c r="CT46">
        <v>5</v>
      </c>
      <c r="CU46">
        <v>184</v>
      </c>
      <c r="CV46">
        <v>114</v>
      </c>
      <c r="CY46" t="s">
        <v>426</v>
      </c>
    </row>
    <row r="47" spans="1:104" x14ac:dyDescent="0.25">
      <c r="A47" t="s">
        <v>427</v>
      </c>
      <c r="B47" t="s">
        <v>428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399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430</v>
      </c>
      <c r="AH48" s="1" t="s">
        <v>665</v>
      </c>
      <c r="AK48">
        <v>523</v>
      </c>
      <c r="AL48">
        <v>185</v>
      </c>
      <c r="AM48" t="s">
        <v>361</v>
      </c>
      <c r="AN48">
        <v>5</v>
      </c>
      <c r="BF48">
        <v>5</v>
      </c>
      <c r="BG48">
        <v>18</v>
      </c>
      <c r="BH48">
        <v>19</v>
      </c>
      <c r="BK48" t="s">
        <v>619</v>
      </c>
    </row>
    <row r="49" spans="1:104" x14ac:dyDescent="0.25">
      <c r="A49" t="s">
        <v>431</v>
      </c>
      <c r="B49" t="s">
        <v>459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433</v>
      </c>
      <c r="AH50">
        <v>2</v>
      </c>
      <c r="AI50">
        <v>407</v>
      </c>
      <c r="AJ50">
        <v>30</v>
      </c>
      <c r="AK50">
        <v>90</v>
      </c>
      <c r="AM50" t="s">
        <v>397</v>
      </c>
      <c r="BF50">
        <v>5</v>
      </c>
      <c r="BG50">
        <v>18</v>
      </c>
      <c r="BH50">
        <v>44</v>
      </c>
      <c r="BK50" t="s">
        <v>620</v>
      </c>
      <c r="CD50" s="1" t="s">
        <v>672</v>
      </c>
      <c r="CG50">
        <v>550</v>
      </c>
      <c r="CH50">
        <v>227</v>
      </c>
      <c r="CI50" t="s">
        <v>20</v>
      </c>
      <c r="CJ50">
        <v>5</v>
      </c>
      <c r="CT50">
        <v>5</v>
      </c>
      <c r="CU50">
        <v>17</v>
      </c>
      <c r="CV50">
        <v>101</v>
      </c>
      <c r="CY50" t="s">
        <v>21</v>
      </c>
      <c r="CZ50" t="s">
        <v>599</v>
      </c>
    </row>
    <row r="51" spans="1:104" x14ac:dyDescent="0.25">
      <c r="A51" t="s">
        <v>439</v>
      </c>
      <c r="B51" t="s">
        <v>418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399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420</v>
      </c>
      <c r="AH52">
        <v>5</v>
      </c>
      <c r="AI52">
        <v>18</v>
      </c>
      <c r="AJ52">
        <v>19</v>
      </c>
      <c r="AM52" t="s">
        <v>619</v>
      </c>
      <c r="BF52">
        <v>12</v>
      </c>
      <c r="BG52">
        <v>220</v>
      </c>
      <c r="BH52">
        <v>40</v>
      </c>
      <c r="BK52" t="s">
        <v>506</v>
      </c>
      <c r="CD52">
        <v>2</v>
      </c>
      <c r="CE52">
        <v>440</v>
      </c>
      <c r="CF52">
        <v>30</v>
      </c>
      <c r="CG52">
        <v>90</v>
      </c>
      <c r="CI52" t="s">
        <v>397</v>
      </c>
      <c r="CT52">
        <v>5</v>
      </c>
      <c r="CU52">
        <v>132</v>
      </c>
      <c r="CV52">
        <v>101</v>
      </c>
      <c r="CY52" t="s">
        <v>421</v>
      </c>
    </row>
    <row r="53" spans="1:104" x14ac:dyDescent="0.25">
      <c r="A53" t="s">
        <v>338</v>
      </c>
      <c r="B53" t="s">
        <v>339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509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399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341</v>
      </c>
      <c r="AH54">
        <v>13</v>
      </c>
      <c r="AI54">
        <v>19</v>
      </c>
      <c r="AJ54">
        <v>41</v>
      </c>
      <c r="AM54" t="s">
        <v>480</v>
      </c>
      <c r="AN54" t="b">
        <v>0</v>
      </c>
      <c r="BF54">
        <v>13</v>
      </c>
      <c r="BG54">
        <v>18</v>
      </c>
      <c r="BH54">
        <v>75</v>
      </c>
      <c r="BK54" t="s">
        <v>621</v>
      </c>
      <c r="BL54" t="b">
        <v>0</v>
      </c>
      <c r="CD54">
        <v>5</v>
      </c>
      <c r="CE54">
        <v>17</v>
      </c>
      <c r="CF54">
        <v>18</v>
      </c>
      <c r="CI54" t="s">
        <v>642</v>
      </c>
      <c r="CT54">
        <v>5</v>
      </c>
      <c r="CU54">
        <v>232</v>
      </c>
      <c r="CV54">
        <v>101</v>
      </c>
      <c r="CY54" t="s">
        <v>342</v>
      </c>
    </row>
    <row r="55" spans="1:104" x14ac:dyDescent="0.25">
      <c r="A55" t="s">
        <v>177</v>
      </c>
      <c r="B55" t="s">
        <v>178</v>
      </c>
      <c r="AH55">
        <v>5</v>
      </c>
      <c r="AI55">
        <v>20</v>
      </c>
      <c r="AJ55">
        <v>62</v>
      </c>
      <c r="AM55" t="s">
        <v>326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622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180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643</v>
      </c>
      <c r="CT56">
        <v>5</v>
      </c>
      <c r="CU56">
        <v>17</v>
      </c>
      <c r="CV56">
        <v>131</v>
      </c>
      <c r="CY56" t="s">
        <v>556</v>
      </c>
    </row>
    <row r="57" spans="1:104" x14ac:dyDescent="0.25">
      <c r="A57" t="s">
        <v>557</v>
      </c>
      <c r="B57" t="s">
        <v>558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622</v>
      </c>
      <c r="BF57">
        <v>12</v>
      </c>
      <c r="BG57">
        <v>18</v>
      </c>
      <c r="BH57">
        <v>120</v>
      </c>
      <c r="BK57" t="s">
        <v>623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186</v>
      </c>
      <c r="AH58">
        <v>111</v>
      </c>
      <c r="AN58">
        <v>2</v>
      </c>
      <c r="BF58">
        <v>12</v>
      </c>
      <c r="BH58">
        <v>140</v>
      </c>
      <c r="BK58" t="s">
        <v>624</v>
      </c>
      <c r="CD58">
        <v>5</v>
      </c>
      <c r="CE58">
        <v>17</v>
      </c>
      <c r="CF58">
        <v>70</v>
      </c>
      <c r="CI58" t="s">
        <v>644</v>
      </c>
      <c r="CT58">
        <v>5</v>
      </c>
      <c r="CU58">
        <v>288</v>
      </c>
      <c r="CV58">
        <v>131</v>
      </c>
      <c r="CY58" t="s">
        <v>187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623</v>
      </c>
      <c r="BF59">
        <v>12</v>
      </c>
      <c r="BH59">
        <v>160</v>
      </c>
      <c r="BK59" t="s">
        <v>625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190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624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480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567</v>
      </c>
      <c r="AH61">
        <v>12</v>
      </c>
      <c r="AJ61">
        <v>147</v>
      </c>
      <c r="AM61" t="s">
        <v>625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326</v>
      </c>
      <c r="CT61">
        <v>5</v>
      </c>
      <c r="CU61">
        <v>288</v>
      </c>
      <c r="CV61">
        <v>153</v>
      </c>
      <c r="CY61" t="s">
        <v>187</v>
      </c>
    </row>
    <row r="62" spans="1:104" x14ac:dyDescent="0.25">
      <c r="A62" t="s">
        <v>568</v>
      </c>
      <c r="B62" t="s">
        <v>569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571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622</v>
      </c>
      <c r="CT63" t="s">
        <v>554</v>
      </c>
    </row>
    <row r="64" spans="1:104" x14ac:dyDescent="0.25">
      <c r="A64" t="s">
        <v>572</v>
      </c>
      <c r="B64" t="s">
        <v>458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359</v>
      </c>
      <c r="CD65">
        <v>12</v>
      </c>
      <c r="CE65">
        <v>17</v>
      </c>
      <c r="CF65">
        <v>156</v>
      </c>
      <c r="CI65" t="s">
        <v>623</v>
      </c>
      <c r="CT65">
        <v>5</v>
      </c>
    </row>
    <row r="66" spans="1:104" x14ac:dyDescent="0.25">
      <c r="A66" t="s">
        <v>194</v>
      </c>
      <c r="B66" t="s">
        <v>460</v>
      </c>
      <c r="BF66" t="s">
        <v>334</v>
      </c>
      <c r="CD66">
        <v>12</v>
      </c>
      <c r="CF66">
        <v>176</v>
      </c>
      <c r="CI66" t="s">
        <v>624</v>
      </c>
      <c r="CT66">
        <v>5</v>
      </c>
    </row>
    <row r="67" spans="1:104" x14ac:dyDescent="0.25">
      <c r="A67" t="s">
        <v>195</v>
      </c>
      <c r="B67" t="s">
        <v>196</v>
      </c>
      <c r="BF67" s="1" t="s">
        <v>667</v>
      </c>
      <c r="BI67">
        <v>523</v>
      </c>
      <c r="BJ67">
        <v>181</v>
      </c>
      <c r="BK67" t="s">
        <v>575</v>
      </c>
      <c r="BL67">
        <v>5</v>
      </c>
      <c r="CD67">
        <v>12</v>
      </c>
      <c r="CF67">
        <v>196</v>
      </c>
      <c r="CI67" t="s">
        <v>625</v>
      </c>
      <c r="CT67">
        <v>5</v>
      </c>
    </row>
    <row r="68" spans="1:104" x14ac:dyDescent="0.25">
      <c r="A68" t="s">
        <v>576</v>
      </c>
      <c r="B68" t="s">
        <v>577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579</v>
      </c>
      <c r="AH69" s="1" t="s">
        <v>669</v>
      </c>
      <c r="AK69">
        <v>523</v>
      </c>
      <c r="AL69">
        <v>205</v>
      </c>
      <c r="AM69" t="s">
        <v>196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397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581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399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583</v>
      </c>
      <c r="AH71">
        <v>2</v>
      </c>
      <c r="AI71">
        <v>407</v>
      </c>
      <c r="AJ71">
        <v>30</v>
      </c>
      <c r="AK71">
        <v>90</v>
      </c>
      <c r="AM71" t="s">
        <v>397</v>
      </c>
      <c r="BF71">
        <v>5</v>
      </c>
      <c r="BG71">
        <v>18</v>
      </c>
      <c r="BH71">
        <v>19</v>
      </c>
      <c r="BK71" t="s">
        <v>619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399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202</v>
      </c>
    </row>
    <row r="73" spans="1:104" x14ac:dyDescent="0.25">
      <c r="A73" t="s">
        <v>203</v>
      </c>
      <c r="B73" t="s">
        <v>204</v>
      </c>
      <c r="AH73">
        <v>5</v>
      </c>
      <c r="AI73">
        <v>18</v>
      </c>
      <c r="AJ73">
        <v>19</v>
      </c>
      <c r="AM73" t="s">
        <v>619</v>
      </c>
      <c r="BF73">
        <v>13</v>
      </c>
      <c r="BG73">
        <v>18</v>
      </c>
      <c r="BH73">
        <v>40</v>
      </c>
      <c r="BK73" t="s">
        <v>621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206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622</v>
      </c>
      <c r="CD74" t="s">
        <v>441</v>
      </c>
      <c r="CT74">
        <v>5</v>
      </c>
      <c r="CU74">
        <v>24</v>
      </c>
      <c r="CV74">
        <v>134</v>
      </c>
      <c r="CY74" t="s">
        <v>27</v>
      </c>
    </row>
    <row r="75" spans="1:104" x14ac:dyDescent="0.25">
      <c r="A75" t="s">
        <v>207</v>
      </c>
      <c r="B75" t="s">
        <v>208</v>
      </c>
      <c r="AH75">
        <v>13</v>
      </c>
      <c r="AI75">
        <v>18</v>
      </c>
      <c r="AJ75">
        <v>41</v>
      </c>
      <c r="AM75" t="s">
        <v>621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209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499</v>
      </c>
      <c r="AH76">
        <v>5</v>
      </c>
      <c r="AI76">
        <v>18</v>
      </c>
      <c r="AJ76">
        <v>69</v>
      </c>
      <c r="AM76" t="s">
        <v>500</v>
      </c>
      <c r="BF76">
        <v>12</v>
      </c>
      <c r="BG76">
        <v>18</v>
      </c>
      <c r="BH76">
        <v>86</v>
      </c>
      <c r="BK76" t="s">
        <v>623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624</v>
      </c>
      <c r="CD77">
        <v>2</v>
      </c>
      <c r="CE77">
        <v>440</v>
      </c>
      <c r="CF77">
        <v>30</v>
      </c>
      <c r="CG77">
        <v>90</v>
      </c>
      <c r="CI77" t="s">
        <v>397</v>
      </c>
      <c r="CT77" t="s">
        <v>376</v>
      </c>
    </row>
    <row r="78" spans="1:104" x14ac:dyDescent="0.25">
      <c r="A78" t="s">
        <v>219</v>
      </c>
      <c r="B78" t="s">
        <v>216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622</v>
      </c>
      <c r="BF78">
        <v>12</v>
      </c>
      <c r="BH78">
        <v>126</v>
      </c>
      <c r="BK78" t="s">
        <v>625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399</v>
      </c>
      <c r="CT78">
        <v>5</v>
      </c>
      <c r="CZ78" t="s">
        <v>376</v>
      </c>
    </row>
    <row r="79" spans="1:104" x14ac:dyDescent="0.25">
      <c r="A79" t="s">
        <v>220</v>
      </c>
      <c r="B79" t="s">
        <v>20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642</v>
      </c>
      <c r="CT79">
        <v>5</v>
      </c>
    </row>
    <row r="80" spans="1:104" x14ac:dyDescent="0.25">
      <c r="A80" t="s">
        <v>221</v>
      </c>
      <c r="B80" t="s">
        <v>555</v>
      </c>
      <c r="AH80">
        <v>5</v>
      </c>
      <c r="AI80">
        <v>18</v>
      </c>
      <c r="AJ80">
        <v>112</v>
      </c>
      <c r="AM80" t="s">
        <v>623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209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605</v>
      </c>
      <c r="BL81" t="b">
        <v>0</v>
      </c>
      <c r="CD81">
        <v>5</v>
      </c>
      <c r="CE81">
        <v>17</v>
      </c>
      <c r="CF81">
        <v>41</v>
      </c>
      <c r="CI81" t="s">
        <v>643</v>
      </c>
      <c r="CT81">
        <v>5</v>
      </c>
    </row>
    <row r="82" spans="1:104" x14ac:dyDescent="0.25">
      <c r="A82" t="s">
        <v>606</v>
      </c>
      <c r="B82" t="s">
        <v>607</v>
      </c>
      <c r="AH82">
        <v>205</v>
      </c>
      <c r="AI82">
        <v>18</v>
      </c>
      <c r="AJ82">
        <v>132</v>
      </c>
      <c r="AM82" t="s">
        <v>624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302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644</v>
      </c>
      <c r="CT83">
        <v>5</v>
      </c>
    </row>
    <row r="84" spans="1:104" x14ac:dyDescent="0.25">
      <c r="A84" t="s">
        <v>303</v>
      </c>
      <c r="B84" t="s">
        <v>466</v>
      </c>
      <c r="AH84">
        <v>205</v>
      </c>
      <c r="AI84">
        <v>18</v>
      </c>
      <c r="AJ84">
        <v>152</v>
      </c>
      <c r="AM84" t="s">
        <v>625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227</v>
      </c>
      <c r="AH85">
        <v>13</v>
      </c>
      <c r="AI85">
        <v>18</v>
      </c>
      <c r="AJ85">
        <v>175</v>
      </c>
      <c r="AM85" t="s">
        <v>626</v>
      </c>
      <c r="AN85" t="b">
        <v>0</v>
      </c>
      <c r="CD85">
        <v>13</v>
      </c>
      <c r="CE85">
        <v>18</v>
      </c>
      <c r="CF85">
        <v>87</v>
      </c>
      <c r="CI85" t="s">
        <v>480</v>
      </c>
      <c r="CJ85" t="b">
        <v>0</v>
      </c>
      <c r="CT85">
        <v>5</v>
      </c>
    </row>
    <row r="86" spans="1:104" x14ac:dyDescent="0.25">
      <c r="A86" t="s">
        <v>228</v>
      </c>
      <c r="B86" t="s">
        <v>229</v>
      </c>
      <c r="AH86">
        <v>13</v>
      </c>
      <c r="AI86">
        <v>222</v>
      </c>
      <c r="AJ86">
        <v>175</v>
      </c>
      <c r="AM86" t="s">
        <v>627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326</v>
      </c>
      <c r="CT86">
        <v>5</v>
      </c>
    </row>
    <row r="87" spans="1:104" x14ac:dyDescent="0.25">
      <c r="A87" t="s">
        <v>231</v>
      </c>
      <c r="B87" t="s">
        <v>615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617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622</v>
      </c>
      <c r="CT88">
        <v>5</v>
      </c>
      <c r="CU88">
        <v>26</v>
      </c>
      <c r="CV88">
        <v>108</v>
      </c>
      <c r="CY88" t="s">
        <v>618</v>
      </c>
    </row>
    <row r="89" spans="1:104" x14ac:dyDescent="0.25">
      <c r="A89" t="s">
        <v>299</v>
      </c>
      <c r="B89" t="s">
        <v>234</v>
      </c>
      <c r="BF89">
        <v>2</v>
      </c>
      <c r="BG89">
        <v>407</v>
      </c>
      <c r="BH89">
        <v>30</v>
      </c>
      <c r="BI89">
        <v>90</v>
      </c>
      <c r="BK89" t="s">
        <v>397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66</v>
      </c>
      <c r="BK90" t="s">
        <v>399</v>
      </c>
      <c r="CD90">
        <v>12</v>
      </c>
      <c r="CE90">
        <v>17</v>
      </c>
      <c r="CF90">
        <v>152</v>
      </c>
      <c r="CI90" t="s">
        <v>623</v>
      </c>
    </row>
    <row r="91" spans="1:104" x14ac:dyDescent="0.25">
      <c r="A91" t="s">
        <v>237</v>
      </c>
      <c r="B91" t="s">
        <v>238</v>
      </c>
      <c r="BF91">
        <v>5</v>
      </c>
      <c r="BG91">
        <v>18</v>
      </c>
      <c r="BH91">
        <v>19</v>
      </c>
      <c r="BK91" t="s">
        <v>619</v>
      </c>
      <c r="CD91">
        <v>12</v>
      </c>
      <c r="CF91">
        <v>172</v>
      </c>
      <c r="CI91" t="s">
        <v>624</v>
      </c>
      <c r="CT91" t="s">
        <v>379</v>
      </c>
    </row>
    <row r="92" spans="1:104" x14ac:dyDescent="0.25">
      <c r="A92" t="s">
        <v>239</v>
      </c>
      <c r="B92" t="s">
        <v>484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625</v>
      </c>
      <c r="CT92">
        <v>5</v>
      </c>
      <c r="CZ92" t="s">
        <v>379</v>
      </c>
    </row>
    <row r="93" spans="1:104" x14ac:dyDescent="0.25">
      <c r="A93" t="s">
        <v>485</v>
      </c>
      <c r="B93" t="s">
        <v>486</v>
      </c>
      <c r="BF93">
        <v>5</v>
      </c>
      <c r="BG93">
        <v>18</v>
      </c>
      <c r="BH93">
        <v>43</v>
      </c>
      <c r="BK93" t="s">
        <v>637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243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245</v>
      </c>
      <c r="BF95">
        <v>13</v>
      </c>
      <c r="BG95">
        <v>18</v>
      </c>
      <c r="BH95">
        <v>66</v>
      </c>
      <c r="BK95" t="s">
        <v>480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247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622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251</v>
      </c>
      <c r="BF98">
        <v>12</v>
      </c>
      <c r="BG98">
        <v>18</v>
      </c>
      <c r="BH98">
        <v>112</v>
      </c>
      <c r="BK98" t="s">
        <v>623</v>
      </c>
      <c r="CT98">
        <v>5</v>
      </c>
    </row>
    <row r="99" spans="1:104" x14ac:dyDescent="0.25">
      <c r="A99" t="s">
        <v>252</v>
      </c>
      <c r="B99" t="s">
        <v>510</v>
      </c>
      <c r="BF99">
        <v>12</v>
      </c>
      <c r="BH99">
        <v>132</v>
      </c>
      <c r="BK99" t="s">
        <v>624</v>
      </c>
      <c r="CD99" t="s">
        <v>357</v>
      </c>
      <c r="CT99">
        <v>5</v>
      </c>
    </row>
    <row r="100" spans="1:104" x14ac:dyDescent="0.25">
      <c r="A100" t="s">
        <v>511</v>
      </c>
      <c r="B100" t="s">
        <v>512</v>
      </c>
      <c r="BF100">
        <v>12</v>
      </c>
      <c r="BH100">
        <v>152</v>
      </c>
      <c r="BK100" t="s">
        <v>625</v>
      </c>
      <c r="CD100" s="1" t="s">
        <v>674</v>
      </c>
      <c r="CG100">
        <v>577</v>
      </c>
      <c r="CH100">
        <v>281</v>
      </c>
      <c r="CI100" t="s">
        <v>245</v>
      </c>
      <c r="CJ100">
        <v>5</v>
      </c>
      <c r="CT100">
        <v>5</v>
      </c>
      <c r="CU100">
        <v>23</v>
      </c>
      <c r="CV100">
        <v>131</v>
      </c>
      <c r="CY100" t="s">
        <v>28</v>
      </c>
    </row>
    <row r="101" spans="1:104" x14ac:dyDescent="0.25">
      <c r="A101" t="s">
        <v>513</v>
      </c>
      <c r="B101" t="s">
        <v>514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402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397</v>
      </c>
      <c r="CT102">
        <v>5</v>
      </c>
      <c r="CU102">
        <v>25</v>
      </c>
      <c r="CV102">
        <v>108</v>
      </c>
      <c r="CY102" t="s">
        <v>618</v>
      </c>
    </row>
    <row r="103" spans="1:104" x14ac:dyDescent="0.25">
      <c r="A103" t="s">
        <v>516</v>
      </c>
      <c r="B103" t="s">
        <v>517</v>
      </c>
      <c r="BF103">
        <v>13</v>
      </c>
      <c r="BG103">
        <v>18</v>
      </c>
      <c r="BH103">
        <v>174</v>
      </c>
      <c r="BK103" t="s">
        <v>518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399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417</v>
      </c>
      <c r="BF104">
        <v>13</v>
      </c>
      <c r="BK104" t="s">
        <v>638</v>
      </c>
      <c r="BL104" t="b">
        <v>0</v>
      </c>
      <c r="CD104">
        <v>5</v>
      </c>
      <c r="CE104">
        <v>17</v>
      </c>
      <c r="CF104">
        <v>18</v>
      </c>
      <c r="CI104" t="s">
        <v>642</v>
      </c>
    </row>
    <row r="105" spans="1:104" x14ac:dyDescent="0.25">
      <c r="A105" t="s">
        <v>534</v>
      </c>
      <c r="B105" t="s">
        <v>535</v>
      </c>
      <c r="BF105">
        <v>13</v>
      </c>
      <c r="BK105" t="s">
        <v>626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537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643</v>
      </c>
      <c r="CT106">
        <v>5</v>
      </c>
      <c r="CZ106" t="s">
        <v>382</v>
      </c>
    </row>
    <row r="107" spans="1:104" x14ac:dyDescent="0.25">
      <c r="A107" t="s">
        <v>538</v>
      </c>
      <c r="B107" t="s">
        <v>389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260</v>
      </c>
      <c r="CD108">
        <v>5</v>
      </c>
      <c r="CE108">
        <v>17</v>
      </c>
      <c r="CF108">
        <v>68</v>
      </c>
      <c r="CI108" t="s">
        <v>645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646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647</v>
      </c>
      <c r="CT112">
        <v>5</v>
      </c>
    </row>
    <row r="113" spans="1:104" x14ac:dyDescent="0.25">
      <c r="A113" t="s">
        <v>539</v>
      </c>
      <c r="B113" t="s">
        <v>540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542</v>
      </c>
      <c r="CD114">
        <v>13</v>
      </c>
      <c r="CE114">
        <v>17</v>
      </c>
      <c r="CF114">
        <v>143</v>
      </c>
      <c r="CI114" t="s">
        <v>480</v>
      </c>
      <c r="CJ114" t="b">
        <v>0</v>
      </c>
      <c r="CT114">
        <v>5</v>
      </c>
    </row>
    <row r="115" spans="1:104" x14ac:dyDescent="0.25">
      <c r="A115" t="s">
        <v>543</v>
      </c>
      <c r="B115" t="s">
        <v>457</v>
      </c>
      <c r="CD115">
        <v>5</v>
      </c>
      <c r="CE115">
        <v>17</v>
      </c>
      <c r="CF115">
        <v>168</v>
      </c>
      <c r="CI115" t="s">
        <v>326</v>
      </c>
      <c r="CT115">
        <v>5</v>
      </c>
    </row>
    <row r="116" spans="1:104" x14ac:dyDescent="0.25">
      <c r="A116" t="s">
        <v>544</v>
      </c>
      <c r="B116" t="s">
        <v>545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548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622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561</v>
      </c>
      <c r="CD118">
        <v>111</v>
      </c>
      <c r="CJ118">
        <v>2</v>
      </c>
    </row>
    <row r="119" spans="1:104" x14ac:dyDescent="0.25">
      <c r="A119" t="s">
        <v>562</v>
      </c>
      <c r="B119" t="s">
        <v>563</v>
      </c>
      <c r="CD119">
        <v>12</v>
      </c>
      <c r="CE119">
        <v>17</v>
      </c>
      <c r="CF119">
        <v>211</v>
      </c>
      <c r="CI119" t="s">
        <v>623</v>
      </c>
      <c r="CT119" t="s">
        <v>332</v>
      </c>
    </row>
    <row r="120" spans="1:104" x14ac:dyDescent="0.25">
      <c r="A120" t="s">
        <v>366</v>
      </c>
      <c r="B120" t="s">
        <v>367</v>
      </c>
      <c r="CD120">
        <v>12</v>
      </c>
      <c r="CF120">
        <v>231</v>
      </c>
      <c r="CI120" t="s">
        <v>624</v>
      </c>
      <c r="CT120">
        <v>5</v>
      </c>
      <c r="CZ120" t="s">
        <v>332</v>
      </c>
    </row>
    <row r="121" spans="1:104" x14ac:dyDescent="0.25">
      <c r="A121" t="s">
        <v>368</v>
      </c>
      <c r="B121" t="s">
        <v>369</v>
      </c>
      <c r="CD121">
        <v>12</v>
      </c>
      <c r="CF121">
        <v>251</v>
      </c>
      <c r="CI121" t="s">
        <v>625</v>
      </c>
      <c r="CT121">
        <v>5</v>
      </c>
    </row>
    <row r="122" spans="1:104" x14ac:dyDescent="0.25">
      <c r="A122" t="s">
        <v>370</v>
      </c>
      <c r="B122" t="s">
        <v>453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295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589</v>
      </c>
      <c r="CT125">
        <v>5</v>
      </c>
    </row>
    <row r="126" spans="1:104" x14ac:dyDescent="0.25">
      <c r="A126" t="s">
        <v>590</v>
      </c>
      <c r="B126" t="s">
        <v>591</v>
      </c>
      <c r="CT126">
        <v>5</v>
      </c>
    </row>
    <row r="127" spans="1:104" x14ac:dyDescent="0.25">
      <c r="A127" t="s">
        <v>592</v>
      </c>
      <c r="B127" t="s">
        <v>593</v>
      </c>
      <c r="CT127">
        <v>5</v>
      </c>
    </row>
    <row r="128" spans="1:104" x14ac:dyDescent="0.25">
      <c r="A128" t="s">
        <v>594</v>
      </c>
      <c r="B128" t="s">
        <v>595</v>
      </c>
      <c r="CT128">
        <v>5</v>
      </c>
    </row>
    <row r="129" spans="1:104" x14ac:dyDescent="0.25">
      <c r="A129" t="s">
        <v>596</v>
      </c>
      <c r="B129" t="s">
        <v>597</v>
      </c>
      <c r="CT129">
        <v>5</v>
      </c>
    </row>
    <row r="130" spans="1:104" x14ac:dyDescent="0.25">
      <c r="A130" t="s">
        <v>277</v>
      </c>
      <c r="B130" t="s">
        <v>278</v>
      </c>
      <c r="CT130">
        <v>5</v>
      </c>
      <c r="CU130">
        <v>23</v>
      </c>
      <c r="CV130">
        <v>107</v>
      </c>
      <c r="CY130" t="s">
        <v>25</v>
      </c>
    </row>
    <row r="131" spans="1:104" x14ac:dyDescent="0.25">
      <c r="A131" t="s">
        <v>279</v>
      </c>
      <c r="B131" t="s">
        <v>280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282</v>
      </c>
    </row>
    <row r="133" spans="1:104" x14ac:dyDescent="0.25">
      <c r="A133" t="s">
        <v>283</v>
      </c>
      <c r="B133" t="s">
        <v>284</v>
      </c>
    </row>
    <row r="134" spans="1:104" x14ac:dyDescent="0.25">
      <c r="A134" t="s">
        <v>285</v>
      </c>
      <c r="B134" t="s">
        <v>286</v>
      </c>
      <c r="CT134" t="s">
        <v>287</v>
      </c>
    </row>
    <row r="135" spans="1:104" x14ac:dyDescent="0.25">
      <c r="A135" t="s">
        <v>288</v>
      </c>
      <c r="B135" t="s">
        <v>289</v>
      </c>
      <c r="CT135" t="s">
        <v>507</v>
      </c>
    </row>
    <row r="136" spans="1:104" x14ac:dyDescent="0.25">
      <c r="A136" t="s">
        <v>290</v>
      </c>
      <c r="B136" t="s">
        <v>291</v>
      </c>
      <c r="CT136" t="str">
        <f>mg01s.RandUniform</f>
        <v>Uniform</v>
      </c>
      <c r="CU136" t="s">
        <v>551</v>
      </c>
    </row>
    <row r="137" spans="1:104" x14ac:dyDescent="0.25">
      <c r="A137" t="s">
        <v>292</v>
      </c>
      <c r="B137" t="s">
        <v>310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610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612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297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91</v>
      </c>
      <c r="CT141" t="str">
        <f>mg01s.RandPatterned</f>
        <v>Patterned</v>
      </c>
      <c r="CU141" t="s">
        <v>599</v>
      </c>
    </row>
    <row r="142" spans="1:104" x14ac:dyDescent="0.25">
      <c r="A142" t="s">
        <v>92</v>
      </c>
      <c r="B142" t="s">
        <v>498</v>
      </c>
      <c r="CT142" t="str">
        <f>mg01s.RandDiscrete</f>
        <v>Discrete</v>
      </c>
      <c r="CU142" t="s">
        <v>332</v>
      </c>
    </row>
    <row r="143" spans="1:104" x14ac:dyDescent="0.25">
      <c r="A143" t="s">
        <v>304</v>
      </c>
      <c r="B143" t="s">
        <v>305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312</v>
      </c>
    </row>
    <row r="147" spans="1:2" x14ac:dyDescent="0.25">
      <c r="A147" t="s">
        <v>313</v>
      </c>
      <c r="B147" t="s">
        <v>314</v>
      </c>
    </row>
    <row r="148" spans="1:2" x14ac:dyDescent="0.25">
      <c r="A148" t="s">
        <v>102</v>
      </c>
      <c r="B148" t="s">
        <v>318</v>
      </c>
    </row>
    <row r="149" spans="1:2" x14ac:dyDescent="0.25">
      <c r="A149" t="s">
        <v>319</v>
      </c>
      <c r="B149" t="s">
        <v>104</v>
      </c>
    </row>
    <row r="150" spans="1:2" x14ac:dyDescent="0.25">
      <c r="A150" t="s">
        <v>105</v>
      </c>
      <c r="B150" t="s">
        <v>322</v>
      </c>
    </row>
    <row r="151" spans="1:2" x14ac:dyDescent="0.25">
      <c r="A151" t="s">
        <v>323</v>
      </c>
      <c r="B151" t="s">
        <v>324</v>
      </c>
    </row>
    <row r="152" spans="1:2" x14ac:dyDescent="0.25">
      <c r="A152" t="s">
        <v>108</v>
      </c>
      <c r="B152" t="s">
        <v>109</v>
      </c>
    </row>
    <row r="153" spans="1:2" x14ac:dyDescent="0.25">
      <c r="A153" t="s">
        <v>110</v>
      </c>
      <c r="B153" t="s">
        <v>111</v>
      </c>
    </row>
    <row r="154" spans="1:2" x14ac:dyDescent="0.25">
      <c r="A154" t="s">
        <v>112</v>
      </c>
      <c r="B154" t="s">
        <v>335</v>
      </c>
    </row>
    <row r="155" spans="1:2" x14ac:dyDescent="0.25">
      <c r="A155" t="s">
        <v>336</v>
      </c>
      <c r="B155" t="s">
        <v>337</v>
      </c>
    </row>
    <row r="156" spans="1:2" x14ac:dyDescent="0.25">
      <c r="A156" t="s">
        <v>120</v>
      </c>
      <c r="B156" t="s">
        <v>348</v>
      </c>
    </row>
    <row r="157" spans="1:2" x14ac:dyDescent="0.25">
      <c r="A157" t="s">
        <v>349</v>
      </c>
      <c r="B157" t="s">
        <v>446</v>
      </c>
    </row>
    <row r="158" spans="1:2" x14ac:dyDescent="0.25">
      <c r="A158" t="s">
        <v>350</v>
      </c>
      <c r="B158" t="s">
        <v>115</v>
      </c>
    </row>
    <row r="159" spans="1:2" x14ac:dyDescent="0.25">
      <c r="A159" t="s">
        <v>438</v>
      </c>
      <c r="B159" t="s">
        <v>352</v>
      </c>
    </row>
    <row r="160" spans="1:2" x14ac:dyDescent="0.25">
      <c r="A160" t="s">
        <v>353</v>
      </c>
      <c r="B160" t="s">
        <v>354</v>
      </c>
    </row>
    <row r="161" spans="1:2" x14ac:dyDescent="0.25">
      <c r="A161" t="s">
        <v>355</v>
      </c>
      <c r="B161" t="s">
        <v>128</v>
      </c>
    </row>
    <row r="162" spans="1:2" x14ac:dyDescent="0.25">
      <c r="A162" t="s">
        <v>129</v>
      </c>
      <c r="B162" t="s">
        <v>362</v>
      </c>
    </row>
    <row r="163" spans="1:2" x14ac:dyDescent="0.25">
      <c r="A163" t="s">
        <v>363</v>
      </c>
      <c r="B163" t="s">
        <v>364</v>
      </c>
    </row>
    <row r="164" spans="1:2" x14ac:dyDescent="0.25">
      <c r="A164" t="s">
        <v>365</v>
      </c>
      <c r="B164" t="s">
        <v>131</v>
      </c>
    </row>
    <row r="165" spans="1:2" x14ac:dyDescent="0.25">
      <c r="A165" t="s">
        <v>374</v>
      </c>
      <c r="B165" t="s">
        <v>375</v>
      </c>
    </row>
    <row r="166" spans="1:2" x14ac:dyDescent="0.25">
      <c r="A166" t="s">
        <v>135</v>
      </c>
      <c r="B166" t="s">
        <v>136</v>
      </c>
    </row>
    <row r="167" spans="1:2" x14ac:dyDescent="0.25">
      <c r="A167" t="s">
        <v>137</v>
      </c>
      <c r="B167" t="s">
        <v>138</v>
      </c>
    </row>
    <row r="168" spans="1:2" x14ac:dyDescent="0.25">
      <c r="A168" t="s">
        <v>139</v>
      </c>
      <c r="B168" t="s">
        <v>140</v>
      </c>
    </row>
    <row r="169" spans="1:2" x14ac:dyDescent="0.25">
      <c r="A169" t="s">
        <v>384</v>
      </c>
      <c r="B169" t="s">
        <v>461</v>
      </c>
    </row>
    <row r="170" spans="1:2" x14ac:dyDescent="0.25">
      <c r="A170" t="s">
        <v>462</v>
      </c>
      <c r="B170" t="s">
        <v>463</v>
      </c>
    </row>
    <row r="171" spans="1:2" x14ac:dyDescent="0.25">
      <c r="A171" t="s">
        <v>464</v>
      </c>
      <c r="B171" t="s">
        <v>465</v>
      </c>
    </row>
    <row r="172" spans="1:2" x14ac:dyDescent="0.25">
      <c r="A172" t="s">
        <v>388</v>
      </c>
      <c r="B172" t="s">
        <v>146</v>
      </c>
    </row>
    <row r="173" spans="1:2" x14ac:dyDescent="0.25">
      <c r="A173" t="s">
        <v>147</v>
      </c>
      <c r="B173" t="s">
        <v>148</v>
      </c>
    </row>
    <row r="174" spans="1:2" x14ac:dyDescent="0.25">
      <c r="A174" t="s">
        <v>385</v>
      </c>
      <c r="B174" t="s">
        <v>475</v>
      </c>
    </row>
    <row r="175" spans="1:2" x14ac:dyDescent="0.25">
      <c r="A175" t="s">
        <v>151</v>
      </c>
      <c r="B175" t="s">
        <v>152</v>
      </c>
    </row>
    <row r="176" spans="1:2" x14ac:dyDescent="0.25">
      <c r="A176" t="s">
        <v>406</v>
      </c>
      <c r="B176" t="s">
        <v>407</v>
      </c>
    </row>
    <row r="177" spans="1:2" x14ac:dyDescent="0.25">
      <c r="A177" t="s">
        <v>408</v>
      </c>
      <c r="B177" t="s">
        <v>502</v>
      </c>
    </row>
    <row r="178" spans="1:2" x14ac:dyDescent="0.25">
      <c r="A178" t="s">
        <v>503</v>
      </c>
      <c r="B178" t="s">
        <v>504</v>
      </c>
    </row>
    <row r="179" spans="1:2" x14ac:dyDescent="0.25">
      <c r="A179" t="s">
        <v>410</v>
      </c>
      <c r="B179" t="s">
        <v>411</v>
      </c>
    </row>
    <row r="180" spans="1:2" x14ac:dyDescent="0.25">
      <c r="A180" t="s">
        <v>412</v>
      </c>
      <c r="B180" t="s">
        <v>160</v>
      </c>
    </row>
    <row r="181" spans="1:2" x14ac:dyDescent="0.25">
      <c r="A181" t="s">
        <v>161</v>
      </c>
      <c r="B181" t="s">
        <v>414</v>
      </c>
    </row>
    <row r="182" spans="1:2" x14ac:dyDescent="0.25">
      <c r="A182" t="s">
        <v>415</v>
      </c>
      <c r="B182" t="s">
        <v>416</v>
      </c>
    </row>
    <row r="183" spans="1:2" x14ac:dyDescent="0.25">
      <c r="A183" t="s">
        <v>173</v>
      </c>
      <c r="B183" t="s">
        <v>166</v>
      </c>
    </row>
    <row r="184" spans="1:2" x14ac:dyDescent="0.25">
      <c r="A184" t="s">
        <v>167</v>
      </c>
      <c r="B184" t="s">
        <v>168</v>
      </c>
    </row>
    <row r="185" spans="1:2" x14ac:dyDescent="0.25">
      <c r="A185" t="s">
        <v>169</v>
      </c>
      <c r="B185" t="s">
        <v>183</v>
      </c>
    </row>
    <row r="186" spans="1:2" x14ac:dyDescent="0.25">
      <c r="A186" t="s">
        <v>444</v>
      </c>
      <c r="B186" t="s">
        <v>172</v>
      </c>
    </row>
    <row r="187" spans="1:2" x14ac:dyDescent="0.25">
      <c r="A187" t="s">
        <v>18</v>
      </c>
      <c r="B187" t="s">
        <v>19</v>
      </c>
    </row>
    <row r="188" spans="1:2" x14ac:dyDescent="0.25">
      <c r="A188" t="s">
        <v>175</v>
      </c>
      <c r="B188" t="s">
        <v>22</v>
      </c>
    </row>
    <row r="189" spans="1:2" x14ac:dyDescent="0.25">
      <c r="A189" t="s">
        <v>181</v>
      </c>
      <c r="B189" t="s">
        <v>182</v>
      </c>
    </row>
    <row r="190" spans="1:2" x14ac:dyDescent="0.25">
      <c r="A190" t="s">
        <v>64</v>
      </c>
      <c r="B190" t="s">
        <v>184</v>
      </c>
    </row>
    <row r="191" spans="1:2" x14ac:dyDescent="0.25">
      <c r="A191" t="s">
        <v>185</v>
      </c>
      <c r="B191" t="s">
        <v>191</v>
      </c>
    </row>
    <row r="192" spans="1:2" x14ac:dyDescent="0.25">
      <c r="A192" t="s">
        <v>192</v>
      </c>
      <c r="B192" t="s">
        <v>66</v>
      </c>
    </row>
    <row r="193" spans="1:2" x14ac:dyDescent="0.25">
      <c r="A193" t="s">
        <v>67</v>
      </c>
      <c r="B193" t="s">
        <v>68</v>
      </c>
    </row>
    <row r="194" spans="1:2" x14ac:dyDescent="0.25">
      <c r="A194" t="s">
        <v>197</v>
      </c>
      <c r="B194" t="s">
        <v>198</v>
      </c>
    </row>
    <row r="195" spans="1:2" x14ac:dyDescent="0.25">
      <c r="A195" t="s">
        <v>199</v>
      </c>
      <c r="B195" t="s">
        <v>43</v>
      </c>
    </row>
    <row r="196" spans="1:2" x14ac:dyDescent="0.25">
      <c r="A196" t="s">
        <v>44</v>
      </c>
      <c r="B196" t="s">
        <v>45</v>
      </c>
    </row>
    <row r="197" spans="1:2" x14ac:dyDescent="0.25">
      <c r="A197" t="s">
        <v>46</v>
      </c>
      <c r="B197" t="s">
        <v>211</v>
      </c>
    </row>
    <row r="198" spans="1:2" x14ac:dyDescent="0.25">
      <c r="A198" t="s">
        <v>212</v>
      </c>
      <c r="B198" t="s">
        <v>214</v>
      </c>
    </row>
    <row r="199" spans="1:2" x14ac:dyDescent="0.25">
      <c r="A199" t="s">
        <v>215</v>
      </c>
      <c r="B199" t="s">
        <v>76</v>
      </c>
    </row>
    <row r="200" spans="1:2" x14ac:dyDescent="0.25">
      <c r="A200" t="s">
        <v>77</v>
      </c>
      <c r="B200" t="s">
        <v>222</v>
      </c>
    </row>
    <row r="201" spans="1:2" x14ac:dyDescent="0.25">
      <c r="A201" t="s">
        <v>223</v>
      </c>
      <c r="B201" t="s">
        <v>217</v>
      </c>
    </row>
    <row r="202" spans="1:2" x14ac:dyDescent="0.25">
      <c r="A202" t="s">
        <v>1</v>
      </c>
      <c r="B202" t="s">
        <v>224</v>
      </c>
    </row>
    <row r="203" spans="1:2" x14ac:dyDescent="0.25">
      <c r="A203" t="s">
        <v>225</v>
      </c>
      <c r="B203" t="s">
        <v>226</v>
      </c>
    </row>
    <row r="204" spans="1:2" x14ac:dyDescent="0.25">
      <c r="A204" t="s">
        <v>4</v>
      </c>
      <c r="B204" t="s">
        <v>232</v>
      </c>
    </row>
    <row r="205" spans="1:2" x14ac:dyDescent="0.25">
      <c r="A205" t="s">
        <v>233</v>
      </c>
      <c r="B205" t="s">
        <v>5</v>
      </c>
    </row>
    <row r="206" spans="1:2" x14ac:dyDescent="0.25">
      <c r="A206" t="s">
        <v>6</v>
      </c>
      <c r="B206" t="s">
        <v>240</v>
      </c>
    </row>
    <row r="207" spans="1:2" x14ac:dyDescent="0.25">
      <c r="A207" t="s">
        <v>241</v>
      </c>
      <c r="B207" t="s">
        <v>10</v>
      </c>
    </row>
    <row r="208" spans="1:2" x14ac:dyDescent="0.25">
      <c r="A208" t="s">
        <v>11</v>
      </c>
      <c r="B208" t="s">
        <v>12</v>
      </c>
    </row>
    <row r="209" spans="1:103" x14ac:dyDescent="0.25">
      <c r="A209" t="s">
        <v>13</v>
      </c>
      <c r="B209" t="s">
        <v>253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257</v>
      </c>
    </row>
    <row r="212" spans="1:103" x14ac:dyDescent="0.25">
      <c r="A212" t="s">
        <v>258</v>
      </c>
      <c r="B212" t="s">
        <v>532</v>
      </c>
    </row>
    <row r="213" spans="1:103" x14ac:dyDescent="0.25">
      <c r="A213" t="s">
        <v>533</v>
      </c>
      <c r="B213" t="s">
        <v>16</v>
      </c>
      <c r="BS213" t="b">
        <v>1</v>
      </c>
    </row>
    <row r="214" spans="1:103" x14ac:dyDescent="0.25">
      <c r="A214" t="s">
        <v>17</v>
      </c>
      <c r="B214" t="s">
        <v>264</v>
      </c>
    </row>
    <row r="215" spans="1:103" x14ac:dyDescent="0.25">
      <c r="A215" t="s">
        <v>265</v>
      </c>
      <c r="B215" t="s">
        <v>549</v>
      </c>
    </row>
    <row r="216" spans="1:103" x14ac:dyDescent="0.25">
      <c r="A216" t="s">
        <v>550</v>
      </c>
      <c r="B216" t="s">
        <v>266</v>
      </c>
    </row>
    <row r="217" spans="1:103" x14ac:dyDescent="0.25">
      <c r="A217" t="s">
        <v>267</v>
      </c>
      <c r="B217" t="s">
        <v>261</v>
      </c>
    </row>
    <row r="218" spans="1:103" x14ac:dyDescent="0.25">
      <c r="A218" t="s">
        <v>262</v>
      </c>
      <c r="B218" t="s">
        <v>271</v>
      </c>
    </row>
    <row r="219" spans="1:103" x14ac:dyDescent="0.25">
      <c r="A219" t="s">
        <v>272</v>
      </c>
      <c r="B219" t="s">
        <v>273</v>
      </c>
    </row>
    <row r="220" spans="1:103" x14ac:dyDescent="0.25">
      <c r="A220" t="s">
        <v>36</v>
      </c>
      <c r="B220" t="s">
        <v>37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268</v>
      </c>
      <c r="AE221" t="b">
        <v>1</v>
      </c>
    </row>
    <row r="222" spans="1:103" x14ac:dyDescent="0.25">
      <c r="A222" t="s">
        <v>269</v>
      </c>
      <c r="B222" t="s">
        <v>270</v>
      </c>
      <c r="CY222" t="b">
        <v>1</v>
      </c>
    </row>
    <row r="223" spans="1:103" x14ac:dyDescent="0.25">
      <c r="A223" t="s">
        <v>40</v>
      </c>
      <c r="B223" t="s">
        <v>41</v>
      </c>
    </row>
    <row r="224" spans="1:103" x14ac:dyDescent="0.25">
      <c r="A224" t="s">
        <v>42</v>
      </c>
      <c r="B224" t="s">
        <v>274</v>
      </c>
      <c r="CI224" t="b">
        <v>1</v>
      </c>
    </row>
    <row r="225" spans="1:2" x14ac:dyDescent="0.25">
      <c r="A225" t="s">
        <v>275</v>
      </c>
      <c r="B225" t="s">
        <v>276</v>
      </c>
    </row>
    <row r="226" spans="1:2" x14ac:dyDescent="0.25">
      <c r="A226" t="s">
        <v>73</v>
      </c>
      <c r="B226" t="s">
        <v>74</v>
      </c>
    </row>
    <row r="227" spans="1:2" x14ac:dyDescent="0.25">
      <c r="A227" t="s">
        <v>75</v>
      </c>
      <c r="B227" t="s">
        <v>87</v>
      </c>
    </row>
    <row r="228" spans="1:2" x14ac:dyDescent="0.25">
      <c r="A228" t="s">
        <v>88</v>
      </c>
      <c r="B228" t="s">
        <v>48</v>
      </c>
    </row>
    <row r="229" spans="1:2" x14ac:dyDescent="0.25">
      <c r="A229" t="s">
        <v>49</v>
      </c>
      <c r="B229" t="s">
        <v>50</v>
      </c>
    </row>
    <row r="230" spans="1:2" x14ac:dyDescent="0.25">
      <c r="A230" t="s">
        <v>51</v>
      </c>
      <c r="B230" t="s">
        <v>52</v>
      </c>
    </row>
    <row r="231" spans="1:2" x14ac:dyDescent="0.25">
      <c r="A231" t="s">
        <v>53</v>
      </c>
      <c r="B231" t="s">
        <v>54</v>
      </c>
    </row>
    <row r="232" spans="1:2" x14ac:dyDescent="0.25">
      <c r="A232" t="s">
        <v>55</v>
      </c>
      <c r="B232" t="s">
        <v>56</v>
      </c>
    </row>
    <row r="233" spans="1:2" x14ac:dyDescent="0.25">
      <c r="A233" t="s">
        <v>57</v>
      </c>
      <c r="B233" t="s">
        <v>58</v>
      </c>
    </row>
    <row r="234" spans="1:2" x14ac:dyDescent="0.25">
      <c r="A234" t="s">
        <v>59</v>
      </c>
      <c r="B234" t="s">
        <v>23</v>
      </c>
    </row>
    <row r="235" spans="1:2" x14ac:dyDescent="0.25">
      <c r="A235" t="s">
        <v>24</v>
      </c>
      <c r="B235" t="s">
        <v>31</v>
      </c>
    </row>
    <row r="236" spans="1:2" x14ac:dyDescent="0.25">
      <c r="A236" t="s">
        <v>32</v>
      </c>
      <c r="B236" t="s">
        <v>100</v>
      </c>
    </row>
    <row r="237" spans="1:2" x14ac:dyDescent="0.25">
      <c r="A237" t="s">
        <v>101</v>
      </c>
      <c r="B237" t="s">
        <v>158</v>
      </c>
    </row>
    <row r="238" spans="1:2" x14ac:dyDescent="0.25">
      <c r="A238" t="s">
        <v>159</v>
      </c>
      <c r="B238" t="s">
        <v>106</v>
      </c>
    </row>
    <row r="239" spans="1:2" x14ac:dyDescent="0.25">
      <c r="A239" t="s">
        <v>107</v>
      </c>
      <c r="B239" t="s">
        <v>14</v>
      </c>
    </row>
    <row r="240" spans="1:2" x14ac:dyDescent="0.25">
      <c r="A240" t="s">
        <v>15</v>
      </c>
      <c r="B240" t="s">
        <v>170</v>
      </c>
    </row>
    <row r="241" spans="1:2" x14ac:dyDescent="0.25">
      <c r="A241" t="s">
        <v>171</v>
      </c>
      <c r="B241" t="s">
        <v>116</v>
      </c>
    </row>
    <row r="242" spans="1:2" x14ac:dyDescent="0.25">
      <c r="A242" t="s">
        <v>117</v>
      </c>
      <c r="B242" t="s">
        <v>118</v>
      </c>
    </row>
    <row r="243" spans="1:2" x14ac:dyDescent="0.25">
      <c r="A243" t="s">
        <v>119</v>
      </c>
      <c r="B243" t="s">
        <v>121</v>
      </c>
    </row>
    <row r="244" spans="1:2" x14ac:dyDescent="0.25">
      <c r="A244" t="s">
        <v>122</v>
      </c>
      <c r="B244" t="s">
        <v>123</v>
      </c>
    </row>
    <row r="245" spans="1:2" x14ac:dyDescent="0.25">
      <c r="A245" t="s">
        <v>176</v>
      </c>
      <c r="B245" t="s">
        <v>35</v>
      </c>
    </row>
    <row r="246" spans="1:2" x14ac:dyDescent="0.25">
      <c r="A246" t="s">
        <v>126</v>
      </c>
      <c r="B246" t="s">
        <v>127</v>
      </c>
    </row>
    <row r="247" spans="1:2" x14ac:dyDescent="0.25">
      <c r="A247" t="s">
        <v>130</v>
      </c>
      <c r="B247" t="s">
        <v>38</v>
      </c>
    </row>
    <row r="248" spans="1:2" x14ac:dyDescent="0.25">
      <c r="A248" t="s">
        <v>39</v>
      </c>
      <c r="B248" t="s">
        <v>132</v>
      </c>
    </row>
    <row r="249" spans="1:2" x14ac:dyDescent="0.25">
      <c r="A249" t="s">
        <v>133</v>
      </c>
      <c r="B249" t="s">
        <v>134</v>
      </c>
    </row>
    <row r="250" spans="1:2" x14ac:dyDescent="0.25">
      <c r="A250" t="s">
        <v>69</v>
      </c>
      <c r="B250" t="s">
        <v>70</v>
      </c>
    </row>
    <row r="251" spans="1:2" x14ac:dyDescent="0.25">
      <c r="A251" t="s">
        <v>71</v>
      </c>
      <c r="B251" t="s">
        <v>72</v>
      </c>
    </row>
    <row r="252" spans="1:2" x14ac:dyDescent="0.25">
      <c r="A252" t="s">
        <v>141</v>
      </c>
      <c r="B252" t="s">
        <v>142</v>
      </c>
    </row>
    <row r="253" spans="1:2" x14ac:dyDescent="0.25">
      <c r="A253" t="s">
        <v>143</v>
      </c>
      <c r="B253" t="s">
        <v>144</v>
      </c>
    </row>
    <row r="254" spans="1:2" x14ac:dyDescent="0.25">
      <c r="A254" t="s">
        <v>145</v>
      </c>
      <c r="B254" t="s">
        <v>47</v>
      </c>
    </row>
    <row r="255" spans="1:2" x14ac:dyDescent="0.25">
      <c r="A255" t="s">
        <v>386</v>
      </c>
      <c r="B255" t="s">
        <v>387</v>
      </c>
    </row>
    <row r="256" spans="1:2" x14ac:dyDescent="0.25">
      <c r="A256" t="s">
        <v>30</v>
      </c>
      <c r="B256" t="s">
        <v>149</v>
      </c>
    </row>
    <row r="257" spans="1:2" x14ac:dyDescent="0.25">
      <c r="A257" t="s">
        <v>33</v>
      </c>
      <c r="B257" t="s">
        <v>34</v>
      </c>
    </row>
    <row r="258" spans="1:2" x14ac:dyDescent="0.25">
      <c r="A258" t="s">
        <v>153</v>
      </c>
      <c r="B258" t="s">
        <v>154</v>
      </c>
    </row>
    <row r="259" spans="1:2" x14ac:dyDescent="0.25">
      <c r="A259" t="s">
        <v>155</v>
      </c>
      <c r="B259" t="s">
        <v>156</v>
      </c>
    </row>
    <row r="260" spans="1:2" x14ac:dyDescent="0.25">
      <c r="A260" t="s">
        <v>157</v>
      </c>
      <c r="B260" t="s">
        <v>150</v>
      </c>
    </row>
    <row r="261" spans="1:2" x14ac:dyDescent="0.25">
      <c r="A261" t="s">
        <v>3</v>
      </c>
      <c r="B261" t="s">
        <v>409</v>
      </c>
    </row>
    <row r="262" spans="1:2" x14ac:dyDescent="0.25">
      <c r="A262" t="s">
        <v>78</v>
      </c>
      <c r="B262" t="s">
        <v>79</v>
      </c>
    </row>
    <row r="263" spans="1:2" x14ac:dyDescent="0.25">
      <c r="A263" t="s">
        <v>80</v>
      </c>
      <c r="B263" t="s">
        <v>81</v>
      </c>
    </row>
    <row r="264" spans="1:2" x14ac:dyDescent="0.25">
      <c r="A264" t="s">
        <v>82</v>
      </c>
      <c r="B264" t="s">
        <v>83</v>
      </c>
    </row>
    <row r="265" spans="1:2" x14ac:dyDescent="0.25">
      <c r="A265" t="s">
        <v>84</v>
      </c>
      <c r="B265" t="s">
        <v>85</v>
      </c>
    </row>
    <row r="266" spans="1:2" x14ac:dyDescent="0.25">
      <c r="A266" t="s">
        <v>86</v>
      </c>
      <c r="B266" t="s">
        <v>213</v>
      </c>
    </row>
    <row r="267" spans="1:2" x14ac:dyDescent="0.25">
      <c r="A267" t="s">
        <v>29</v>
      </c>
      <c r="B267" t="s">
        <v>89</v>
      </c>
    </row>
    <row r="268" spans="1:2" x14ac:dyDescent="0.25">
      <c r="A268" t="s">
        <v>90</v>
      </c>
      <c r="B268" t="s">
        <v>0</v>
      </c>
    </row>
    <row r="269" spans="1:2" x14ac:dyDescent="0.25">
      <c r="A269" t="s">
        <v>95</v>
      </c>
      <c r="B269" t="s">
        <v>96</v>
      </c>
    </row>
    <row r="270" spans="1:2" x14ac:dyDescent="0.25">
      <c r="A270" t="s">
        <v>2</v>
      </c>
      <c r="B270" t="s">
        <v>103</v>
      </c>
    </row>
    <row r="271" spans="1:2" x14ac:dyDescent="0.25">
      <c r="A271" t="s">
        <v>7</v>
      </c>
      <c r="B271" t="s">
        <v>8</v>
      </c>
    </row>
    <row r="273" spans="1:2" x14ac:dyDescent="0.25">
      <c r="A273" t="s">
        <v>9</v>
      </c>
      <c r="B273" t="s">
        <v>162</v>
      </c>
    </row>
    <row r="274" spans="1:2" x14ac:dyDescent="0.25">
      <c r="A274" t="s">
        <v>163</v>
      </c>
      <c r="B274" t="s">
        <v>113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442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5408</v>
      </c>
      <c r="AF2">
        <v>4</v>
      </c>
      <c r="AH2" s="1" t="s">
        <v>656</v>
      </c>
      <c r="AK2">
        <v>515</v>
      </c>
      <c r="AL2">
        <v>223</v>
      </c>
      <c r="AM2" t="s">
        <v>5409</v>
      </c>
      <c r="AN2">
        <v>5</v>
      </c>
      <c r="AP2" s="1" t="s">
        <v>657</v>
      </c>
      <c r="AS2">
        <v>546</v>
      </c>
      <c r="AT2">
        <v>312</v>
      </c>
      <c r="AU2" t="s">
        <v>457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1301</v>
      </c>
      <c r="BL2">
        <v>5</v>
      </c>
      <c r="BN2" s="1" t="s">
        <v>659</v>
      </c>
      <c r="BQ2">
        <v>523</v>
      </c>
      <c r="BR2">
        <v>293</v>
      </c>
      <c r="BS2" t="s">
        <v>5410</v>
      </c>
      <c r="BT2">
        <v>5</v>
      </c>
      <c r="BV2" s="1" t="s">
        <v>660</v>
      </c>
      <c r="BY2">
        <v>523</v>
      </c>
      <c r="BZ2">
        <v>195</v>
      </c>
      <c r="CA2" t="s">
        <v>5411</v>
      </c>
      <c r="CB2">
        <v>5</v>
      </c>
      <c r="CD2" s="1" t="s">
        <v>661</v>
      </c>
      <c r="CG2">
        <v>523</v>
      </c>
      <c r="CH2">
        <v>203</v>
      </c>
      <c r="CI2" t="s">
        <v>5412</v>
      </c>
      <c r="CJ2">
        <v>5</v>
      </c>
      <c r="CL2" s="1" t="s">
        <v>662</v>
      </c>
      <c r="CO2">
        <v>523</v>
      </c>
      <c r="CP2">
        <v>263</v>
      </c>
      <c r="CQ2" t="s">
        <v>498</v>
      </c>
      <c r="CR2">
        <v>5</v>
      </c>
      <c r="CT2" s="1" t="s">
        <v>663</v>
      </c>
      <c r="CW2">
        <v>516</v>
      </c>
      <c r="CX2">
        <v>298</v>
      </c>
      <c r="CY2" t="s">
        <v>5413</v>
      </c>
      <c r="CZ2">
        <v>4</v>
      </c>
    </row>
    <row r="3" spans="1:104" x14ac:dyDescent="0.25">
      <c r="W3" t="str">
        <f>dbCorrelationTitle</f>
        <v>Korrelation</v>
      </c>
      <c r="Z3">
        <v>1</v>
      </c>
      <c r="AA3">
        <v>414</v>
      </c>
      <c r="AB3">
        <v>6</v>
      </c>
      <c r="AC3">
        <v>88</v>
      </c>
      <c r="AE3" t="s">
        <v>390</v>
      </c>
      <c r="AH3">
        <v>1</v>
      </c>
      <c r="AI3">
        <v>412</v>
      </c>
      <c r="AJ3">
        <v>7</v>
      </c>
      <c r="AK3">
        <v>90</v>
      </c>
      <c r="AM3" t="s">
        <v>390</v>
      </c>
      <c r="AP3">
        <v>1</v>
      </c>
      <c r="AQ3">
        <v>443</v>
      </c>
      <c r="AR3">
        <v>8</v>
      </c>
      <c r="AS3">
        <v>90</v>
      </c>
      <c r="AU3" t="s">
        <v>390</v>
      </c>
      <c r="AX3">
        <v>1</v>
      </c>
      <c r="AY3">
        <v>418</v>
      </c>
      <c r="AZ3">
        <v>8</v>
      </c>
      <c r="BA3">
        <v>104</v>
      </c>
      <c r="BC3" t="s">
        <v>390</v>
      </c>
      <c r="BF3">
        <v>1</v>
      </c>
      <c r="BG3">
        <v>407</v>
      </c>
      <c r="BH3">
        <v>7</v>
      </c>
      <c r="BI3">
        <v>90</v>
      </c>
      <c r="BK3" t="s">
        <v>390</v>
      </c>
      <c r="BN3">
        <v>1</v>
      </c>
      <c r="BO3">
        <v>407</v>
      </c>
      <c r="BP3">
        <v>7</v>
      </c>
      <c r="BQ3">
        <v>90</v>
      </c>
      <c r="BS3" t="s">
        <v>390</v>
      </c>
      <c r="BV3">
        <v>1</v>
      </c>
      <c r="BW3">
        <v>407</v>
      </c>
      <c r="BX3">
        <v>7</v>
      </c>
      <c r="BY3">
        <v>90</v>
      </c>
      <c r="CA3" t="s">
        <v>390</v>
      </c>
      <c r="CD3">
        <v>1</v>
      </c>
      <c r="CE3">
        <v>407</v>
      </c>
      <c r="CF3">
        <v>7</v>
      </c>
      <c r="CG3">
        <v>90</v>
      </c>
      <c r="CI3" t="s">
        <v>390</v>
      </c>
      <c r="CL3">
        <v>1</v>
      </c>
      <c r="CM3">
        <v>407</v>
      </c>
      <c r="CN3">
        <v>7</v>
      </c>
      <c r="CO3">
        <v>90</v>
      </c>
      <c r="CQ3" t="s">
        <v>390</v>
      </c>
      <c r="CT3">
        <v>1</v>
      </c>
      <c r="CU3">
        <v>410</v>
      </c>
      <c r="CV3">
        <v>8</v>
      </c>
      <c r="CW3">
        <v>90</v>
      </c>
      <c r="CY3" t="s">
        <v>390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4164</v>
      </c>
      <c r="AH4">
        <v>2</v>
      </c>
      <c r="AI4">
        <v>412</v>
      </c>
      <c r="AJ4">
        <v>30</v>
      </c>
      <c r="AK4">
        <v>90</v>
      </c>
      <c r="AM4" t="s">
        <v>4164</v>
      </c>
      <c r="AP4">
        <v>2</v>
      </c>
      <c r="AQ4">
        <v>443</v>
      </c>
      <c r="AR4">
        <v>31</v>
      </c>
      <c r="AS4">
        <v>90</v>
      </c>
      <c r="AU4" t="s">
        <v>4164</v>
      </c>
      <c r="AX4">
        <v>2</v>
      </c>
      <c r="AY4">
        <v>418</v>
      </c>
      <c r="AZ4">
        <v>33</v>
      </c>
      <c r="BA4">
        <v>104</v>
      </c>
      <c r="BC4" t="s">
        <v>4164</v>
      </c>
      <c r="BF4">
        <v>2</v>
      </c>
      <c r="BG4">
        <v>407</v>
      </c>
      <c r="BH4">
        <v>30</v>
      </c>
      <c r="BI4">
        <v>90</v>
      </c>
      <c r="BK4" t="s">
        <v>4164</v>
      </c>
      <c r="BN4">
        <v>2</v>
      </c>
      <c r="BO4">
        <v>407</v>
      </c>
      <c r="BP4">
        <v>30</v>
      </c>
      <c r="BQ4">
        <v>90</v>
      </c>
      <c r="BS4" t="s">
        <v>4164</v>
      </c>
      <c r="BV4">
        <v>2</v>
      </c>
      <c r="BW4">
        <v>407</v>
      </c>
      <c r="BX4">
        <v>30</v>
      </c>
      <c r="BY4">
        <v>90</v>
      </c>
      <c r="CA4" t="s">
        <v>4164</v>
      </c>
      <c r="CD4">
        <v>2</v>
      </c>
      <c r="CE4">
        <v>407</v>
      </c>
      <c r="CF4">
        <v>30</v>
      </c>
      <c r="CG4">
        <v>90</v>
      </c>
      <c r="CI4" t="s">
        <v>4164</v>
      </c>
      <c r="CL4">
        <v>2</v>
      </c>
      <c r="CM4">
        <v>407</v>
      </c>
      <c r="CN4">
        <v>30</v>
      </c>
      <c r="CO4">
        <v>90</v>
      </c>
      <c r="CQ4" t="s">
        <v>4164</v>
      </c>
      <c r="CT4">
        <v>2</v>
      </c>
      <c r="CU4">
        <v>410</v>
      </c>
      <c r="CV4">
        <v>31</v>
      </c>
      <c r="CW4">
        <v>90</v>
      </c>
      <c r="CY4" t="s">
        <v>4164</v>
      </c>
    </row>
    <row r="5" spans="1:104" x14ac:dyDescent="0.25">
      <c r="T5">
        <v>0</v>
      </c>
      <c r="U5" t="str">
        <f>dbAnova1Title</f>
        <v>Anova: En faktor</v>
      </c>
      <c r="V5">
        <v>0</v>
      </c>
      <c r="W5" t="str">
        <f>dbAnova1Title</f>
        <v>Anova: En faktor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5414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5415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5415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5416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5415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5415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5415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5415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5415</v>
      </c>
      <c r="CT5">
        <v>5</v>
      </c>
      <c r="CU5">
        <v>17</v>
      </c>
      <c r="CV5">
        <v>12</v>
      </c>
      <c r="CY5" t="s">
        <v>1310</v>
      </c>
    </row>
    <row r="6" spans="1:104" x14ac:dyDescent="0.25">
      <c r="T6">
        <v>1</v>
      </c>
      <c r="U6" t="str">
        <f>dbAnova2Title</f>
        <v>Anova: Två faktorer med reproducering</v>
      </c>
      <c r="V6">
        <v>1</v>
      </c>
      <c r="W6" t="str">
        <f>dbAnova2Title</f>
        <v>Anova: Två faktorer med reproducering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5417</v>
      </c>
      <c r="AP6">
        <v>5</v>
      </c>
      <c r="AQ6">
        <v>24</v>
      </c>
      <c r="AR6">
        <v>22</v>
      </c>
      <c r="AU6" t="s">
        <v>5418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5417</v>
      </c>
      <c r="BN6">
        <v>5</v>
      </c>
      <c r="BO6">
        <v>18</v>
      </c>
      <c r="BP6">
        <v>19</v>
      </c>
      <c r="BS6" t="s">
        <v>5417</v>
      </c>
      <c r="BV6">
        <v>5</v>
      </c>
      <c r="BW6">
        <v>18</v>
      </c>
      <c r="BX6">
        <v>19</v>
      </c>
      <c r="CA6" t="s">
        <v>5417</v>
      </c>
      <c r="CD6">
        <v>5</v>
      </c>
      <c r="CE6">
        <v>18</v>
      </c>
      <c r="CF6">
        <v>19</v>
      </c>
      <c r="CI6" t="s">
        <v>4171</v>
      </c>
      <c r="CL6">
        <v>5</v>
      </c>
      <c r="CM6">
        <v>18</v>
      </c>
      <c r="CN6">
        <v>19</v>
      </c>
      <c r="CQ6" t="s">
        <v>5417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Två faktorer utan reproducering</v>
      </c>
      <c r="V7">
        <v>2</v>
      </c>
      <c r="W7" t="str">
        <f>dbAnova3Title</f>
        <v>Anova: Två faktorer utan reproducering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5419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5420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Korrelation</v>
      </c>
      <c r="V8">
        <v>3</v>
      </c>
      <c r="W8" t="str">
        <f>dbCorrelationTitle</f>
        <v>Korrelation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5421</v>
      </c>
      <c r="AP8">
        <v>5</v>
      </c>
      <c r="AQ8">
        <v>24</v>
      </c>
      <c r="AR8">
        <v>48</v>
      </c>
      <c r="AU8" t="s">
        <v>5422</v>
      </c>
      <c r="AX8">
        <v>12</v>
      </c>
      <c r="AZ8">
        <v>90</v>
      </c>
      <c r="BC8" t="s">
        <v>5423</v>
      </c>
      <c r="BF8">
        <v>5</v>
      </c>
      <c r="BG8">
        <v>18</v>
      </c>
      <c r="BH8">
        <v>44</v>
      </c>
      <c r="BK8" t="s">
        <v>5421</v>
      </c>
      <c r="BN8">
        <v>5</v>
      </c>
      <c r="BO8">
        <v>18</v>
      </c>
      <c r="BP8">
        <v>44</v>
      </c>
      <c r="BS8" t="s">
        <v>5424</v>
      </c>
      <c r="BV8">
        <v>5</v>
      </c>
      <c r="BW8">
        <v>17</v>
      </c>
      <c r="BX8">
        <v>40</v>
      </c>
      <c r="CA8" t="s">
        <v>5425</v>
      </c>
      <c r="CD8">
        <v>5</v>
      </c>
      <c r="CE8">
        <v>18</v>
      </c>
      <c r="CF8">
        <v>41</v>
      </c>
      <c r="CI8" t="s">
        <v>4176</v>
      </c>
      <c r="CL8">
        <v>13</v>
      </c>
      <c r="CM8">
        <v>18</v>
      </c>
      <c r="CN8">
        <v>39</v>
      </c>
      <c r="CQ8" t="s">
        <v>1321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Kovarians</v>
      </c>
      <c r="V9">
        <v>4</v>
      </c>
      <c r="W9" t="str">
        <f>dbCovarianceTitle</f>
        <v>Kovarians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5426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5427</v>
      </c>
      <c r="CT9">
        <v>5</v>
      </c>
      <c r="CU9">
        <v>17</v>
      </c>
      <c r="CV9">
        <v>63</v>
      </c>
      <c r="CY9" t="s">
        <v>5428</v>
      </c>
    </row>
    <row r="10" spans="1:104" x14ac:dyDescent="0.25">
      <c r="A10" t="s">
        <v>505</v>
      </c>
      <c r="B10" t="s">
        <v>5429</v>
      </c>
      <c r="T10">
        <v>5</v>
      </c>
      <c r="U10" t="str">
        <f>dbDescripTitle</f>
        <v>Beskrivande statistik</v>
      </c>
      <c r="V10">
        <v>5</v>
      </c>
      <c r="W10" t="str">
        <f>dbDescripTitle</f>
        <v>Beskrivande statistik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5430</v>
      </c>
      <c r="AP10">
        <v>13</v>
      </c>
      <c r="AQ10">
        <v>25</v>
      </c>
      <c r="AR10">
        <v>75</v>
      </c>
      <c r="AU10" t="s">
        <v>5431</v>
      </c>
      <c r="AV10" t="b">
        <v>0</v>
      </c>
      <c r="AX10">
        <v>12</v>
      </c>
      <c r="AZ10">
        <v>130</v>
      </c>
      <c r="BC10" t="s">
        <v>5432</v>
      </c>
      <c r="BF10">
        <v>12</v>
      </c>
      <c r="BG10">
        <v>220</v>
      </c>
      <c r="BH10">
        <v>40</v>
      </c>
      <c r="BK10" t="s">
        <v>5430</v>
      </c>
      <c r="BN10">
        <v>12</v>
      </c>
      <c r="BO10">
        <v>220</v>
      </c>
      <c r="BP10">
        <v>40</v>
      </c>
      <c r="BS10" t="s">
        <v>5430</v>
      </c>
      <c r="BV10">
        <v>13</v>
      </c>
      <c r="BW10">
        <v>17</v>
      </c>
      <c r="BX10">
        <v>60</v>
      </c>
      <c r="CA10" t="s">
        <v>1321</v>
      </c>
      <c r="CB10" t="b">
        <v>0</v>
      </c>
      <c r="CD10">
        <v>13</v>
      </c>
      <c r="CE10">
        <v>18</v>
      </c>
      <c r="CF10">
        <v>64</v>
      </c>
      <c r="CI10" t="s">
        <v>1321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5433</v>
      </c>
      <c r="T11">
        <v>6</v>
      </c>
      <c r="U11" t="str">
        <f>dbExponentTitle</f>
        <v>Exponentiell utjämning</v>
      </c>
      <c r="V11">
        <v>6</v>
      </c>
      <c r="W11" t="str">
        <f>dbExponentTitle</f>
        <v>Exponentiell utjämning</v>
      </c>
      <c r="X11" t="s">
        <v>452</v>
      </c>
      <c r="Y11" s="1" t="s">
        <v>660</v>
      </c>
      <c r="AH11">
        <v>12</v>
      </c>
      <c r="AM11" t="s">
        <v>4181</v>
      </c>
      <c r="AP11">
        <v>13</v>
      </c>
      <c r="AQ11">
        <v>197</v>
      </c>
      <c r="AR11">
        <v>75</v>
      </c>
      <c r="AU11" t="s">
        <v>5434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5435</v>
      </c>
      <c r="BF11">
        <v>12</v>
      </c>
      <c r="BK11" t="s">
        <v>4181</v>
      </c>
      <c r="BN11">
        <v>12</v>
      </c>
      <c r="BS11" t="s">
        <v>4181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5416</v>
      </c>
      <c r="CD11">
        <v>5</v>
      </c>
      <c r="CE11">
        <v>18</v>
      </c>
      <c r="CF11">
        <v>85</v>
      </c>
      <c r="CI11" t="s">
        <v>1019</v>
      </c>
      <c r="CL11">
        <v>12</v>
      </c>
      <c r="CM11">
        <v>18</v>
      </c>
      <c r="CN11">
        <v>82</v>
      </c>
      <c r="CQ11" t="s">
        <v>1332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5436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F-test: Två sampel antar olika varianser</v>
      </c>
      <c r="V12">
        <v>7</v>
      </c>
      <c r="W12" t="str">
        <f>dbFTestTitle</f>
        <v>F-test: Två sampel antar olika varianser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5433</v>
      </c>
      <c r="AN12" t="b">
        <v>0</v>
      </c>
      <c r="AP12">
        <v>113</v>
      </c>
      <c r="AQ12">
        <v>25</v>
      </c>
      <c r="AR12">
        <v>93</v>
      </c>
      <c r="AU12" t="s">
        <v>4184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5433</v>
      </c>
      <c r="BL12" t="b">
        <v>0</v>
      </c>
      <c r="BN12">
        <v>13</v>
      </c>
      <c r="BO12">
        <v>18</v>
      </c>
      <c r="BP12">
        <v>75</v>
      </c>
      <c r="BS12" t="s">
        <v>5437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5438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Fourieranalys</v>
      </c>
      <c r="V13">
        <v>8</v>
      </c>
      <c r="W13" t="str">
        <f>dbFourierTitle</f>
        <v>Fourieranalys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1019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5416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5416</v>
      </c>
      <c r="BV13">
        <v>5</v>
      </c>
      <c r="BW13">
        <v>17</v>
      </c>
      <c r="BX13">
        <v>99</v>
      </c>
      <c r="CA13" t="s">
        <v>4186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5416</v>
      </c>
      <c r="CL13">
        <v>5</v>
      </c>
      <c r="CM13">
        <v>42</v>
      </c>
      <c r="CN13">
        <v>103</v>
      </c>
      <c r="CQ13" t="s">
        <v>403</v>
      </c>
      <c r="CT13">
        <v>5</v>
      </c>
    </row>
    <row r="14" spans="1:104" x14ac:dyDescent="0.25">
      <c r="A14" t="s">
        <v>404</v>
      </c>
      <c r="B14" t="s">
        <v>5439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523</v>
      </c>
      <c r="T15">
        <v>10</v>
      </c>
      <c r="U15" t="str">
        <f>dbMovingTitle</f>
        <v>Glidande medelvärde</v>
      </c>
      <c r="V15">
        <v>10</v>
      </c>
      <c r="W15" t="str">
        <f>dbMovingTitle</f>
        <v>Glidande medelvärde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5416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5416</v>
      </c>
      <c r="AX15">
        <v>24</v>
      </c>
      <c r="AY15">
        <v>418</v>
      </c>
      <c r="AZ15">
        <v>66</v>
      </c>
      <c r="BA15">
        <v>104</v>
      </c>
      <c r="BC15" t="s">
        <v>5441</v>
      </c>
      <c r="BF15">
        <v>12</v>
      </c>
      <c r="BG15">
        <v>20</v>
      </c>
      <c r="BH15">
        <v>120</v>
      </c>
      <c r="BK15" t="s">
        <v>4186</v>
      </c>
      <c r="BN15">
        <v>12</v>
      </c>
      <c r="BO15">
        <v>18</v>
      </c>
      <c r="BP15">
        <v>127</v>
      </c>
      <c r="BS15" t="s">
        <v>4186</v>
      </c>
      <c r="BV15">
        <v>205</v>
      </c>
      <c r="BW15">
        <v>17</v>
      </c>
      <c r="BX15">
        <v>119</v>
      </c>
      <c r="CA15" t="s">
        <v>5440</v>
      </c>
      <c r="CD15">
        <v>12</v>
      </c>
      <c r="CE15">
        <v>18</v>
      </c>
      <c r="CF15">
        <v>132</v>
      </c>
      <c r="CI15" t="s">
        <v>4186</v>
      </c>
      <c r="CL15">
        <v>5</v>
      </c>
      <c r="CM15">
        <v>42</v>
      </c>
      <c r="CN15">
        <v>146</v>
      </c>
      <c r="CQ15" t="s">
        <v>5443</v>
      </c>
      <c r="CT15">
        <v>5</v>
      </c>
    </row>
    <row r="16" spans="1:104" x14ac:dyDescent="0.25">
      <c r="A16" t="s">
        <v>526</v>
      </c>
      <c r="B16" t="s">
        <v>5444</v>
      </c>
      <c r="T16">
        <v>11</v>
      </c>
      <c r="U16" t="str">
        <f>dbRandomTitle</f>
        <v>Slumptalsgenerering</v>
      </c>
      <c r="V16">
        <v>11</v>
      </c>
      <c r="W16" t="str">
        <f>dbRandomTitle</f>
        <v>Slumptalsgenerering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5440</v>
      </c>
      <c r="BN16">
        <v>12</v>
      </c>
      <c r="BP16">
        <v>147</v>
      </c>
      <c r="BS16" t="s">
        <v>5440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5440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1648</v>
      </c>
      <c r="T17">
        <v>12</v>
      </c>
      <c r="U17" t="str">
        <f>dbRankPerTitle</f>
        <v>Rang och percentil</v>
      </c>
      <c r="V17">
        <v>12</v>
      </c>
      <c r="W17" t="str">
        <f>dbRankPerTitle</f>
        <v>Rang och percentil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4186</v>
      </c>
      <c r="AP17">
        <v>12</v>
      </c>
      <c r="AQ17">
        <v>24</v>
      </c>
      <c r="AR17">
        <v>142</v>
      </c>
      <c r="AU17" t="s">
        <v>4186</v>
      </c>
      <c r="BF17">
        <v>12</v>
      </c>
      <c r="BH17">
        <v>160</v>
      </c>
      <c r="BK17" t="s">
        <v>5442</v>
      </c>
      <c r="BN17">
        <v>12</v>
      </c>
      <c r="BP17">
        <v>167</v>
      </c>
      <c r="BS17" t="s">
        <v>5442</v>
      </c>
      <c r="BV17">
        <v>205</v>
      </c>
      <c r="BW17">
        <v>17</v>
      </c>
      <c r="BX17">
        <v>139</v>
      </c>
      <c r="CA17" t="s">
        <v>5442</v>
      </c>
      <c r="CD17">
        <v>12</v>
      </c>
      <c r="CF17">
        <v>172</v>
      </c>
      <c r="CI17" t="s">
        <v>5445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5416</v>
      </c>
      <c r="CT17">
        <v>5</v>
      </c>
    </row>
    <row r="18" spans="1:104" x14ac:dyDescent="0.25">
      <c r="A18" t="s">
        <v>531</v>
      </c>
      <c r="B18" t="s">
        <v>5446</v>
      </c>
      <c r="T18">
        <v>13</v>
      </c>
      <c r="U18" t="str">
        <f>dbRegressionTitle</f>
        <v>Regression</v>
      </c>
      <c r="V18">
        <v>13</v>
      </c>
      <c r="W18" t="str">
        <f>dbRegressionTitle</f>
        <v>Regression</v>
      </c>
      <c r="X18" t="s">
        <v>448</v>
      </c>
      <c r="Y18" s="1" t="s">
        <v>657</v>
      </c>
      <c r="AH18">
        <v>12</v>
      </c>
      <c r="AJ18">
        <v>169</v>
      </c>
      <c r="AM18" t="s">
        <v>5440</v>
      </c>
      <c r="AP18">
        <v>12</v>
      </c>
      <c r="AR18">
        <v>162</v>
      </c>
      <c r="AU18" t="s">
        <v>5440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5447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1346</v>
      </c>
      <c r="T19">
        <v>14</v>
      </c>
      <c r="U19" t="str">
        <f>dbSamplingTitle</f>
        <v>Sampling</v>
      </c>
      <c r="V19">
        <v>14</v>
      </c>
      <c r="W19" t="str">
        <f>dbSamplingTitle</f>
        <v>Sampling</v>
      </c>
      <c r="X19" t="s">
        <v>585</v>
      </c>
      <c r="Y19" s="1" t="s">
        <v>662</v>
      </c>
      <c r="AH19">
        <v>12</v>
      </c>
      <c r="AJ19">
        <v>189</v>
      </c>
      <c r="AM19" t="s">
        <v>5442</v>
      </c>
      <c r="AP19">
        <v>12</v>
      </c>
      <c r="AR19">
        <v>182</v>
      </c>
      <c r="AU19" t="s">
        <v>5442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5448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4186</v>
      </c>
      <c r="CT19">
        <v>5</v>
      </c>
    </row>
    <row r="20" spans="1:104" x14ac:dyDescent="0.25">
      <c r="A20" t="s">
        <v>343</v>
      </c>
      <c r="B20" t="s">
        <v>5408</v>
      </c>
      <c r="T20">
        <v>15</v>
      </c>
      <c r="U20" t="str">
        <f>dbTTest1Title</f>
        <v>t-test: Parat två-sampel för medelvärde</v>
      </c>
      <c r="V20">
        <v>15</v>
      </c>
      <c r="W20" t="str">
        <f>dbTTest1Title</f>
        <v>t-test: Parat två-sampel för medelvärde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5449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5440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t-test: Två sampel antar lika varians</v>
      </c>
      <c r="V21">
        <v>16</v>
      </c>
      <c r="W21" t="str">
        <f>dbTTest2Title</f>
        <v>t-test: Två sampel antar lika varians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5450</v>
      </c>
      <c r="BT21" t="b">
        <v>0</v>
      </c>
      <c r="CL21">
        <v>12</v>
      </c>
      <c r="CN21">
        <v>230</v>
      </c>
      <c r="CQ21" t="s">
        <v>5445</v>
      </c>
      <c r="CT21">
        <v>5</v>
      </c>
    </row>
    <row r="22" spans="1:104" x14ac:dyDescent="0.25">
      <c r="A22" t="s">
        <v>440</v>
      </c>
      <c r="B22" t="s">
        <v>5409</v>
      </c>
      <c r="T22">
        <v>17</v>
      </c>
      <c r="U22" t="str">
        <f>dbTTest3Title</f>
        <v>t-test: Två sampel antar olika varianser</v>
      </c>
      <c r="V22">
        <v>17</v>
      </c>
      <c r="W22" t="str">
        <f>dbTTest3Title</f>
        <v>t-test: Två sampel antar olika varianser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1351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5451</v>
      </c>
    </row>
    <row r="23" spans="1:104" x14ac:dyDescent="0.25">
      <c r="A23" t="s">
        <v>443</v>
      </c>
      <c r="B23" t="s">
        <v>5452</v>
      </c>
      <c r="T23">
        <v>18</v>
      </c>
      <c r="U23" t="str">
        <f>dbZTestTitle</f>
        <v>z-test: Två sampel för medelvärden</v>
      </c>
      <c r="V23">
        <v>18</v>
      </c>
      <c r="W23" t="str">
        <f>dbZTestTitle</f>
        <v>z-test: Två sampel för medelvärden</v>
      </c>
      <c r="X23" t="s">
        <v>357</v>
      </c>
      <c r="Y23" s="1" t="s">
        <v>674</v>
      </c>
      <c r="AP23">
        <v>13</v>
      </c>
      <c r="AR23">
        <v>216</v>
      </c>
      <c r="AU23" t="s">
        <v>1354</v>
      </c>
      <c r="AV23" t="b">
        <v>0</v>
      </c>
      <c r="BF23" s="1" t="s">
        <v>666</v>
      </c>
      <c r="BI23">
        <v>523</v>
      </c>
      <c r="BJ23">
        <v>191</v>
      </c>
      <c r="BK23" t="s">
        <v>1355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5453</v>
      </c>
      <c r="X24" t="s">
        <v>551</v>
      </c>
      <c r="AP24">
        <v>13</v>
      </c>
      <c r="AR24">
        <v>231</v>
      </c>
      <c r="AU24" t="s">
        <v>5454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390</v>
      </c>
      <c r="BN24">
        <v>113</v>
      </c>
      <c r="BO24">
        <v>18</v>
      </c>
      <c r="BP24">
        <v>228</v>
      </c>
      <c r="BS24" t="s">
        <v>5455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5456</v>
      </c>
    </row>
    <row r="25" spans="1:104" x14ac:dyDescent="0.25">
      <c r="A25" t="s">
        <v>552</v>
      </c>
      <c r="B25" t="s">
        <v>5457</v>
      </c>
      <c r="X25" t="s">
        <v>554</v>
      </c>
      <c r="AH25" t="s">
        <v>614</v>
      </c>
      <c r="AP25">
        <v>13</v>
      </c>
      <c r="AQ25">
        <v>230</v>
      </c>
      <c r="AR25">
        <v>216</v>
      </c>
      <c r="AU25" t="s">
        <v>5458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4164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5459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1363</v>
      </c>
      <c r="X26" t="s">
        <v>376</v>
      </c>
      <c r="AH26" s="1" t="s">
        <v>664</v>
      </c>
      <c r="AK26">
        <v>509</v>
      </c>
      <c r="AL26">
        <v>187</v>
      </c>
      <c r="AM26" t="s">
        <v>5452</v>
      </c>
      <c r="AN26">
        <v>5</v>
      </c>
      <c r="AP26">
        <v>13</v>
      </c>
      <c r="AR26">
        <v>231</v>
      </c>
      <c r="AU26" t="s">
        <v>5460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5415</v>
      </c>
      <c r="BN26">
        <v>113</v>
      </c>
      <c r="BO26">
        <v>18</v>
      </c>
      <c r="BP26">
        <v>247</v>
      </c>
      <c r="BS26" t="s">
        <v>5461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390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5416</v>
      </c>
    </row>
    <row r="27" spans="1:104" x14ac:dyDescent="0.25">
      <c r="A27" t="s">
        <v>377</v>
      </c>
      <c r="B27" t="s">
        <v>1366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390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5462</v>
      </c>
      <c r="BF27">
        <v>5</v>
      </c>
      <c r="BG27">
        <v>18</v>
      </c>
      <c r="BH27">
        <v>19</v>
      </c>
      <c r="BK27" t="s">
        <v>5417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4164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2638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4164</v>
      </c>
      <c r="AP28">
        <v>13</v>
      </c>
      <c r="AR28">
        <v>270</v>
      </c>
      <c r="AU28" t="s">
        <v>5463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5415</v>
      </c>
      <c r="CT28">
        <v>12</v>
      </c>
      <c r="CU28">
        <v>17</v>
      </c>
      <c r="CV28">
        <v>225</v>
      </c>
      <c r="CY28" t="s">
        <v>4186</v>
      </c>
    </row>
    <row r="29" spans="1:104" x14ac:dyDescent="0.25">
      <c r="A29" t="s">
        <v>383</v>
      </c>
      <c r="B29" t="s">
        <v>5464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5415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5421</v>
      </c>
      <c r="CD29">
        <v>5</v>
      </c>
      <c r="CE29">
        <v>17</v>
      </c>
      <c r="CF29">
        <v>18</v>
      </c>
      <c r="CI29" t="s">
        <v>4171</v>
      </c>
      <c r="CT29">
        <v>12</v>
      </c>
      <c r="CV29">
        <v>245</v>
      </c>
      <c r="CY29" t="s">
        <v>5440</v>
      </c>
    </row>
    <row r="30" spans="1:104" x14ac:dyDescent="0.25">
      <c r="A30" t="s">
        <v>600</v>
      </c>
      <c r="B30" t="s">
        <v>1370</v>
      </c>
      <c r="X30" t="s">
        <v>332</v>
      </c>
      <c r="AH30">
        <v>5</v>
      </c>
      <c r="AI30">
        <v>20</v>
      </c>
      <c r="AJ30">
        <v>19</v>
      </c>
      <c r="AM30" t="s">
        <v>5417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5445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5430</v>
      </c>
      <c r="CD31">
        <v>5</v>
      </c>
      <c r="CE31">
        <v>17</v>
      </c>
      <c r="CF31">
        <v>41</v>
      </c>
      <c r="CI31" t="s">
        <v>4176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5465</v>
      </c>
      <c r="AH32">
        <v>5</v>
      </c>
      <c r="AI32">
        <v>20</v>
      </c>
      <c r="AJ32">
        <v>45</v>
      </c>
      <c r="AM32" t="s">
        <v>5466</v>
      </c>
      <c r="BF32">
        <v>12</v>
      </c>
      <c r="BK32" t="s">
        <v>4181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5467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5433</v>
      </c>
      <c r="BL33" t="b">
        <v>0</v>
      </c>
      <c r="CD33">
        <v>5</v>
      </c>
      <c r="CE33">
        <v>17</v>
      </c>
      <c r="CF33">
        <v>70</v>
      </c>
      <c r="CI33" t="s">
        <v>5468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1376</v>
      </c>
      <c r="AH34">
        <v>5</v>
      </c>
      <c r="AI34">
        <v>20</v>
      </c>
      <c r="AJ34">
        <v>68</v>
      </c>
      <c r="AM34" t="s">
        <v>1019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5416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5469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1321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5416</v>
      </c>
      <c r="BF36">
        <v>12</v>
      </c>
      <c r="BG36">
        <v>18</v>
      </c>
      <c r="BH36">
        <v>120</v>
      </c>
      <c r="BK36" t="s">
        <v>4186</v>
      </c>
      <c r="CD36">
        <v>5</v>
      </c>
      <c r="CE36">
        <v>17</v>
      </c>
      <c r="CF36">
        <v>114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5470</v>
      </c>
      <c r="AH37">
        <v>111</v>
      </c>
      <c r="AN37">
        <v>2</v>
      </c>
      <c r="BF37">
        <v>12</v>
      </c>
      <c r="BH37">
        <v>140</v>
      </c>
      <c r="BK37" t="s">
        <v>5440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4221</v>
      </c>
      <c r="AH38">
        <v>12</v>
      </c>
      <c r="AI38">
        <v>20</v>
      </c>
      <c r="AJ38">
        <v>115</v>
      </c>
      <c r="AM38" t="s">
        <v>4186</v>
      </c>
      <c r="BF38">
        <v>12</v>
      </c>
      <c r="BH38">
        <v>160</v>
      </c>
      <c r="BK38" t="s">
        <v>5442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5416</v>
      </c>
      <c r="CT38">
        <v>5</v>
      </c>
    </row>
    <row r="39" spans="1:104" x14ac:dyDescent="0.25">
      <c r="A39" t="s">
        <v>488</v>
      </c>
      <c r="B39" t="s">
        <v>4222</v>
      </c>
      <c r="AH39">
        <v>12</v>
      </c>
      <c r="AJ39">
        <v>135</v>
      </c>
      <c r="AM39" t="s">
        <v>5440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5471</v>
      </c>
      <c r="AH40">
        <v>12</v>
      </c>
      <c r="AJ40">
        <v>155</v>
      </c>
      <c r="AM40" t="s">
        <v>5445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4186</v>
      </c>
      <c r="CT40">
        <v>5</v>
      </c>
    </row>
    <row r="41" spans="1:104" x14ac:dyDescent="0.25">
      <c r="A41" t="s">
        <v>492</v>
      </c>
      <c r="B41" t="s">
        <v>5472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5440</v>
      </c>
      <c r="CT41">
        <v>5</v>
      </c>
    </row>
    <row r="42" spans="1:104" x14ac:dyDescent="0.25">
      <c r="A42" t="s">
        <v>494</v>
      </c>
      <c r="B42" t="s">
        <v>5473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5445</v>
      </c>
      <c r="CT42">
        <v>5</v>
      </c>
    </row>
    <row r="43" spans="1:104" x14ac:dyDescent="0.25">
      <c r="A43" t="s">
        <v>496</v>
      </c>
      <c r="B43" t="s">
        <v>5474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1383</v>
      </c>
      <c r="BF44" s="1" t="s">
        <v>670</v>
      </c>
      <c r="BI44">
        <v>523</v>
      </c>
      <c r="BJ44">
        <v>191</v>
      </c>
      <c r="BK44" t="s">
        <v>5475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5476</v>
      </c>
    </row>
    <row r="45" spans="1:104" x14ac:dyDescent="0.25">
      <c r="A45" t="s">
        <v>422</v>
      </c>
      <c r="B45" t="s">
        <v>5477</v>
      </c>
      <c r="BF45">
        <v>1</v>
      </c>
      <c r="BG45">
        <v>407</v>
      </c>
      <c r="BH45">
        <v>7</v>
      </c>
      <c r="BI45">
        <v>90</v>
      </c>
      <c r="BK45" t="s">
        <v>390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4230</v>
      </c>
      <c r="BF46">
        <v>2</v>
      </c>
      <c r="BG46">
        <v>407</v>
      </c>
      <c r="BH46">
        <v>30</v>
      </c>
      <c r="BI46">
        <v>90</v>
      </c>
      <c r="BK46" t="s">
        <v>4164</v>
      </c>
      <c r="CT46">
        <v>5</v>
      </c>
      <c r="CU46">
        <v>184</v>
      </c>
      <c r="CV46">
        <v>114</v>
      </c>
      <c r="CY46" t="s">
        <v>5478</v>
      </c>
    </row>
    <row r="47" spans="1:104" x14ac:dyDescent="0.25">
      <c r="A47" t="s">
        <v>427</v>
      </c>
      <c r="B47" t="s">
        <v>5479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5415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5480</v>
      </c>
      <c r="AH48" s="1" t="s">
        <v>665</v>
      </c>
      <c r="AK48">
        <v>523</v>
      </c>
      <c r="AL48">
        <v>185</v>
      </c>
      <c r="AM48" t="s">
        <v>5453</v>
      </c>
      <c r="AN48">
        <v>5</v>
      </c>
      <c r="BF48">
        <v>5</v>
      </c>
      <c r="BG48">
        <v>18</v>
      </c>
      <c r="BH48">
        <v>19</v>
      </c>
      <c r="BK48" t="s">
        <v>5417</v>
      </c>
    </row>
    <row r="49" spans="1:104" x14ac:dyDescent="0.25">
      <c r="A49" t="s">
        <v>431</v>
      </c>
      <c r="B49" t="s">
        <v>5410</v>
      </c>
      <c r="AH49">
        <v>1</v>
      </c>
      <c r="AI49">
        <v>407</v>
      </c>
      <c r="AJ49">
        <v>7</v>
      </c>
      <c r="AK49">
        <v>90</v>
      </c>
      <c r="AM49" t="s">
        <v>390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5464</v>
      </c>
      <c r="AH50">
        <v>2</v>
      </c>
      <c r="AI50">
        <v>407</v>
      </c>
      <c r="AJ50">
        <v>30</v>
      </c>
      <c r="AK50">
        <v>90</v>
      </c>
      <c r="AM50" t="s">
        <v>4164</v>
      </c>
      <c r="BF50">
        <v>5</v>
      </c>
      <c r="BG50">
        <v>18</v>
      </c>
      <c r="BH50">
        <v>44</v>
      </c>
      <c r="BK50" t="s">
        <v>5421</v>
      </c>
      <c r="CD50" s="1" t="s">
        <v>672</v>
      </c>
      <c r="CG50">
        <v>550</v>
      </c>
      <c r="CH50">
        <v>227</v>
      </c>
      <c r="CI50" t="s">
        <v>5481</v>
      </c>
      <c r="CJ50">
        <v>5</v>
      </c>
      <c r="CT50">
        <v>5</v>
      </c>
      <c r="CU50">
        <v>17</v>
      </c>
      <c r="CV50">
        <v>101</v>
      </c>
      <c r="CY50" t="s">
        <v>5482</v>
      </c>
      <c r="CZ50" t="s">
        <v>599</v>
      </c>
    </row>
    <row r="51" spans="1:104" x14ac:dyDescent="0.25">
      <c r="A51" t="s">
        <v>439</v>
      </c>
      <c r="B51" t="s">
        <v>5483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5415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390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5484</v>
      </c>
      <c r="AH52">
        <v>5</v>
      </c>
      <c r="AI52">
        <v>18</v>
      </c>
      <c r="AJ52">
        <v>19</v>
      </c>
      <c r="AM52" t="s">
        <v>5417</v>
      </c>
      <c r="BF52">
        <v>12</v>
      </c>
      <c r="BG52">
        <v>220</v>
      </c>
      <c r="BH52">
        <v>40</v>
      </c>
      <c r="BK52" t="s">
        <v>5430</v>
      </c>
      <c r="CD52">
        <v>2</v>
      </c>
      <c r="CE52">
        <v>440</v>
      </c>
      <c r="CF52">
        <v>30</v>
      </c>
      <c r="CG52">
        <v>90</v>
      </c>
      <c r="CI52" t="s">
        <v>4164</v>
      </c>
      <c r="CT52">
        <v>5</v>
      </c>
      <c r="CU52">
        <v>132</v>
      </c>
      <c r="CV52">
        <v>101</v>
      </c>
      <c r="CY52" t="s">
        <v>5485</v>
      </c>
    </row>
    <row r="53" spans="1:104" x14ac:dyDescent="0.25">
      <c r="A53" t="s">
        <v>338</v>
      </c>
      <c r="B53" t="s">
        <v>5486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4181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5415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5487</v>
      </c>
      <c r="AH54">
        <v>13</v>
      </c>
      <c r="AI54">
        <v>19</v>
      </c>
      <c r="AJ54">
        <v>41</v>
      </c>
      <c r="AM54" t="s">
        <v>1321</v>
      </c>
      <c r="AN54" t="b">
        <v>0</v>
      </c>
      <c r="BF54">
        <v>13</v>
      </c>
      <c r="BG54">
        <v>18</v>
      </c>
      <c r="BH54">
        <v>75</v>
      </c>
      <c r="BK54" t="s">
        <v>5433</v>
      </c>
      <c r="BL54" t="b">
        <v>0</v>
      </c>
      <c r="CD54">
        <v>5</v>
      </c>
      <c r="CE54">
        <v>17</v>
      </c>
      <c r="CF54">
        <v>18</v>
      </c>
      <c r="CI54" t="s">
        <v>4171</v>
      </c>
      <c r="CT54">
        <v>5</v>
      </c>
      <c r="CU54">
        <v>232</v>
      </c>
      <c r="CV54">
        <v>101</v>
      </c>
      <c r="CY54" t="s">
        <v>5488</v>
      </c>
    </row>
    <row r="55" spans="1:104" x14ac:dyDescent="0.25">
      <c r="A55" t="s">
        <v>177</v>
      </c>
      <c r="B55" t="s">
        <v>1370</v>
      </c>
      <c r="AH55">
        <v>5</v>
      </c>
      <c r="AI55">
        <v>20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5416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5489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4176</v>
      </c>
      <c r="CT56">
        <v>5</v>
      </c>
      <c r="CU56">
        <v>17</v>
      </c>
      <c r="CV56">
        <v>131</v>
      </c>
      <c r="CY56" t="s">
        <v>5490</v>
      </c>
    </row>
    <row r="57" spans="1:104" x14ac:dyDescent="0.25">
      <c r="A57" t="s">
        <v>557</v>
      </c>
      <c r="B57" t="s">
        <v>5491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5416</v>
      </c>
      <c r="BF57">
        <v>12</v>
      </c>
      <c r="BG57">
        <v>18</v>
      </c>
      <c r="BH57">
        <v>120</v>
      </c>
      <c r="BK57" t="s">
        <v>4186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5492</v>
      </c>
      <c r="AH58">
        <v>111</v>
      </c>
      <c r="AN58">
        <v>2</v>
      </c>
      <c r="BF58">
        <v>12</v>
      </c>
      <c r="BH58">
        <v>140</v>
      </c>
      <c r="BK58" t="s">
        <v>5440</v>
      </c>
      <c r="CD58">
        <v>5</v>
      </c>
      <c r="CE58">
        <v>17</v>
      </c>
      <c r="CF58">
        <v>70</v>
      </c>
      <c r="CI58" t="s">
        <v>5468</v>
      </c>
      <c r="CT58">
        <v>5</v>
      </c>
      <c r="CU58">
        <v>288</v>
      </c>
      <c r="CV58">
        <v>131</v>
      </c>
      <c r="CY58" t="s">
        <v>5493</v>
      </c>
    </row>
    <row r="59" spans="1:104" x14ac:dyDescent="0.25">
      <c r="A59" t="s">
        <v>188</v>
      </c>
      <c r="B59" t="s">
        <v>189</v>
      </c>
      <c r="AH59">
        <v>12</v>
      </c>
      <c r="AI59">
        <v>20</v>
      </c>
      <c r="AJ59">
        <v>107</v>
      </c>
      <c r="AM59" t="s">
        <v>4186</v>
      </c>
      <c r="BF59">
        <v>12</v>
      </c>
      <c r="BH59">
        <v>160</v>
      </c>
      <c r="BK59" t="s">
        <v>5442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5494</v>
      </c>
    </row>
    <row r="60" spans="1:104" x14ac:dyDescent="0.25">
      <c r="A60" t="s">
        <v>564</v>
      </c>
      <c r="B60" t="s">
        <v>565</v>
      </c>
      <c r="AH60">
        <v>12</v>
      </c>
      <c r="AJ60">
        <v>127</v>
      </c>
      <c r="AM60" t="s">
        <v>5440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1321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5495</v>
      </c>
      <c r="AH61">
        <v>12</v>
      </c>
      <c r="AJ61">
        <v>147</v>
      </c>
      <c r="AM61" t="s">
        <v>5445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1019</v>
      </c>
      <c r="CT61">
        <v>5</v>
      </c>
      <c r="CU61">
        <v>288</v>
      </c>
      <c r="CV61">
        <v>153</v>
      </c>
      <c r="CY61" t="s">
        <v>5493</v>
      </c>
    </row>
    <row r="62" spans="1:104" x14ac:dyDescent="0.25">
      <c r="A62" t="s">
        <v>568</v>
      </c>
      <c r="B62" t="s">
        <v>5496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5497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5416</v>
      </c>
      <c r="CT63" t="s">
        <v>554</v>
      </c>
    </row>
    <row r="64" spans="1:104" x14ac:dyDescent="0.25">
      <c r="A64" t="s">
        <v>572</v>
      </c>
      <c r="B64" t="s">
        <v>1301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1355</v>
      </c>
      <c r="CD65">
        <v>12</v>
      </c>
      <c r="CE65">
        <v>17</v>
      </c>
      <c r="CF65">
        <v>156</v>
      </c>
      <c r="CI65" t="s">
        <v>4186</v>
      </c>
      <c r="CT65">
        <v>5</v>
      </c>
    </row>
    <row r="66" spans="1:104" x14ac:dyDescent="0.25">
      <c r="A66" t="s">
        <v>194</v>
      </c>
      <c r="B66" t="s">
        <v>5411</v>
      </c>
      <c r="BF66" t="s">
        <v>334</v>
      </c>
      <c r="CD66">
        <v>12</v>
      </c>
      <c r="CF66">
        <v>176</v>
      </c>
      <c r="CI66" t="s">
        <v>5440</v>
      </c>
      <c r="CT66">
        <v>5</v>
      </c>
    </row>
    <row r="67" spans="1:104" x14ac:dyDescent="0.25">
      <c r="A67" t="s">
        <v>195</v>
      </c>
      <c r="B67" t="s">
        <v>5498</v>
      </c>
      <c r="BF67" s="1" t="s">
        <v>667</v>
      </c>
      <c r="BI67">
        <v>523</v>
      </c>
      <c r="BJ67">
        <v>181</v>
      </c>
      <c r="BK67" t="s">
        <v>5499</v>
      </c>
      <c r="BL67">
        <v>5</v>
      </c>
      <c r="CD67">
        <v>12</v>
      </c>
      <c r="CF67">
        <v>196</v>
      </c>
      <c r="CI67" t="s">
        <v>5445</v>
      </c>
      <c r="CT67">
        <v>5</v>
      </c>
    </row>
    <row r="68" spans="1:104" x14ac:dyDescent="0.25">
      <c r="A68" t="s">
        <v>576</v>
      </c>
      <c r="B68" t="s">
        <v>5500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390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5501</v>
      </c>
      <c r="AH69" s="1" t="s">
        <v>669</v>
      </c>
      <c r="AK69">
        <v>523</v>
      </c>
      <c r="AL69">
        <v>205</v>
      </c>
      <c r="AM69" t="s">
        <v>5498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4164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1413</v>
      </c>
      <c r="AH70">
        <v>1</v>
      </c>
      <c r="AI70">
        <v>407</v>
      </c>
      <c r="AJ70">
        <v>7</v>
      </c>
      <c r="AK70">
        <v>90</v>
      </c>
      <c r="AM70" t="s">
        <v>390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5415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5502</v>
      </c>
      <c r="AH71">
        <v>2</v>
      </c>
      <c r="AI71">
        <v>407</v>
      </c>
      <c r="AJ71">
        <v>30</v>
      </c>
      <c r="AK71">
        <v>90</v>
      </c>
      <c r="AM71" t="s">
        <v>4164</v>
      </c>
      <c r="BF71">
        <v>5</v>
      </c>
      <c r="BG71">
        <v>18</v>
      </c>
      <c r="BH71">
        <v>19</v>
      </c>
      <c r="BK71" t="s">
        <v>5417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5415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5503</v>
      </c>
    </row>
    <row r="73" spans="1:104" x14ac:dyDescent="0.25">
      <c r="A73" t="s">
        <v>203</v>
      </c>
      <c r="B73" t="s">
        <v>5504</v>
      </c>
      <c r="AH73">
        <v>5</v>
      </c>
      <c r="AI73">
        <v>18</v>
      </c>
      <c r="AJ73">
        <v>19</v>
      </c>
      <c r="AM73" t="s">
        <v>5417</v>
      </c>
      <c r="BF73">
        <v>13</v>
      </c>
      <c r="BG73">
        <v>18</v>
      </c>
      <c r="BH73">
        <v>40</v>
      </c>
      <c r="BK73" t="s">
        <v>5433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4251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5416</v>
      </c>
      <c r="CD74" t="s">
        <v>441</v>
      </c>
      <c r="CT74">
        <v>5</v>
      </c>
      <c r="CU74">
        <v>24</v>
      </c>
      <c r="CV74">
        <v>134</v>
      </c>
      <c r="CY74" t="s">
        <v>5505</v>
      </c>
    </row>
    <row r="75" spans="1:104" x14ac:dyDescent="0.25">
      <c r="A75" t="s">
        <v>207</v>
      </c>
      <c r="B75" t="s">
        <v>5506</v>
      </c>
      <c r="AH75">
        <v>13</v>
      </c>
      <c r="AI75">
        <v>18</v>
      </c>
      <c r="AJ75">
        <v>41</v>
      </c>
      <c r="AM75" t="s">
        <v>5433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5507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5508</v>
      </c>
      <c r="AH76">
        <v>5</v>
      </c>
      <c r="AI76">
        <v>18</v>
      </c>
      <c r="AJ76">
        <v>69</v>
      </c>
      <c r="AM76" t="s">
        <v>5509</v>
      </c>
      <c r="BF76">
        <v>12</v>
      </c>
      <c r="BG76">
        <v>18</v>
      </c>
      <c r="BH76">
        <v>86</v>
      </c>
      <c r="BK76" t="s">
        <v>4186</v>
      </c>
      <c r="CD76">
        <v>1</v>
      </c>
      <c r="CE76">
        <v>440</v>
      </c>
      <c r="CF76">
        <v>7</v>
      </c>
      <c r="CG76">
        <v>90</v>
      </c>
      <c r="CI76" t="s">
        <v>390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5440</v>
      </c>
      <c r="CD77">
        <v>2</v>
      </c>
      <c r="CE77">
        <v>440</v>
      </c>
      <c r="CF77">
        <v>30</v>
      </c>
      <c r="CG77">
        <v>90</v>
      </c>
      <c r="CI77" t="s">
        <v>4164</v>
      </c>
      <c r="CT77" t="s">
        <v>376</v>
      </c>
    </row>
    <row r="78" spans="1:104" x14ac:dyDescent="0.25">
      <c r="A78" t="s">
        <v>219</v>
      </c>
      <c r="B78" t="s">
        <v>5510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5416</v>
      </c>
      <c r="BF78">
        <v>12</v>
      </c>
      <c r="BH78">
        <v>126</v>
      </c>
      <c r="BK78" t="s">
        <v>5445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5415</v>
      </c>
      <c r="CT78">
        <v>5</v>
      </c>
      <c r="CZ78" t="s">
        <v>376</v>
      </c>
    </row>
    <row r="79" spans="1:104" x14ac:dyDescent="0.25">
      <c r="A79" t="s">
        <v>220</v>
      </c>
      <c r="B79" t="s">
        <v>5481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4171</v>
      </c>
      <c r="CT79">
        <v>5</v>
      </c>
    </row>
    <row r="80" spans="1:104" x14ac:dyDescent="0.25">
      <c r="A80" t="s">
        <v>221</v>
      </c>
      <c r="B80" t="s">
        <v>5459</v>
      </c>
      <c r="AH80">
        <v>5</v>
      </c>
      <c r="AI80">
        <v>18</v>
      </c>
      <c r="AJ80">
        <v>112</v>
      </c>
      <c r="AM80" t="s">
        <v>4186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5507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5511</v>
      </c>
      <c r="BL81" t="b">
        <v>0</v>
      </c>
      <c r="CD81">
        <v>5</v>
      </c>
      <c r="CE81">
        <v>17</v>
      </c>
      <c r="CF81">
        <v>41</v>
      </c>
      <c r="CI81" t="s">
        <v>4176</v>
      </c>
      <c r="CT81">
        <v>5</v>
      </c>
    </row>
    <row r="82" spans="1:104" x14ac:dyDescent="0.25">
      <c r="A82" t="s">
        <v>606</v>
      </c>
      <c r="B82" t="s">
        <v>1425</v>
      </c>
      <c r="AH82">
        <v>205</v>
      </c>
      <c r="AI82">
        <v>18</v>
      </c>
      <c r="AJ82">
        <v>132</v>
      </c>
      <c r="AM82" t="s">
        <v>5440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5512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5468</v>
      </c>
      <c r="CT83">
        <v>5</v>
      </c>
    </row>
    <row r="84" spans="1:104" x14ac:dyDescent="0.25">
      <c r="A84" t="s">
        <v>303</v>
      </c>
      <c r="B84" t="s">
        <v>5513</v>
      </c>
      <c r="AH84">
        <v>205</v>
      </c>
      <c r="AI84">
        <v>18</v>
      </c>
      <c r="AJ84">
        <v>152</v>
      </c>
      <c r="AM84" t="s">
        <v>5445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5514</v>
      </c>
      <c r="AH85">
        <v>13</v>
      </c>
      <c r="AI85">
        <v>18</v>
      </c>
      <c r="AJ85">
        <v>175</v>
      </c>
      <c r="AM85" t="s">
        <v>5515</v>
      </c>
      <c r="AN85" t="b">
        <v>0</v>
      </c>
      <c r="CD85">
        <v>13</v>
      </c>
      <c r="CE85">
        <v>18</v>
      </c>
      <c r="CF85">
        <v>87</v>
      </c>
      <c r="CI85" t="s">
        <v>1321</v>
      </c>
      <c r="CJ85" t="b">
        <v>0</v>
      </c>
      <c r="CT85">
        <v>5</v>
      </c>
    </row>
    <row r="86" spans="1:104" x14ac:dyDescent="0.25">
      <c r="A86" t="s">
        <v>228</v>
      </c>
      <c r="B86" t="s">
        <v>5516</v>
      </c>
      <c r="AH86">
        <v>13</v>
      </c>
      <c r="AI86">
        <v>222</v>
      </c>
      <c r="AJ86">
        <v>175</v>
      </c>
      <c r="AM86" t="s">
        <v>5448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1019</v>
      </c>
      <c r="CT86">
        <v>5</v>
      </c>
    </row>
    <row r="87" spans="1:104" x14ac:dyDescent="0.25">
      <c r="A87" t="s">
        <v>231</v>
      </c>
      <c r="B87" t="s">
        <v>1431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4266</v>
      </c>
      <c r="BF88">
        <v>1</v>
      </c>
      <c r="BG88">
        <v>407</v>
      </c>
      <c r="BH88">
        <v>7</v>
      </c>
      <c r="BI88">
        <v>90</v>
      </c>
      <c r="BK88" t="s">
        <v>390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5416</v>
      </c>
      <c r="CT88">
        <v>5</v>
      </c>
      <c r="CU88">
        <v>26</v>
      </c>
      <c r="CV88">
        <v>108</v>
      </c>
      <c r="CY88" t="s">
        <v>5517</v>
      </c>
    </row>
    <row r="89" spans="1:104" x14ac:dyDescent="0.25">
      <c r="A89" t="s">
        <v>299</v>
      </c>
      <c r="B89" t="s">
        <v>5518</v>
      </c>
      <c r="BF89">
        <v>2</v>
      </c>
      <c r="BG89">
        <v>407</v>
      </c>
      <c r="BH89">
        <v>30</v>
      </c>
      <c r="BI89">
        <v>90</v>
      </c>
      <c r="BK89" t="s">
        <v>4164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5519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5415</v>
      </c>
      <c r="CD90">
        <v>12</v>
      </c>
      <c r="CE90">
        <v>17</v>
      </c>
      <c r="CF90">
        <v>152</v>
      </c>
      <c r="CI90" t="s">
        <v>4186</v>
      </c>
    </row>
    <row r="91" spans="1:104" x14ac:dyDescent="0.25">
      <c r="A91" t="s">
        <v>237</v>
      </c>
      <c r="B91" t="s">
        <v>5520</v>
      </c>
      <c r="BF91">
        <v>5</v>
      </c>
      <c r="BG91">
        <v>18</v>
      </c>
      <c r="BH91">
        <v>19</v>
      </c>
      <c r="BK91" t="s">
        <v>5417</v>
      </c>
      <c r="CD91">
        <v>12</v>
      </c>
      <c r="CF91">
        <v>172</v>
      </c>
      <c r="CI91" t="s">
        <v>5440</v>
      </c>
      <c r="CT91" t="s">
        <v>379</v>
      </c>
    </row>
    <row r="92" spans="1:104" x14ac:dyDescent="0.25">
      <c r="A92" t="s">
        <v>239</v>
      </c>
      <c r="B92" t="s">
        <v>5521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5445</v>
      </c>
      <c r="CT92">
        <v>5</v>
      </c>
      <c r="CZ92" t="s">
        <v>379</v>
      </c>
    </row>
    <row r="93" spans="1:104" x14ac:dyDescent="0.25">
      <c r="A93" t="s">
        <v>485</v>
      </c>
      <c r="B93" t="s">
        <v>1438</v>
      </c>
      <c r="BF93">
        <v>5</v>
      </c>
      <c r="BG93">
        <v>18</v>
      </c>
      <c r="BH93">
        <v>43</v>
      </c>
      <c r="BK93" t="s">
        <v>5522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1440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5523</v>
      </c>
      <c r="BF95">
        <v>13</v>
      </c>
      <c r="BG95">
        <v>18</v>
      </c>
      <c r="BH95">
        <v>66</v>
      </c>
      <c r="BK95" t="s">
        <v>1321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5524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5416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4275</v>
      </c>
      <c r="BF98">
        <v>12</v>
      </c>
      <c r="BG98">
        <v>18</v>
      </c>
      <c r="BH98">
        <v>112</v>
      </c>
      <c r="BK98" t="s">
        <v>4186</v>
      </c>
      <c r="CT98">
        <v>5</v>
      </c>
    </row>
    <row r="99" spans="1:104" x14ac:dyDescent="0.25">
      <c r="A99" t="s">
        <v>252</v>
      </c>
      <c r="B99" t="s">
        <v>5525</v>
      </c>
      <c r="BF99">
        <v>12</v>
      </c>
      <c r="BH99">
        <v>132</v>
      </c>
      <c r="BK99" t="s">
        <v>5440</v>
      </c>
      <c r="CD99" t="s">
        <v>357</v>
      </c>
      <c r="CT99">
        <v>5</v>
      </c>
    </row>
    <row r="100" spans="1:104" x14ac:dyDescent="0.25">
      <c r="A100" t="s">
        <v>511</v>
      </c>
      <c r="B100" t="s">
        <v>5526</v>
      </c>
      <c r="BF100">
        <v>12</v>
      </c>
      <c r="BH100">
        <v>152</v>
      </c>
      <c r="BK100" t="s">
        <v>5445</v>
      </c>
      <c r="CD100" s="1" t="s">
        <v>674</v>
      </c>
      <c r="CG100">
        <v>577</v>
      </c>
      <c r="CH100">
        <v>281</v>
      </c>
      <c r="CI100" t="s">
        <v>5523</v>
      </c>
      <c r="CJ100">
        <v>5</v>
      </c>
      <c r="CT100">
        <v>5</v>
      </c>
      <c r="CU100">
        <v>23</v>
      </c>
      <c r="CV100">
        <v>131</v>
      </c>
      <c r="CY100" t="s">
        <v>5527</v>
      </c>
    </row>
    <row r="101" spans="1:104" x14ac:dyDescent="0.25">
      <c r="A101" t="s">
        <v>513</v>
      </c>
      <c r="B101" t="s">
        <v>5528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390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5475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4164</v>
      </c>
      <c r="CT102">
        <v>5</v>
      </c>
      <c r="CU102">
        <v>25</v>
      </c>
      <c r="CV102">
        <v>108</v>
      </c>
      <c r="CY102" t="s">
        <v>5517</v>
      </c>
    </row>
    <row r="103" spans="1:104" x14ac:dyDescent="0.25">
      <c r="A103" t="s">
        <v>516</v>
      </c>
      <c r="B103" t="s">
        <v>820</v>
      </c>
      <c r="BF103">
        <v>13</v>
      </c>
      <c r="BG103">
        <v>18</v>
      </c>
      <c r="BH103">
        <v>174</v>
      </c>
      <c r="BK103" t="s">
        <v>5529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5415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1449</v>
      </c>
      <c r="BF104">
        <v>13</v>
      </c>
      <c r="BK104" t="s">
        <v>5530</v>
      </c>
      <c r="BL104" t="b">
        <v>0</v>
      </c>
      <c r="CD104">
        <v>5</v>
      </c>
      <c r="CE104">
        <v>17</v>
      </c>
      <c r="CF104">
        <v>18</v>
      </c>
      <c r="CI104" t="s">
        <v>4171</v>
      </c>
    </row>
    <row r="105" spans="1:104" x14ac:dyDescent="0.25">
      <c r="A105" t="s">
        <v>534</v>
      </c>
      <c r="B105" t="s">
        <v>1451</v>
      </c>
      <c r="BF105">
        <v>13</v>
      </c>
      <c r="BK105" t="s">
        <v>5515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4285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4176</v>
      </c>
      <c r="CT106">
        <v>5</v>
      </c>
      <c r="CZ106" t="s">
        <v>382</v>
      </c>
    </row>
    <row r="107" spans="1:104" x14ac:dyDescent="0.25">
      <c r="A107" t="s">
        <v>538</v>
      </c>
      <c r="B107" t="s">
        <v>5531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5532</v>
      </c>
      <c r="CD108">
        <v>5</v>
      </c>
      <c r="CE108">
        <v>17</v>
      </c>
      <c r="CF108">
        <v>68</v>
      </c>
      <c r="CI108" t="s">
        <v>5468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5533</v>
      </c>
      <c r="CT110">
        <v>5</v>
      </c>
    </row>
    <row r="111" spans="1:104" x14ac:dyDescent="0.25">
      <c r="A111" t="s">
        <v>434</v>
      </c>
      <c r="B111" t="s">
        <v>435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5534</v>
      </c>
      <c r="CT112">
        <v>5</v>
      </c>
    </row>
    <row r="113" spans="1:104" x14ac:dyDescent="0.25">
      <c r="A113" t="s">
        <v>539</v>
      </c>
      <c r="B113" t="s">
        <v>5535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1457</v>
      </c>
      <c r="CD114">
        <v>13</v>
      </c>
      <c r="CE114">
        <v>17</v>
      </c>
      <c r="CF114">
        <v>143</v>
      </c>
      <c r="CI114" t="s">
        <v>1321</v>
      </c>
      <c r="CJ114" t="b">
        <v>0</v>
      </c>
      <c r="CT114">
        <v>5</v>
      </c>
    </row>
    <row r="115" spans="1:104" x14ac:dyDescent="0.25">
      <c r="A115" t="s">
        <v>543</v>
      </c>
      <c r="B115" t="s">
        <v>457</v>
      </c>
      <c r="CD115">
        <v>5</v>
      </c>
      <c r="CE115">
        <v>17</v>
      </c>
      <c r="CF115">
        <v>168</v>
      </c>
      <c r="CI115" t="s">
        <v>1019</v>
      </c>
      <c r="CT115">
        <v>5</v>
      </c>
    </row>
    <row r="116" spans="1:104" x14ac:dyDescent="0.25">
      <c r="A116" t="s">
        <v>544</v>
      </c>
      <c r="B116" t="s">
        <v>5536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546</v>
      </c>
    </row>
    <row r="117" spans="1:104" x14ac:dyDescent="0.25">
      <c r="A117" t="s">
        <v>547</v>
      </c>
      <c r="B117" t="s">
        <v>548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5416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5537</v>
      </c>
      <c r="CD118">
        <v>111</v>
      </c>
      <c r="CJ118">
        <v>2</v>
      </c>
    </row>
    <row r="119" spans="1:104" x14ac:dyDescent="0.25">
      <c r="A119" t="s">
        <v>562</v>
      </c>
      <c r="B119" t="s">
        <v>5538</v>
      </c>
      <c r="CD119">
        <v>12</v>
      </c>
      <c r="CE119">
        <v>17</v>
      </c>
      <c r="CF119">
        <v>211</v>
      </c>
      <c r="CI119" t="s">
        <v>4186</v>
      </c>
      <c r="CT119" t="s">
        <v>332</v>
      </c>
    </row>
    <row r="120" spans="1:104" x14ac:dyDescent="0.25">
      <c r="A120" t="s">
        <v>366</v>
      </c>
      <c r="B120" t="s">
        <v>5539</v>
      </c>
      <c r="CD120">
        <v>12</v>
      </c>
      <c r="CF120">
        <v>231</v>
      </c>
      <c r="CI120" t="s">
        <v>5440</v>
      </c>
      <c r="CT120">
        <v>5</v>
      </c>
      <c r="CZ120" t="s">
        <v>332</v>
      </c>
    </row>
    <row r="121" spans="1:104" x14ac:dyDescent="0.25">
      <c r="A121" t="s">
        <v>368</v>
      </c>
      <c r="B121" t="s">
        <v>5540</v>
      </c>
      <c r="CD121">
        <v>12</v>
      </c>
      <c r="CF121">
        <v>251</v>
      </c>
      <c r="CI121" t="s">
        <v>5445</v>
      </c>
      <c r="CT121">
        <v>5</v>
      </c>
    </row>
    <row r="122" spans="1:104" x14ac:dyDescent="0.25">
      <c r="A122" t="s">
        <v>370</v>
      </c>
      <c r="B122" t="s">
        <v>1135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5541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1465</v>
      </c>
      <c r="CT125">
        <v>5</v>
      </c>
    </row>
    <row r="126" spans="1:104" x14ac:dyDescent="0.25">
      <c r="A126" t="s">
        <v>590</v>
      </c>
      <c r="B126" t="s">
        <v>5542</v>
      </c>
      <c r="CT126">
        <v>5</v>
      </c>
    </row>
    <row r="127" spans="1:104" x14ac:dyDescent="0.25">
      <c r="A127" t="s">
        <v>592</v>
      </c>
      <c r="B127" t="s">
        <v>4300</v>
      </c>
      <c r="CT127">
        <v>5</v>
      </c>
    </row>
    <row r="128" spans="1:104" x14ac:dyDescent="0.25">
      <c r="A128" t="s">
        <v>594</v>
      </c>
      <c r="B128" t="s">
        <v>5543</v>
      </c>
      <c r="CT128">
        <v>5</v>
      </c>
    </row>
    <row r="129" spans="1:104" x14ac:dyDescent="0.25">
      <c r="A129" t="s">
        <v>596</v>
      </c>
      <c r="B129" t="s">
        <v>597</v>
      </c>
      <c r="CT129">
        <v>5</v>
      </c>
    </row>
    <row r="130" spans="1:104" x14ac:dyDescent="0.25">
      <c r="A130" t="s">
        <v>277</v>
      </c>
      <c r="B130" t="s">
        <v>5544</v>
      </c>
      <c r="CT130">
        <v>5</v>
      </c>
      <c r="CU130">
        <v>23</v>
      </c>
      <c r="CV130">
        <v>107</v>
      </c>
      <c r="CY130" t="s">
        <v>5451</v>
      </c>
    </row>
    <row r="131" spans="1:104" x14ac:dyDescent="0.25">
      <c r="A131" t="s">
        <v>279</v>
      </c>
      <c r="B131" t="s">
        <v>5545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1471</v>
      </c>
    </row>
    <row r="133" spans="1:104" x14ac:dyDescent="0.25">
      <c r="A133" t="s">
        <v>283</v>
      </c>
      <c r="B133" t="s">
        <v>1472</v>
      </c>
    </row>
    <row r="134" spans="1:104" x14ac:dyDescent="0.25">
      <c r="A134" t="s">
        <v>285</v>
      </c>
      <c r="B134" t="s">
        <v>5546</v>
      </c>
      <c r="CT134" t="s">
        <v>287</v>
      </c>
    </row>
    <row r="135" spans="1:104" x14ac:dyDescent="0.25">
      <c r="A135" t="s">
        <v>288</v>
      </c>
      <c r="B135" t="s">
        <v>5547</v>
      </c>
      <c r="CT135" t="s">
        <v>507</v>
      </c>
    </row>
    <row r="136" spans="1:104" x14ac:dyDescent="0.25">
      <c r="A136" t="s">
        <v>290</v>
      </c>
      <c r="B136" t="s">
        <v>1475</v>
      </c>
      <c r="CT136" t="str">
        <f>mg01s.RandUniform</f>
        <v>Likformig</v>
      </c>
      <c r="CU136" t="s">
        <v>551</v>
      </c>
    </row>
    <row r="137" spans="1:104" x14ac:dyDescent="0.25">
      <c r="A137" t="s">
        <v>292</v>
      </c>
      <c r="B137" t="s">
        <v>1476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5548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5549</v>
      </c>
      <c r="CT139" t="str">
        <f>mg01s.RandBinomial</f>
        <v>Binomial</v>
      </c>
      <c r="CU139" t="s">
        <v>379</v>
      </c>
    </row>
    <row r="140" spans="1:104" x14ac:dyDescent="0.25">
      <c r="A140" t="s">
        <v>613</v>
      </c>
      <c r="B140" t="s">
        <v>5550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5551</v>
      </c>
      <c r="CT141" t="str">
        <f>mg01s.RandPatterned</f>
        <v>Upprepning</v>
      </c>
      <c r="CU141" t="s">
        <v>599</v>
      </c>
    </row>
    <row r="142" spans="1:104" x14ac:dyDescent="0.25">
      <c r="A142" t="s">
        <v>92</v>
      </c>
      <c r="B142" t="s">
        <v>498</v>
      </c>
      <c r="CT142" t="str">
        <f>mg01s.RandDiscrete</f>
        <v>Diskret</v>
      </c>
      <c r="CU142" t="s">
        <v>332</v>
      </c>
    </row>
    <row r="143" spans="1:104" x14ac:dyDescent="0.25">
      <c r="A143" t="s">
        <v>304</v>
      </c>
      <c r="B143" t="s">
        <v>5552</v>
      </c>
    </row>
    <row r="144" spans="1:104" x14ac:dyDescent="0.25">
      <c r="A144" t="s">
        <v>306</v>
      </c>
      <c r="B144" t="s">
        <v>5553</v>
      </c>
    </row>
    <row r="145" spans="1:2" x14ac:dyDescent="0.25">
      <c r="A145" t="s">
        <v>98</v>
      </c>
      <c r="B145" t="s">
        <v>5554</v>
      </c>
    </row>
    <row r="146" spans="1:2" x14ac:dyDescent="0.25">
      <c r="A146" t="s">
        <v>311</v>
      </c>
      <c r="B146" t="s">
        <v>5555</v>
      </c>
    </row>
    <row r="147" spans="1:2" x14ac:dyDescent="0.25">
      <c r="A147" t="s">
        <v>313</v>
      </c>
      <c r="B147" t="s">
        <v>5556</v>
      </c>
    </row>
    <row r="148" spans="1:2" x14ac:dyDescent="0.25">
      <c r="A148" t="s">
        <v>102</v>
      </c>
      <c r="B148" t="s">
        <v>5557</v>
      </c>
    </row>
    <row r="149" spans="1:2" x14ac:dyDescent="0.25">
      <c r="A149" t="s">
        <v>319</v>
      </c>
      <c r="B149" t="s">
        <v>5558</v>
      </c>
    </row>
    <row r="150" spans="1:2" x14ac:dyDescent="0.25">
      <c r="A150" t="s">
        <v>105</v>
      </c>
      <c r="B150" t="s">
        <v>5559</v>
      </c>
    </row>
    <row r="151" spans="1:2" x14ac:dyDescent="0.25">
      <c r="A151" t="s">
        <v>323</v>
      </c>
      <c r="B151" t="s">
        <v>5560</v>
      </c>
    </row>
    <row r="152" spans="1:2" x14ac:dyDescent="0.25">
      <c r="A152" t="s">
        <v>108</v>
      </c>
      <c r="B152" t="s">
        <v>5561</v>
      </c>
    </row>
    <row r="153" spans="1:2" x14ac:dyDescent="0.25">
      <c r="A153" t="s">
        <v>110</v>
      </c>
      <c r="B153" t="s">
        <v>5562</v>
      </c>
    </row>
    <row r="154" spans="1:2" x14ac:dyDescent="0.25">
      <c r="A154" t="s">
        <v>112</v>
      </c>
      <c r="B154" t="s">
        <v>5563</v>
      </c>
    </row>
    <row r="155" spans="1:2" x14ac:dyDescent="0.25">
      <c r="A155" t="s">
        <v>336</v>
      </c>
      <c r="B155" t="s">
        <v>5564</v>
      </c>
    </row>
    <row r="156" spans="1:2" x14ac:dyDescent="0.25">
      <c r="A156" t="s">
        <v>120</v>
      </c>
      <c r="B156" t="s">
        <v>5565</v>
      </c>
    </row>
    <row r="157" spans="1:2" x14ac:dyDescent="0.25">
      <c r="A157" t="s">
        <v>349</v>
      </c>
      <c r="B157" t="s">
        <v>5566</v>
      </c>
    </row>
    <row r="158" spans="1:2" x14ac:dyDescent="0.25">
      <c r="A158" t="s">
        <v>350</v>
      </c>
      <c r="B158" t="s">
        <v>5567</v>
      </c>
    </row>
    <row r="159" spans="1:2" x14ac:dyDescent="0.25">
      <c r="A159" t="s">
        <v>438</v>
      </c>
      <c r="B159" t="s">
        <v>5568</v>
      </c>
    </row>
    <row r="160" spans="1:2" x14ac:dyDescent="0.25">
      <c r="A160" t="s">
        <v>353</v>
      </c>
      <c r="B160" t="s">
        <v>5569</v>
      </c>
    </row>
    <row r="161" spans="1:2" x14ac:dyDescent="0.25">
      <c r="A161" t="s">
        <v>355</v>
      </c>
      <c r="B161" t="s">
        <v>5570</v>
      </c>
    </row>
    <row r="162" spans="1:2" x14ac:dyDescent="0.25">
      <c r="A162" t="s">
        <v>129</v>
      </c>
      <c r="B162" t="s">
        <v>5571</v>
      </c>
    </row>
    <row r="163" spans="1:2" x14ac:dyDescent="0.25">
      <c r="A163" t="s">
        <v>363</v>
      </c>
      <c r="B163" t="s">
        <v>5572</v>
      </c>
    </row>
    <row r="164" spans="1:2" x14ac:dyDescent="0.25">
      <c r="A164" t="s">
        <v>365</v>
      </c>
      <c r="B164" t="s">
        <v>5573</v>
      </c>
    </row>
    <row r="165" spans="1:2" x14ac:dyDescent="0.25">
      <c r="A165" t="s">
        <v>374</v>
      </c>
      <c r="B165" t="s">
        <v>5574</v>
      </c>
    </row>
    <row r="166" spans="1:2" x14ac:dyDescent="0.25">
      <c r="A166" t="s">
        <v>135</v>
      </c>
      <c r="B166" t="s">
        <v>5575</v>
      </c>
    </row>
    <row r="167" spans="1:2" x14ac:dyDescent="0.25">
      <c r="A167" t="s">
        <v>137</v>
      </c>
      <c r="B167" t="s">
        <v>5576</v>
      </c>
    </row>
    <row r="168" spans="1:2" x14ac:dyDescent="0.25">
      <c r="A168" t="s">
        <v>139</v>
      </c>
      <c r="B168" t="s">
        <v>5577</v>
      </c>
    </row>
    <row r="169" spans="1:2" x14ac:dyDescent="0.25">
      <c r="A169" t="s">
        <v>384</v>
      </c>
      <c r="B169" t="s">
        <v>5578</v>
      </c>
    </row>
    <row r="170" spans="1:2" x14ac:dyDescent="0.25">
      <c r="A170" t="s">
        <v>462</v>
      </c>
      <c r="B170" t="s">
        <v>5579</v>
      </c>
    </row>
    <row r="171" spans="1:2" x14ac:dyDescent="0.25">
      <c r="A171" t="s">
        <v>464</v>
      </c>
      <c r="B171" t="s">
        <v>5580</v>
      </c>
    </row>
    <row r="172" spans="1:2" x14ac:dyDescent="0.25">
      <c r="A172" t="s">
        <v>388</v>
      </c>
      <c r="B172" t="s">
        <v>5581</v>
      </c>
    </row>
    <row r="173" spans="1:2" x14ac:dyDescent="0.25">
      <c r="A173" t="s">
        <v>147</v>
      </c>
      <c r="B173" t="s">
        <v>5582</v>
      </c>
    </row>
    <row r="174" spans="1:2" x14ac:dyDescent="0.25">
      <c r="A174" t="s">
        <v>385</v>
      </c>
      <c r="B174" t="s">
        <v>5583</v>
      </c>
    </row>
    <row r="175" spans="1:2" x14ac:dyDescent="0.25">
      <c r="A175" t="s">
        <v>151</v>
      </c>
      <c r="B175" t="s">
        <v>5584</v>
      </c>
    </row>
    <row r="176" spans="1:2" x14ac:dyDescent="0.25">
      <c r="A176" t="s">
        <v>406</v>
      </c>
      <c r="B176" t="s">
        <v>5585</v>
      </c>
    </row>
    <row r="177" spans="1:2" x14ac:dyDescent="0.25">
      <c r="A177" t="s">
        <v>408</v>
      </c>
      <c r="B177" t="s">
        <v>5586</v>
      </c>
    </row>
    <row r="178" spans="1:2" x14ac:dyDescent="0.25">
      <c r="A178" t="s">
        <v>503</v>
      </c>
      <c r="B178" t="s">
        <v>5587</v>
      </c>
    </row>
    <row r="179" spans="1:2" x14ac:dyDescent="0.25">
      <c r="A179" t="s">
        <v>410</v>
      </c>
      <c r="B179" t="s">
        <v>5588</v>
      </c>
    </row>
    <row r="180" spans="1:2" x14ac:dyDescent="0.25">
      <c r="A180" t="s">
        <v>412</v>
      </c>
      <c r="B180" t="s">
        <v>5589</v>
      </c>
    </row>
    <row r="181" spans="1:2" x14ac:dyDescent="0.25">
      <c r="A181" t="s">
        <v>161</v>
      </c>
      <c r="B181" t="s">
        <v>414</v>
      </c>
    </row>
    <row r="182" spans="1:2" x14ac:dyDescent="0.25">
      <c r="A182" t="s">
        <v>415</v>
      </c>
      <c r="B182" t="s">
        <v>416</v>
      </c>
    </row>
    <row r="183" spans="1:2" x14ac:dyDescent="0.25">
      <c r="A183" t="s">
        <v>173</v>
      </c>
      <c r="B183" t="s">
        <v>166</v>
      </c>
    </row>
    <row r="184" spans="1:2" x14ac:dyDescent="0.25">
      <c r="A184" t="s">
        <v>167</v>
      </c>
      <c r="B184" t="s">
        <v>5590</v>
      </c>
    </row>
    <row r="185" spans="1:2" x14ac:dyDescent="0.25">
      <c r="A185" t="s">
        <v>169</v>
      </c>
      <c r="B185" t="s">
        <v>5591</v>
      </c>
    </row>
    <row r="186" spans="1:2" x14ac:dyDescent="0.25">
      <c r="A186" t="s">
        <v>444</v>
      </c>
      <c r="B186" t="s">
        <v>5592</v>
      </c>
    </row>
    <row r="187" spans="1:2" x14ac:dyDescent="0.25">
      <c r="A187" t="s">
        <v>18</v>
      </c>
      <c r="B187" t="s">
        <v>5593</v>
      </c>
    </row>
    <row r="188" spans="1:2" x14ac:dyDescent="0.25">
      <c r="A188" t="s">
        <v>175</v>
      </c>
      <c r="B188" t="s">
        <v>5594</v>
      </c>
    </row>
    <row r="189" spans="1:2" x14ac:dyDescent="0.25">
      <c r="A189" t="s">
        <v>181</v>
      </c>
      <c r="B189" t="s">
        <v>5595</v>
      </c>
    </row>
    <row r="190" spans="1:2" x14ac:dyDescent="0.25">
      <c r="A190" t="s">
        <v>64</v>
      </c>
      <c r="B190" t="s">
        <v>5596</v>
      </c>
    </row>
    <row r="191" spans="1:2" x14ac:dyDescent="0.25">
      <c r="A191" t="s">
        <v>185</v>
      </c>
      <c r="B191" t="s">
        <v>5597</v>
      </c>
    </row>
    <row r="192" spans="1:2" x14ac:dyDescent="0.25">
      <c r="A192" t="s">
        <v>192</v>
      </c>
      <c r="B192" t="s">
        <v>5598</v>
      </c>
    </row>
    <row r="193" spans="1:2" x14ac:dyDescent="0.25">
      <c r="A193" t="s">
        <v>67</v>
      </c>
      <c r="B193" t="s">
        <v>5599</v>
      </c>
    </row>
    <row r="194" spans="1:2" x14ac:dyDescent="0.25">
      <c r="A194" t="s">
        <v>197</v>
      </c>
      <c r="B194" t="s">
        <v>5600</v>
      </c>
    </row>
    <row r="195" spans="1:2" x14ac:dyDescent="0.25">
      <c r="A195" t="s">
        <v>199</v>
      </c>
      <c r="B195" t="s">
        <v>5601</v>
      </c>
    </row>
    <row r="196" spans="1:2" x14ac:dyDescent="0.25">
      <c r="A196" t="s">
        <v>44</v>
      </c>
      <c r="B196" t="s">
        <v>5602</v>
      </c>
    </row>
    <row r="197" spans="1:2" x14ac:dyDescent="0.25">
      <c r="A197" t="s">
        <v>46</v>
      </c>
      <c r="B197" t="s">
        <v>5603</v>
      </c>
    </row>
    <row r="198" spans="1:2" x14ac:dyDescent="0.25">
      <c r="A198" t="s">
        <v>212</v>
      </c>
      <c r="B198" t="s">
        <v>5604</v>
      </c>
    </row>
    <row r="199" spans="1:2" x14ac:dyDescent="0.25">
      <c r="A199" t="s">
        <v>215</v>
      </c>
      <c r="B199" t="s">
        <v>5605</v>
      </c>
    </row>
    <row r="200" spans="1:2" x14ac:dyDescent="0.25">
      <c r="A200" t="s">
        <v>77</v>
      </c>
      <c r="B200" t="s">
        <v>5606</v>
      </c>
    </row>
    <row r="201" spans="1:2" x14ac:dyDescent="0.25">
      <c r="A201" t="s">
        <v>223</v>
      </c>
      <c r="B201" t="s">
        <v>5607</v>
      </c>
    </row>
    <row r="202" spans="1:2" x14ac:dyDescent="0.25">
      <c r="A202" t="s">
        <v>1</v>
      </c>
      <c r="B202" t="s">
        <v>5608</v>
      </c>
    </row>
    <row r="203" spans="1:2" x14ac:dyDescent="0.25">
      <c r="A203" t="s">
        <v>225</v>
      </c>
      <c r="B203" t="s">
        <v>5609</v>
      </c>
    </row>
    <row r="204" spans="1:2" x14ac:dyDescent="0.25">
      <c r="A204" t="s">
        <v>4</v>
      </c>
      <c r="B204" t="s">
        <v>5610</v>
      </c>
    </row>
    <row r="205" spans="1:2" x14ac:dyDescent="0.25">
      <c r="A205" t="s">
        <v>233</v>
      </c>
      <c r="B205" t="s">
        <v>5611</v>
      </c>
    </row>
    <row r="206" spans="1:2" x14ac:dyDescent="0.25">
      <c r="A206" t="s">
        <v>6</v>
      </c>
      <c r="B206" t="s">
        <v>5612</v>
      </c>
    </row>
    <row r="207" spans="1:2" x14ac:dyDescent="0.25">
      <c r="A207" t="s">
        <v>241</v>
      </c>
      <c r="B207" t="s">
        <v>5613</v>
      </c>
    </row>
    <row r="208" spans="1:2" x14ac:dyDescent="0.25">
      <c r="A208" t="s">
        <v>11</v>
      </c>
      <c r="B208" t="s">
        <v>5614</v>
      </c>
    </row>
    <row r="209" spans="1:103" x14ac:dyDescent="0.25">
      <c r="A209" t="s">
        <v>13</v>
      </c>
      <c r="B209" t="s">
        <v>5615</v>
      </c>
    </row>
    <row r="210" spans="1:103" x14ac:dyDescent="0.25">
      <c r="A210" t="s">
        <v>254</v>
      </c>
      <c r="B210" t="s">
        <v>5616</v>
      </c>
    </row>
    <row r="211" spans="1:103" x14ac:dyDescent="0.25">
      <c r="A211" t="s">
        <v>256</v>
      </c>
      <c r="B211" t="s">
        <v>5617</v>
      </c>
    </row>
    <row r="212" spans="1:103" x14ac:dyDescent="0.25">
      <c r="A212" t="s">
        <v>258</v>
      </c>
      <c r="B212" t="s">
        <v>5618</v>
      </c>
    </row>
    <row r="213" spans="1:103" x14ac:dyDescent="0.25">
      <c r="A213" t="s">
        <v>533</v>
      </c>
      <c r="B213" t="s">
        <v>5619</v>
      </c>
      <c r="BS213" t="b">
        <v>1</v>
      </c>
    </row>
    <row r="214" spans="1:103" x14ac:dyDescent="0.25">
      <c r="A214" t="s">
        <v>17</v>
      </c>
      <c r="B214" t="s">
        <v>5620</v>
      </c>
    </row>
    <row r="215" spans="1:103" x14ac:dyDescent="0.25">
      <c r="A215" t="s">
        <v>265</v>
      </c>
      <c r="B215" t="s">
        <v>5621</v>
      </c>
    </row>
    <row r="216" spans="1:103" x14ac:dyDescent="0.25">
      <c r="A216" t="s">
        <v>550</v>
      </c>
      <c r="B216" t="s">
        <v>5622</v>
      </c>
    </row>
    <row r="217" spans="1:103" x14ac:dyDescent="0.25">
      <c r="A217" t="s">
        <v>267</v>
      </c>
      <c r="B217" t="s">
        <v>5623</v>
      </c>
    </row>
    <row r="218" spans="1:103" x14ac:dyDescent="0.25">
      <c r="A218" t="s">
        <v>262</v>
      </c>
      <c r="B218" t="s">
        <v>5624</v>
      </c>
    </row>
    <row r="219" spans="1:103" x14ac:dyDescent="0.25">
      <c r="A219" t="s">
        <v>272</v>
      </c>
      <c r="B219" t="s">
        <v>5625</v>
      </c>
    </row>
    <row r="220" spans="1:103" x14ac:dyDescent="0.25">
      <c r="A220" t="s">
        <v>36</v>
      </c>
      <c r="B220" t="s">
        <v>5626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5627</v>
      </c>
      <c r="AE221" t="b">
        <v>1</v>
      </c>
    </row>
    <row r="222" spans="1:103" x14ac:dyDescent="0.25">
      <c r="A222" t="s">
        <v>269</v>
      </c>
      <c r="B222" t="s">
        <v>5628</v>
      </c>
      <c r="CY222" t="b">
        <v>1</v>
      </c>
    </row>
    <row r="223" spans="1:103" x14ac:dyDescent="0.25">
      <c r="A223" t="s">
        <v>40</v>
      </c>
      <c r="B223" t="s">
        <v>5629</v>
      </c>
    </row>
    <row r="224" spans="1:103" x14ac:dyDescent="0.25">
      <c r="A224" t="s">
        <v>42</v>
      </c>
      <c r="B224" t="s">
        <v>5630</v>
      </c>
      <c r="CI224" t="b">
        <v>1</v>
      </c>
    </row>
    <row r="225" spans="1:2" x14ac:dyDescent="0.25">
      <c r="A225" t="s">
        <v>275</v>
      </c>
      <c r="B225" t="s">
        <v>5631</v>
      </c>
    </row>
    <row r="226" spans="1:2" x14ac:dyDescent="0.25">
      <c r="A226" t="s">
        <v>73</v>
      </c>
      <c r="B226" t="s">
        <v>5632</v>
      </c>
    </row>
    <row r="227" spans="1:2" x14ac:dyDescent="0.25">
      <c r="A227" t="s">
        <v>75</v>
      </c>
      <c r="B227" t="s">
        <v>5633</v>
      </c>
    </row>
    <row r="228" spans="1:2" x14ac:dyDescent="0.25">
      <c r="A228" t="s">
        <v>88</v>
      </c>
      <c r="B228" t="s">
        <v>5634</v>
      </c>
    </row>
    <row r="229" spans="1:2" x14ac:dyDescent="0.25">
      <c r="A229" t="s">
        <v>49</v>
      </c>
      <c r="B229" t="s">
        <v>5635</v>
      </c>
    </row>
    <row r="230" spans="1:2" x14ac:dyDescent="0.25">
      <c r="A230" t="s">
        <v>51</v>
      </c>
      <c r="B230" t="s">
        <v>5636</v>
      </c>
    </row>
    <row r="231" spans="1:2" x14ac:dyDescent="0.25">
      <c r="A231" t="s">
        <v>53</v>
      </c>
      <c r="B231" t="s">
        <v>5637</v>
      </c>
    </row>
    <row r="232" spans="1:2" x14ac:dyDescent="0.25">
      <c r="A232" t="s">
        <v>55</v>
      </c>
      <c r="B232" t="s">
        <v>5638</v>
      </c>
    </row>
    <row r="233" spans="1:2" x14ac:dyDescent="0.25">
      <c r="A233" t="s">
        <v>57</v>
      </c>
      <c r="B233" t="s">
        <v>5639</v>
      </c>
    </row>
    <row r="234" spans="1:2" x14ac:dyDescent="0.25">
      <c r="A234" t="s">
        <v>59</v>
      </c>
      <c r="B234" t="s">
        <v>5640</v>
      </c>
    </row>
    <row r="235" spans="1:2" x14ac:dyDescent="0.25">
      <c r="A235" t="s">
        <v>24</v>
      </c>
      <c r="B235" t="s">
        <v>5641</v>
      </c>
    </row>
    <row r="236" spans="1:2" x14ac:dyDescent="0.25">
      <c r="A236" t="s">
        <v>32</v>
      </c>
      <c r="B236" t="s">
        <v>5642</v>
      </c>
    </row>
    <row r="237" spans="1:2" x14ac:dyDescent="0.25">
      <c r="A237" t="s">
        <v>101</v>
      </c>
      <c r="B237" t="s">
        <v>5643</v>
      </c>
    </row>
    <row r="238" spans="1:2" x14ac:dyDescent="0.25">
      <c r="A238" t="s">
        <v>159</v>
      </c>
      <c r="B238" t="s">
        <v>5644</v>
      </c>
    </row>
    <row r="239" spans="1:2" x14ac:dyDescent="0.25">
      <c r="A239" t="s">
        <v>107</v>
      </c>
      <c r="B239" t="s">
        <v>5645</v>
      </c>
    </row>
    <row r="240" spans="1:2" x14ac:dyDescent="0.25">
      <c r="A240" t="s">
        <v>15</v>
      </c>
      <c r="B240" t="s">
        <v>5646</v>
      </c>
    </row>
    <row r="241" spans="1:2" x14ac:dyDescent="0.25">
      <c r="A241" t="s">
        <v>171</v>
      </c>
      <c r="B241" t="s">
        <v>5647</v>
      </c>
    </row>
    <row r="242" spans="1:2" x14ac:dyDescent="0.25">
      <c r="A242" t="s">
        <v>117</v>
      </c>
      <c r="B242" t="s">
        <v>5648</v>
      </c>
    </row>
    <row r="243" spans="1:2" x14ac:dyDescent="0.25">
      <c r="A243" t="s">
        <v>119</v>
      </c>
      <c r="B243" t="s">
        <v>5649</v>
      </c>
    </row>
    <row r="244" spans="1:2" x14ac:dyDescent="0.25">
      <c r="A244" t="s">
        <v>122</v>
      </c>
      <c r="B244" t="s">
        <v>5650</v>
      </c>
    </row>
    <row r="245" spans="1:2" x14ac:dyDescent="0.25">
      <c r="A245" t="s">
        <v>176</v>
      </c>
      <c r="B245" t="s">
        <v>5651</v>
      </c>
    </row>
    <row r="246" spans="1:2" x14ac:dyDescent="0.25">
      <c r="A246" t="s">
        <v>126</v>
      </c>
      <c r="B246" t="s">
        <v>5652</v>
      </c>
    </row>
    <row r="247" spans="1:2" x14ac:dyDescent="0.25">
      <c r="A247" t="s">
        <v>130</v>
      </c>
      <c r="B247" t="s">
        <v>5653</v>
      </c>
    </row>
    <row r="248" spans="1:2" x14ac:dyDescent="0.25">
      <c r="A248" t="s">
        <v>39</v>
      </c>
      <c r="B248" t="s">
        <v>5654</v>
      </c>
    </row>
    <row r="249" spans="1:2" x14ac:dyDescent="0.25">
      <c r="A249" t="s">
        <v>133</v>
      </c>
      <c r="B249" t="s">
        <v>5655</v>
      </c>
    </row>
    <row r="250" spans="1:2" x14ac:dyDescent="0.25">
      <c r="A250" t="s">
        <v>69</v>
      </c>
      <c r="B250" t="s">
        <v>5656</v>
      </c>
    </row>
    <row r="251" spans="1:2" x14ac:dyDescent="0.25">
      <c r="A251" t="s">
        <v>71</v>
      </c>
      <c r="B251" t="s">
        <v>5657</v>
      </c>
    </row>
    <row r="252" spans="1:2" x14ac:dyDescent="0.25">
      <c r="A252" t="s">
        <v>141</v>
      </c>
      <c r="B252" t="s">
        <v>5658</v>
      </c>
    </row>
    <row r="253" spans="1:2" x14ac:dyDescent="0.25">
      <c r="A253" t="s">
        <v>143</v>
      </c>
      <c r="B253" t="s">
        <v>5659</v>
      </c>
    </row>
    <row r="254" spans="1:2" x14ac:dyDescent="0.25">
      <c r="A254" t="s">
        <v>145</v>
      </c>
      <c r="B254" t="s">
        <v>5660</v>
      </c>
    </row>
    <row r="255" spans="1:2" x14ac:dyDescent="0.25">
      <c r="A255" t="s">
        <v>386</v>
      </c>
      <c r="B255" t="s">
        <v>5661</v>
      </c>
    </row>
    <row r="256" spans="1:2" x14ac:dyDescent="0.25">
      <c r="A256" t="s">
        <v>30</v>
      </c>
      <c r="B256" t="s">
        <v>5662</v>
      </c>
    </row>
    <row r="257" spans="1:2" x14ac:dyDescent="0.25">
      <c r="A257" t="s">
        <v>33</v>
      </c>
      <c r="B257" t="s">
        <v>5663</v>
      </c>
    </row>
    <row r="258" spans="1:2" x14ac:dyDescent="0.25">
      <c r="A258" t="s">
        <v>153</v>
      </c>
      <c r="B258" t="s">
        <v>5664</v>
      </c>
    </row>
    <row r="259" spans="1:2" x14ac:dyDescent="0.25">
      <c r="A259" t="s">
        <v>155</v>
      </c>
      <c r="B259" t="s">
        <v>5665</v>
      </c>
    </row>
    <row r="260" spans="1:2" x14ac:dyDescent="0.25">
      <c r="A260" t="s">
        <v>157</v>
      </c>
      <c r="B260" t="s">
        <v>5666</v>
      </c>
    </row>
    <row r="261" spans="1:2" x14ac:dyDescent="0.25">
      <c r="A261" t="s">
        <v>3</v>
      </c>
      <c r="B261" t="s">
        <v>5667</v>
      </c>
    </row>
    <row r="262" spans="1:2" x14ac:dyDescent="0.25">
      <c r="A262" t="s">
        <v>78</v>
      </c>
      <c r="B262" t="s">
        <v>5668</v>
      </c>
    </row>
    <row r="263" spans="1:2" x14ac:dyDescent="0.25">
      <c r="A263" t="s">
        <v>80</v>
      </c>
      <c r="B263" t="s">
        <v>5669</v>
      </c>
    </row>
    <row r="264" spans="1:2" x14ac:dyDescent="0.25">
      <c r="A264" t="s">
        <v>82</v>
      </c>
      <c r="B264" t="s">
        <v>5670</v>
      </c>
    </row>
    <row r="265" spans="1:2" x14ac:dyDescent="0.25">
      <c r="A265" t="s">
        <v>84</v>
      </c>
      <c r="B265" t="s">
        <v>5671</v>
      </c>
    </row>
    <row r="266" spans="1:2" x14ac:dyDescent="0.25">
      <c r="A266" t="s">
        <v>86</v>
      </c>
      <c r="B266" t="s">
        <v>5672</v>
      </c>
    </row>
    <row r="267" spans="1:2" x14ac:dyDescent="0.25">
      <c r="A267" t="s">
        <v>29</v>
      </c>
      <c r="B267" t="s">
        <v>5673</v>
      </c>
    </row>
    <row r="268" spans="1:2" x14ac:dyDescent="0.25">
      <c r="A268" t="s">
        <v>90</v>
      </c>
      <c r="B268" t="s">
        <v>5674</v>
      </c>
    </row>
    <row r="269" spans="1:2" x14ac:dyDescent="0.25">
      <c r="A269" t="s">
        <v>95</v>
      </c>
      <c r="B269" t="s">
        <v>5675</v>
      </c>
    </row>
    <row r="270" spans="1:2" x14ac:dyDescent="0.25">
      <c r="A270" t="s">
        <v>2</v>
      </c>
      <c r="B270" t="s">
        <v>5676</v>
      </c>
    </row>
    <row r="271" spans="1:2" x14ac:dyDescent="0.25">
      <c r="A271" t="s">
        <v>7</v>
      </c>
      <c r="B271" t="s">
        <v>5677</v>
      </c>
    </row>
    <row r="273" spans="1:2" x14ac:dyDescent="0.25">
      <c r="A273" t="s">
        <v>9</v>
      </c>
      <c r="B273" t="s">
        <v>5678</v>
      </c>
    </row>
    <row r="274" spans="1:2" x14ac:dyDescent="0.25">
      <c r="A274" t="s">
        <v>163</v>
      </c>
      <c r="B274" t="s">
        <v>5679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1351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5680</v>
      </c>
      <c r="AF2">
        <v>4</v>
      </c>
      <c r="AH2" s="1" t="s">
        <v>656</v>
      </c>
      <c r="AK2">
        <v>515</v>
      </c>
      <c r="AL2">
        <v>223</v>
      </c>
      <c r="AM2" t="s">
        <v>5681</v>
      </c>
      <c r="AN2">
        <v>5</v>
      </c>
      <c r="AP2" s="1" t="s">
        <v>657</v>
      </c>
      <c r="AS2">
        <v>546</v>
      </c>
      <c r="AT2">
        <v>312</v>
      </c>
      <c r="AU2" t="s">
        <v>5682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5683</v>
      </c>
      <c r="BL2">
        <v>5</v>
      </c>
      <c r="BN2" s="1" t="s">
        <v>659</v>
      </c>
      <c r="BQ2">
        <v>523</v>
      </c>
      <c r="BR2">
        <v>293</v>
      </c>
      <c r="BS2" t="s">
        <v>5684</v>
      </c>
      <c r="BT2">
        <v>5</v>
      </c>
      <c r="BV2" s="1" t="s">
        <v>660</v>
      </c>
      <c r="BY2">
        <v>523</v>
      </c>
      <c r="BZ2">
        <v>195</v>
      </c>
      <c r="CA2" t="s">
        <v>5685</v>
      </c>
      <c r="CB2">
        <v>5</v>
      </c>
      <c r="CD2" s="1" t="s">
        <v>661</v>
      </c>
      <c r="CG2">
        <v>523</v>
      </c>
      <c r="CH2">
        <v>203</v>
      </c>
      <c r="CI2" t="s">
        <v>5686</v>
      </c>
      <c r="CJ2">
        <v>5</v>
      </c>
      <c r="CL2" s="1" t="s">
        <v>662</v>
      </c>
      <c r="CO2">
        <v>523</v>
      </c>
      <c r="CP2">
        <v>263</v>
      </c>
      <c r="CQ2" t="s">
        <v>5687</v>
      </c>
      <c r="CR2">
        <v>5</v>
      </c>
      <c r="CT2" s="1" t="s">
        <v>663</v>
      </c>
      <c r="CW2">
        <v>516</v>
      </c>
      <c r="CX2">
        <v>298</v>
      </c>
      <c r="CY2" t="s">
        <v>5688</v>
      </c>
      <c r="CZ2">
        <v>4</v>
      </c>
    </row>
    <row r="3" spans="1:104" x14ac:dyDescent="0.25">
      <c r="W3" t="str">
        <f>dbCorrelationTitle</f>
        <v>Korelasyon</v>
      </c>
      <c r="Z3">
        <v>1</v>
      </c>
      <c r="AA3">
        <v>414</v>
      </c>
      <c r="AB3">
        <v>6</v>
      </c>
      <c r="AC3">
        <v>88</v>
      </c>
      <c r="AE3" t="s">
        <v>5689</v>
      </c>
      <c r="AH3">
        <v>1</v>
      </c>
      <c r="AI3">
        <v>412</v>
      </c>
      <c r="AJ3">
        <v>7</v>
      </c>
      <c r="AK3">
        <v>90</v>
      </c>
      <c r="AM3" t="s">
        <v>5689</v>
      </c>
      <c r="AP3">
        <v>1</v>
      </c>
      <c r="AQ3">
        <v>443</v>
      </c>
      <c r="AR3">
        <v>8</v>
      </c>
      <c r="AS3">
        <v>90</v>
      </c>
      <c r="AU3" t="s">
        <v>5689</v>
      </c>
      <c r="AX3">
        <v>1</v>
      </c>
      <c r="AY3">
        <v>418</v>
      </c>
      <c r="AZ3">
        <v>8</v>
      </c>
      <c r="BA3">
        <v>104</v>
      </c>
      <c r="BC3" t="s">
        <v>5689</v>
      </c>
      <c r="BF3">
        <v>1</v>
      </c>
      <c r="BG3">
        <v>407</v>
      </c>
      <c r="BH3">
        <v>7</v>
      </c>
      <c r="BI3">
        <v>90</v>
      </c>
      <c r="BK3" t="s">
        <v>5689</v>
      </c>
      <c r="BN3">
        <v>1</v>
      </c>
      <c r="BO3">
        <v>407</v>
      </c>
      <c r="BP3">
        <v>7</v>
      </c>
      <c r="BQ3">
        <v>90</v>
      </c>
      <c r="BS3" t="s">
        <v>5689</v>
      </c>
      <c r="BV3">
        <v>1</v>
      </c>
      <c r="BW3">
        <v>407</v>
      </c>
      <c r="BX3">
        <v>7</v>
      </c>
      <c r="BY3">
        <v>90</v>
      </c>
      <c r="CA3" t="s">
        <v>5689</v>
      </c>
      <c r="CD3">
        <v>1</v>
      </c>
      <c r="CE3">
        <v>407</v>
      </c>
      <c r="CF3">
        <v>7</v>
      </c>
      <c r="CG3">
        <v>90</v>
      </c>
      <c r="CI3" t="s">
        <v>5689</v>
      </c>
      <c r="CL3">
        <v>1</v>
      </c>
      <c r="CM3">
        <v>407</v>
      </c>
      <c r="CN3">
        <v>7</v>
      </c>
      <c r="CO3">
        <v>90</v>
      </c>
      <c r="CQ3" t="s">
        <v>5689</v>
      </c>
      <c r="CT3">
        <v>1</v>
      </c>
      <c r="CU3">
        <v>410</v>
      </c>
      <c r="CV3">
        <v>8</v>
      </c>
      <c r="CW3">
        <v>90</v>
      </c>
      <c r="CY3" t="s">
        <v>5689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5690</v>
      </c>
      <c r="AH4">
        <v>2</v>
      </c>
      <c r="AI4">
        <v>412</v>
      </c>
      <c r="AJ4">
        <v>30</v>
      </c>
      <c r="AK4">
        <v>90</v>
      </c>
      <c r="AM4" t="s">
        <v>5690</v>
      </c>
      <c r="AP4">
        <v>2</v>
      </c>
      <c r="AQ4">
        <v>443</v>
      </c>
      <c r="AR4">
        <v>31</v>
      </c>
      <c r="AS4">
        <v>90</v>
      </c>
      <c r="AU4" t="s">
        <v>5690</v>
      </c>
      <c r="AX4">
        <v>2</v>
      </c>
      <c r="AY4">
        <v>418</v>
      </c>
      <c r="AZ4">
        <v>33</v>
      </c>
      <c r="BA4">
        <v>104</v>
      </c>
      <c r="BC4" t="s">
        <v>5690</v>
      </c>
      <c r="BF4">
        <v>2</v>
      </c>
      <c r="BG4">
        <v>407</v>
      </c>
      <c r="BH4">
        <v>30</v>
      </c>
      <c r="BI4">
        <v>90</v>
      </c>
      <c r="BK4" t="s">
        <v>5690</v>
      </c>
      <c r="BN4">
        <v>2</v>
      </c>
      <c r="BO4">
        <v>407</v>
      </c>
      <c r="BP4">
        <v>30</v>
      </c>
      <c r="BQ4">
        <v>90</v>
      </c>
      <c r="BS4" t="s">
        <v>5690</v>
      </c>
      <c r="BV4">
        <v>2</v>
      </c>
      <c r="BW4">
        <v>407</v>
      </c>
      <c r="BX4">
        <v>30</v>
      </c>
      <c r="BY4">
        <v>90</v>
      </c>
      <c r="CA4" t="s">
        <v>5690</v>
      </c>
      <c r="CD4">
        <v>2</v>
      </c>
      <c r="CE4">
        <v>407</v>
      </c>
      <c r="CF4">
        <v>30</v>
      </c>
      <c r="CG4">
        <v>90</v>
      </c>
      <c r="CI4" t="s">
        <v>5690</v>
      </c>
      <c r="CL4">
        <v>2</v>
      </c>
      <c r="CM4">
        <v>407</v>
      </c>
      <c r="CN4">
        <v>30</v>
      </c>
      <c r="CO4">
        <v>90</v>
      </c>
      <c r="CQ4" t="s">
        <v>5690</v>
      </c>
      <c r="CT4">
        <v>2</v>
      </c>
      <c r="CU4">
        <v>410</v>
      </c>
      <c r="CV4">
        <v>31</v>
      </c>
      <c r="CW4">
        <v>90</v>
      </c>
      <c r="CY4" t="s">
        <v>5690</v>
      </c>
    </row>
    <row r="5" spans="1:104" x14ac:dyDescent="0.25">
      <c r="T5">
        <v>0</v>
      </c>
      <c r="U5" t="str">
        <f>dbAnova1Title</f>
        <v>Anova: Tek Etken</v>
      </c>
      <c r="V5">
        <v>0</v>
      </c>
      <c r="W5" t="str">
        <f>dbAnova1Title</f>
        <v>Anova: Tek Etken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5691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5692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5692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5693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5692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5692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5692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5692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5692</v>
      </c>
      <c r="CT5">
        <v>5</v>
      </c>
      <c r="CU5">
        <v>17</v>
      </c>
      <c r="CV5">
        <v>12</v>
      </c>
      <c r="CY5" t="s">
        <v>5694</v>
      </c>
    </row>
    <row r="6" spans="1:104" x14ac:dyDescent="0.25">
      <c r="T6">
        <v>1</v>
      </c>
      <c r="U6" t="str">
        <f>dbAnova2Title</f>
        <v>Anova: Yinelemeli Çift-Etken</v>
      </c>
      <c r="V6">
        <v>1</v>
      </c>
      <c r="W6" t="str">
        <f>dbAnova2Title</f>
        <v>Anova: Yinelemeli Çift-Etken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5695</v>
      </c>
      <c r="AP6">
        <v>5</v>
      </c>
      <c r="AQ6">
        <v>24</v>
      </c>
      <c r="AR6">
        <v>22</v>
      </c>
      <c r="AU6" t="s">
        <v>5696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5697</v>
      </c>
      <c r="BN6">
        <v>5</v>
      </c>
      <c r="BO6">
        <v>18</v>
      </c>
      <c r="BP6">
        <v>19</v>
      </c>
      <c r="BS6" t="s">
        <v>5697</v>
      </c>
      <c r="BV6">
        <v>5</v>
      </c>
      <c r="BW6">
        <v>18</v>
      </c>
      <c r="BX6">
        <v>19</v>
      </c>
      <c r="CA6" t="s">
        <v>5697</v>
      </c>
      <c r="CD6">
        <v>5</v>
      </c>
      <c r="CE6">
        <v>18</v>
      </c>
      <c r="CF6">
        <v>19</v>
      </c>
      <c r="CI6" t="s">
        <v>5698</v>
      </c>
      <c r="CL6">
        <v>5</v>
      </c>
      <c r="CM6">
        <v>18</v>
      </c>
      <c r="CN6">
        <v>19</v>
      </c>
      <c r="CQ6" t="s">
        <v>5697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Anova: Yinelemesiz Çift-Etken</v>
      </c>
      <c r="V7">
        <v>2</v>
      </c>
      <c r="W7" t="str">
        <f>dbAnova3Title</f>
        <v>Anova: Yinelemesiz Çift-Etken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5699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5700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Korelasyon</v>
      </c>
      <c r="V8">
        <v>3</v>
      </c>
      <c r="W8" t="str">
        <f>dbCorrelationTitle</f>
        <v>Korelasyon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5701</v>
      </c>
      <c r="AP8">
        <v>5</v>
      </c>
      <c r="AQ8">
        <v>24</v>
      </c>
      <c r="AR8">
        <v>48</v>
      </c>
      <c r="AU8" t="s">
        <v>5702</v>
      </c>
      <c r="AX8">
        <v>12</v>
      </c>
      <c r="AZ8">
        <v>90</v>
      </c>
      <c r="BC8" t="s">
        <v>5703</v>
      </c>
      <c r="BF8">
        <v>5</v>
      </c>
      <c r="BG8">
        <v>18</v>
      </c>
      <c r="BH8">
        <v>44</v>
      </c>
      <c r="BK8" t="s">
        <v>5701</v>
      </c>
      <c r="BN8">
        <v>5</v>
      </c>
      <c r="BO8">
        <v>18</v>
      </c>
      <c r="BP8">
        <v>44</v>
      </c>
      <c r="BS8" t="s">
        <v>5701</v>
      </c>
      <c r="BV8">
        <v>5</v>
      </c>
      <c r="BW8">
        <v>17</v>
      </c>
      <c r="BX8">
        <v>40</v>
      </c>
      <c r="CA8" t="s">
        <v>5704</v>
      </c>
      <c r="CD8">
        <v>5</v>
      </c>
      <c r="CE8">
        <v>18</v>
      </c>
      <c r="CF8">
        <v>41</v>
      </c>
      <c r="CI8" t="s">
        <v>5705</v>
      </c>
      <c r="CL8">
        <v>13</v>
      </c>
      <c r="CM8">
        <v>18</v>
      </c>
      <c r="CN8">
        <v>39</v>
      </c>
      <c r="CQ8" t="s">
        <v>5706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Kovaryans</v>
      </c>
      <c r="V9">
        <v>4</v>
      </c>
      <c r="W9" t="str">
        <f>dbCovarianceTitle</f>
        <v>Kovaryans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5707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5708</v>
      </c>
      <c r="CT9">
        <v>5</v>
      </c>
      <c r="CU9">
        <v>17</v>
      </c>
      <c r="CV9">
        <v>63</v>
      </c>
      <c r="CY9" t="s">
        <v>5709</v>
      </c>
    </row>
    <row r="10" spans="1:104" x14ac:dyDescent="0.25">
      <c r="A10" t="s">
        <v>505</v>
      </c>
      <c r="B10" t="s">
        <v>5710</v>
      </c>
      <c r="T10">
        <v>5</v>
      </c>
      <c r="U10" t="str">
        <f>dbDescripTitle</f>
        <v>Tanımlayıcı İstatistik</v>
      </c>
      <c r="V10">
        <v>5</v>
      </c>
      <c r="W10" t="str">
        <f>dbDescripTitle</f>
        <v>Tanımlayıcı İstatistik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5711</v>
      </c>
      <c r="AP10">
        <v>13</v>
      </c>
      <c r="AQ10">
        <v>25</v>
      </c>
      <c r="AR10">
        <v>75</v>
      </c>
      <c r="AU10" t="s">
        <v>5706</v>
      </c>
      <c r="AV10" t="b">
        <v>0</v>
      </c>
      <c r="AX10">
        <v>12</v>
      </c>
      <c r="AZ10">
        <v>130</v>
      </c>
      <c r="BC10" t="s">
        <v>5712</v>
      </c>
      <c r="BF10">
        <v>12</v>
      </c>
      <c r="BG10">
        <v>220</v>
      </c>
      <c r="BH10">
        <v>40</v>
      </c>
      <c r="BK10" t="s">
        <v>5711</v>
      </c>
      <c r="BN10">
        <v>12</v>
      </c>
      <c r="BO10">
        <v>220</v>
      </c>
      <c r="BP10">
        <v>40</v>
      </c>
      <c r="BS10" t="s">
        <v>5711</v>
      </c>
      <c r="BV10">
        <v>13</v>
      </c>
      <c r="BW10">
        <v>17</v>
      </c>
      <c r="BX10">
        <v>60</v>
      </c>
      <c r="CA10" t="s">
        <v>5706</v>
      </c>
      <c r="CB10" t="b">
        <v>0</v>
      </c>
      <c r="CD10">
        <v>13</v>
      </c>
      <c r="CE10">
        <v>18</v>
      </c>
      <c r="CF10">
        <v>64</v>
      </c>
      <c r="CI10" t="s">
        <v>5706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5713</v>
      </c>
      <c r="T11">
        <v>6</v>
      </c>
      <c r="U11" t="str">
        <f>dbExponentTitle</f>
        <v>Üstel Düzeltme</v>
      </c>
      <c r="V11">
        <v>6</v>
      </c>
      <c r="W11" t="str">
        <f>dbExponentTitle</f>
        <v>Üstel Düzeltme</v>
      </c>
      <c r="X11" t="s">
        <v>452</v>
      </c>
      <c r="Y11" s="1" t="s">
        <v>660</v>
      </c>
      <c r="AH11">
        <v>12</v>
      </c>
      <c r="AM11" t="s">
        <v>5714</v>
      </c>
      <c r="AP11">
        <v>13</v>
      </c>
      <c r="AQ11">
        <v>197</v>
      </c>
      <c r="AR11">
        <v>75</v>
      </c>
      <c r="AU11" t="s">
        <v>5715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5716</v>
      </c>
      <c r="BF11">
        <v>12</v>
      </c>
      <c r="BK11" t="s">
        <v>5717</v>
      </c>
      <c r="BN11">
        <v>12</v>
      </c>
      <c r="BS11" t="s">
        <v>5714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5693</v>
      </c>
      <c r="CD11">
        <v>5</v>
      </c>
      <c r="CE11">
        <v>18</v>
      </c>
      <c r="CF11">
        <v>85</v>
      </c>
      <c r="CI11" t="s">
        <v>1019</v>
      </c>
      <c r="CL11">
        <v>12</v>
      </c>
      <c r="CM11">
        <v>18</v>
      </c>
      <c r="CN11">
        <v>82</v>
      </c>
      <c r="CQ11" t="s">
        <v>5718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5719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F-Test Varyanslar İçin İki Örnek</v>
      </c>
      <c r="V12">
        <v>7</v>
      </c>
      <c r="W12" t="str">
        <f>dbFTestTitle</f>
        <v>F-Test Varyanslar İçin İki Örnek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5713</v>
      </c>
      <c r="AN12" t="b">
        <v>0</v>
      </c>
      <c r="AP12">
        <v>113</v>
      </c>
      <c r="AQ12">
        <v>25</v>
      </c>
      <c r="AR12">
        <v>93</v>
      </c>
      <c r="AU12" t="s">
        <v>5720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5713</v>
      </c>
      <c r="BL12" t="b">
        <v>0</v>
      </c>
      <c r="BN12">
        <v>13</v>
      </c>
      <c r="BO12">
        <v>18</v>
      </c>
      <c r="BP12">
        <v>75</v>
      </c>
      <c r="BS12" t="s">
        <v>5713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5721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Fourier Çözümlemesi</v>
      </c>
      <c r="V13">
        <v>8</v>
      </c>
      <c r="W13" t="str">
        <f>dbFourierTitle</f>
        <v>Fourier Çözümlemesi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1019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5693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5693</v>
      </c>
      <c r="BV13">
        <v>5</v>
      </c>
      <c r="BW13">
        <v>17</v>
      </c>
      <c r="BX13">
        <v>99</v>
      </c>
      <c r="CA13" t="s">
        <v>5722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5693</v>
      </c>
      <c r="CL13">
        <v>5</v>
      </c>
      <c r="CM13">
        <v>42</v>
      </c>
      <c r="CN13">
        <v>103</v>
      </c>
      <c r="CQ13" t="s">
        <v>5723</v>
      </c>
      <c r="CT13">
        <v>5</v>
      </c>
    </row>
    <row r="14" spans="1:104" x14ac:dyDescent="0.25">
      <c r="A14" t="s">
        <v>404</v>
      </c>
      <c r="B14" t="s">
        <v>5724</v>
      </c>
      <c r="T14">
        <v>9</v>
      </c>
      <c r="U14" t="str">
        <f>dbHistogramTitle</f>
        <v>Histogram</v>
      </c>
      <c r="V14">
        <v>9</v>
      </c>
      <c r="W14" t="str">
        <f>dbHistogramTitle</f>
        <v>Histogram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176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5725</v>
      </c>
      <c r="T15">
        <v>10</v>
      </c>
      <c r="U15" t="str">
        <f>dbMovingTitle</f>
        <v>Hareketli Ortalama</v>
      </c>
      <c r="V15">
        <v>10</v>
      </c>
      <c r="W15" t="str">
        <f>dbMovingTitle</f>
        <v>Hareketli Ortalama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5693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5693</v>
      </c>
      <c r="AX15">
        <v>24</v>
      </c>
      <c r="AY15">
        <v>418</v>
      </c>
      <c r="AZ15">
        <v>66</v>
      </c>
      <c r="BA15">
        <v>104</v>
      </c>
      <c r="BC15" t="s">
        <v>5726</v>
      </c>
      <c r="BF15">
        <v>12</v>
      </c>
      <c r="BG15">
        <v>20</v>
      </c>
      <c r="BH15">
        <v>120</v>
      </c>
      <c r="BK15" t="s">
        <v>5722</v>
      </c>
      <c r="BN15">
        <v>12</v>
      </c>
      <c r="BO15">
        <v>18</v>
      </c>
      <c r="BP15">
        <v>127</v>
      </c>
      <c r="BS15" t="s">
        <v>5722</v>
      </c>
      <c r="BV15">
        <v>205</v>
      </c>
      <c r="BW15">
        <v>17</v>
      </c>
      <c r="BX15">
        <v>119</v>
      </c>
      <c r="CA15" t="s">
        <v>5707</v>
      </c>
      <c r="CD15">
        <v>12</v>
      </c>
      <c r="CE15">
        <v>18</v>
      </c>
      <c r="CF15">
        <v>132</v>
      </c>
      <c r="CI15" t="s">
        <v>5722</v>
      </c>
      <c r="CL15">
        <v>5</v>
      </c>
      <c r="CM15">
        <v>42</v>
      </c>
      <c r="CN15">
        <v>146</v>
      </c>
      <c r="CQ15" t="s">
        <v>5727</v>
      </c>
      <c r="CT15">
        <v>5</v>
      </c>
    </row>
    <row r="16" spans="1:104" x14ac:dyDescent="0.25">
      <c r="A16" t="s">
        <v>526</v>
      </c>
      <c r="B16" t="s">
        <v>5728</v>
      </c>
      <c r="T16">
        <v>11</v>
      </c>
      <c r="U16" t="str">
        <f>dbRandomTitle</f>
        <v>Rastgele Sayı Üretimi</v>
      </c>
      <c r="V16">
        <v>11</v>
      </c>
      <c r="W16" t="str">
        <f>dbRandomTitle</f>
        <v>Rastgele Sayı Üretimi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5729</v>
      </c>
      <c r="BN16">
        <v>12</v>
      </c>
      <c r="BP16">
        <v>147</v>
      </c>
      <c r="BS16" t="s">
        <v>5729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5707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5730</v>
      </c>
      <c r="T17">
        <v>12</v>
      </c>
      <c r="U17" t="str">
        <f>dbRankPerTitle</f>
        <v>Rank ve Yüzdebirlik</v>
      </c>
      <c r="V17">
        <v>12</v>
      </c>
      <c r="W17" t="str">
        <f>dbRankPerTitle</f>
        <v>Rank ve Yüzdebirlik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5722</v>
      </c>
      <c r="AP17">
        <v>12</v>
      </c>
      <c r="AQ17">
        <v>24</v>
      </c>
      <c r="AR17">
        <v>142</v>
      </c>
      <c r="AU17" t="s">
        <v>5722</v>
      </c>
      <c r="BF17">
        <v>12</v>
      </c>
      <c r="BH17">
        <v>160</v>
      </c>
      <c r="BK17" t="s">
        <v>5731</v>
      </c>
      <c r="BN17">
        <v>12</v>
      </c>
      <c r="BP17">
        <v>167</v>
      </c>
      <c r="BS17" t="s">
        <v>5731</v>
      </c>
      <c r="BV17">
        <v>205</v>
      </c>
      <c r="BW17">
        <v>17</v>
      </c>
      <c r="BX17">
        <v>139</v>
      </c>
      <c r="CA17" t="s">
        <v>5712</v>
      </c>
      <c r="CD17">
        <v>12</v>
      </c>
      <c r="CF17">
        <v>172</v>
      </c>
      <c r="CI17" t="s">
        <v>5712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5693</v>
      </c>
      <c r="CT17">
        <v>5</v>
      </c>
    </row>
    <row r="18" spans="1:104" x14ac:dyDescent="0.25">
      <c r="A18" t="s">
        <v>531</v>
      </c>
      <c r="B18" t="s">
        <v>5732</v>
      </c>
      <c r="T18">
        <v>13</v>
      </c>
      <c r="U18" t="str">
        <f>dbRegressionTitle</f>
        <v>Regresyon</v>
      </c>
      <c r="V18">
        <v>13</v>
      </c>
      <c r="W18" t="str">
        <f>dbRegressionTitle</f>
        <v>Regresyon</v>
      </c>
      <c r="X18" t="s">
        <v>448</v>
      </c>
      <c r="Y18" s="1" t="s">
        <v>657</v>
      </c>
      <c r="AH18">
        <v>12</v>
      </c>
      <c r="AJ18">
        <v>169</v>
      </c>
      <c r="AM18" t="s">
        <v>5707</v>
      </c>
      <c r="AP18">
        <v>12</v>
      </c>
      <c r="AR18">
        <v>162</v>
      </c>
      <c r="AU18" t="s">
        <v>5707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5733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5734</v>
      </c>
      <c r="T19">
        <v>14</v>
      </c>
      <c r="U19" t="str">
        <f>dbSamplingTitle</f>
        <v>Örnekleme</v>
      </c>
      <c r="V19">
        <v>14</v>
      </c>
      <c r="W19" t="str">
        <f>dbSamplingTitle</f>
        <v>Örnekleme</v>
      </c>
      <c r="X19" t="s">
        <v>585</v>
      </c>
      <c r="Y19" s="1" t="s">
        <v>662</v>
      </c>
      <c r="AH19">
        <v>12</v>
      </c>
      <c r="AJ19">
        <v>189</v>
      </c>
      <c r="AM19" t="s">
        <v>5712</v>
      </c>
      <c r="AP19">
        <v>12</v>
      </c>
      <c r="AR19">
        <v>182</v>
      </c>
      <c r="AU19" t="s">
        <v>5712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5735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5722</v>
      </c>
      <c r="CT19">
        <v>5</v>
      </c>
    </row>
    <row r="20" spans="1:104" x14ac:dyDescent="0.25">
      <c r="A20" t="s">
        <v>343</v>
      </c>
      <c r="B20" t="s">
        <v>5680</v>
      </c>
      <c r="T20">
        <v>15</v>
      </c>
      <c r="U20" t="str">
        <f>dbTTest1Title</f>
        <v>t-Test: Ortalamalar İçin İki Örnek</v>
      </c>
      <c r="V20">
        <v>15</v>
      </c>
      <c r="W20" t="str">
        <f>dbTTest1Title</f>
        <v>t-Test: Ortalamalar İçin İki Örnek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5736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5707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t-Test: Eşit Varyanslar Varsayarak İki Örnek</v>
      </c>
      <c r="V21">
        <v>16</v>
      </c>
      <c r="W21" t="str">
        <f>dbTTest2Title</f>
        <v>t-Test: Eşit Varyanslar Varsayarak İki Örnek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5737</v>
      </c>
      <c r="BT21" t="b">
        <v>0</v>
      </c>
      <c r="CL21">
        <v>12</v>
      </c>
      <c r="CN21">
        <v>230</v>
      </c>
      <c r="CQ21" t="s">
        <v>5712</v>
      </c>
      <c r="CT21">
        <v>5</v>
      </c>
    </row>
    <row r="22" spans="1:104" x14ac:dyDescent="0.25">
      <c r="A22" t="s">
        <v>440</v>
      </c>
      <c r="B22" t="s">
        <v>5681</v>
      </c>
      <c r="T22">
        <v>17</v>
      </c>
      <c r="U22" t="str">
        <f>dbTTest3Title</f>
        <v>t-Test: Farklı Varyanslar Varsayarak İki Örnek</v>
      </c>
      <c r="V22">
        <v>17</v>
      </c>
      <c r="W22" t="str">
        <f>dbTTest3Title</f>
        <v>t-Test: Farklı Varyanslar Varsayarak İki Örnek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5738</v>
      </c>
      <c r="BF22" t="s">
        <v>483</v>
      </c>
      <c r="BN22">
        <v>208</v>
      </c>
      <c r="BO22">
        <v>261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5739</v>
      </c>
    </row>
    <row r="23" spans="1:104" x14ac:dyDescent="0.25">
      <c r="A23" t="s">
        <v>443</v>
      </c>
      <c r="B23" t="s">
        <v>5740</v>
      </c>
      <c r="T23">
        <v>18</v>
      </c>
      <c r="U23" t="str">
        <f>dbZTestTitle</f>
        <v>z-Test: Ortalamalar İçin İki Örnek</v>
      </c>
      <c r="V23">
        <v>18</v>
      </c>
      <c r="W23" t="str">
        <f>dbZTestTitle</f>
        <v>z-Test: Ortalamalar İçin İki Örnek</v>
      </c>
      <c r="X23" t="s">
        <v>357</v>
      </c>
      <c r="Y23" s="1" t="s">
        <v>674</v>
      </c>
      <c r="AP23">
        <v>13</v>
      </c>
      <c r="AR23">
        <v>216</v>
      </c>
      <c r="AU23" t="s">
        <v>5741</v>
      </c>
      <c r="AV23" t="b">
        <v>0</v>
      </c>
      <c r="BF23" s="1" t="s">
        <v>666</v>
      </c>
      <c r="BI23">
        <v>523</v>
      </c>
      <c r="BJ23">
        <v>191</v>
      </c>
      <c r="BK23" t="s">
        <v>5742</v>
      </c>
      <c r="BL23">
        <v>5</v>
      </c>
      <c r="BN23">
        <v>5</v>
      </c>
      <c r="BO23">
        <v>237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5743</v>
      </c>
      <c r="X24" t="s">
        <v>551</v>
      </c>
      <c r="AP24">
        <v>13</v>
      </c>
      <c r="AR24">
        <v>231</v>
      </c>
      <c r="AU24" t="s">
        <v>5744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5689</v>
      </c>
      <c r="BN24">
        <v>113</v>
      </c>
      <c r="BO24">
        <v>18</v>
      </c>
      <c r="BP24">
        <v>228</v>
      </c>
      <c r="BS24" t="s">
        <v>5745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5746</v>
      </c>
    </row>
    <row r="25" spans="1:104" x14ac:dyDescent="0.25">
      <c r="A25" t="s">
        <v>552</v>
      </c>
      <c r="B25" t="s">
        <v>5747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5748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5690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5749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5750</v>
      </c>
      <c r="X26" t="s">
        <v>376</v>
      </c>
      <c r="AH26" s="1" t="s">
        <v>664</v>
      </c>
      <c r="AK26">
        <v>509</v>
      </c>
      <c r="AL26">
        <v>187</v>
      </c>
      <c r="AM26" t="s">
        <v>5751</v>
      </c>
      <c r="AN26">
        <v>5</v>
      </c>
      <c r="AP26">
        <v>13</v>
      </c>
      <c r="AR26">
        <v>231</v>
      </c>
      <c r="AU26" t="s">
        <v>5752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5692</v>
      </c>
      <c r="BN26">
        <v>113</v>
      </c>
      <c r="BO26">
        <v>18</v>
      </c>
      <c r="BP26">
        <v>247</v>
      </c>
      <c r="BS26" t="s">
        <v>5753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5689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5693</v>
      </c>
    </row>
    <row r="27" spans="1:104" x14ac:dyDescent="0.25">
      <c r="A27" t="s">
        <v>377</v>
      </c>
      <c r="B27" t="s">
        <v>5754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5689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5755</v>
      </c>
      <c r="BF27">
        <v>5</v>
      </c>
      <c r="BG27">
        <v>18</v>
      </c>
      <c r="BH27">
        <v>19</v>
      </c>
      <c r="BK27" t="s">
        <v>5697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5690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5756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5690</v>
      </c>
      <c r="AP28">
        <v>13</v>
      </c>
      <c r="AR28">
        <v>270</v>
      </c>
      <c r="AU28" t="s">
        <v>5757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5692</v>
      </c>
      <c r="CT28">
        <v>12</v>
      </c>
      <c r="CU28">
        <v>17</v>
      </c>
      <c r="CV28">
        <v>225</v>
      </c>
      <c r="CY28" t="s">
        <v>5722</v>
      </c>
    </row>
    <row r="29" spans="1:104" x14ac:dyDescent="0.25">
      <c r="A29" t="s">
        <v>383</v>
      </c>
      <c r="B29" t="s">
        <v>5758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5692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5701</v>
      </c>
      <c r="CD29">
        <v>5</v>
      </c>
      <c r="CE29">
        <v>17</v>
      </c>
      <c r="CF29">
        <v>18</v>
      </c>
      <c r="CI29" t="s">
        <v>5698</v>
      </c>
      <c r="CT29">
        <v>12</v>
      </c>
      <c r="CV29">
        <v>245</v>
      </c>
      <c r="CY29" t="s">
        <v>5707</v>
      </c>
    </row>
    <row r="30" spans="1:104" x14ac:dyDescent="0.25">
      <c r="A30" t="s">
        <v>600</v>
      </c>
      <c r="B30" t="s">
        <v>5759</v>
      </c>
      <c r="X30" t="s">
        <v>332</v>
      </c>
      <c r="AH30">
        <v>5</v>
      </c>
      <c r="AI30">
        <v>20</v>
      </c>
      <c r="AJ30">
        <v>19</v>
      </c>
      <c r="AM30" t="s">
        <v>5697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5712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5711</v>
      </c>
      <c r="CD31">
        <v>5</v>
      </c>
      <c r="CE31">
        <v>17</v>
      </c>
      <c r="CF31">
        <v>41</v>
      </c>
      <c r="CI31" t="s">
        <v>5705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5760</v>
      </c>
      <c r="AH32">
        <v>5</v>
      </c>
      <c r="AI32">
        <v>20</v>
      </c>
      <c r="AJ32">
        <v>45</v>
      </c>
      <c r="AM32" t="s">
        <v>5761</v>
      </c>
      <c r="BF32">
        <v>12</v>
      </c>
      <c r="BK32" t="s">
        <v>5714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5713</v>
      </c>
      <c r="BL33" t="b">
        <v>0</v>
      </c>
      <c r="CD33">
        <v>5</v>
      </c>
      <c r="CE33">
        <v>17</v>
      </c>
      <c r="CF33">
        <v>70</v>
      </c>
      <c r="CI33" t="s">
        <v>5762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1019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5693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5706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5693</v>
      </c>
      <c r="BF36">
        <v>12</v>
      </c>
      <c r="BG36">
        <v>18</v>
      </c>
      <c r="BH36">
        <v>120</v>
      </c>
      <c r="BK36" t="s">
        <v>5722</v>
      </c>
      <c r="CD36">
        <v>5</v>
      </c>
      <c r="CE36">
        <v>17</v>
      </c>
      <c r="CF36">
        <v>114</v>
      </c>
      <c r="CI36" t="s">
        <v>1019</v>
      </c>
      <c r="CT36">
        <v>5</v>
      </c>
      <c r="CZ36" t="s">
        <v>551</v>
      </c>
    </row>
    <row r="37" spans="1:104" x14ac:dyDescent="0.25">
      <c r="A37" t="s">
        <v>473</v>
      </c>
      <c r="B37" t="s">
        <v>5763</v>
      </c>
      <c r="AH37">
        <v>111</v>
      </c>
      <c r="AN37">
        <v>2</v>
      </c>
      <c r="BF37">
        <v>12</v>
      </c>
      <c r="BH37">
        <v>140</v>
      </c>
      <c r="BK37" t="s">
        <v>5707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5764</v>
      </c>
      <c r="AH38">
        <v>12</v>
      </c>
      <c r="AI38">
        <v>20</v>
      </c>
      <c r="AJ38">
        <v>115</v>
      </c>
      <c r="AM38" t="s">
        <v>5722</v>
      </c>
      <c r="BF38">
        <v>12</v>
      </c>
      <c r="BH38">
        <v>160</v>
      </c>
      <c r="BK38" t="s">
        <v>5712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5693</v>
      </c>
      <c r="CT38">
        <v>5</v>
      </c>
    </row>
    <row r="39" spans="1:104" x14ac:dyDescent="0.25">
      <c r="A39" t="s">
        <v>488</v>
      </c>
      <c r="B39" t="s">
        <v>5756</v>
      </c>
      <c r="AH39">
        <v>12</v>
      </c>
      <c r="AJ39">
        <v>135</v>
      </c>
      <c r="AM39" t="s">
        <v>5765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5766</v>
      </c>
      <c r="AH40">
        <v>12</v>
      </c>
      <c r="AJ40">
        <v>155</v>
      </c>
      <c r="AM40" t="s">
        <v>5767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5722</v>
      </c>
      <c r="CT40">
        <v>5</v>
      </c>
    </row>
    <row r="41" spans="1:104" x14ac:dyDescent="0.25">
      <c r="A41" t="s">
        <v>492</v>
      </c>
      <c r="B41" t="s">
        <v>5768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5707</v>
      </c>
      <c r="CT41">
        <v>5</v>
      </c>
    </row>
    <row r="42" spans="1:104" x14ac:dyDescent="0.25">
      <c r="A42" t="s">
        <v>494</v>
      </c>
      <c r="B42" t="s">
        <v>5769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5712</v>
      </c>
      <c r="CT42">
        <v>5</v>
      </c>
    </row>
    <row r="43" spans="1:104" x14ac:dyDescent="0.25">
      <c r="A43" t="s">
        <v>496</v>
      </c>
      <c r="B43" t="s">
        <v>5770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5771</v>
      </c>
      <c r="BF44" s="1" t="s">
        <v>670</v>
      </c>
      <c r="BI44">
        <v>523</v>
      </c>
      <c r="BJ44">
        <v>191</v>
      </c>
      <c r="BK44" t="s">
        <v>5772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5773</v>
      </c>
    </row>
    <row r="45" spans="1:104" x14ac:dyDescent="0.25">
      <c r="A45" t="s">
        <v>422</v>
      </c>
      <c r="B45" t="s">
        <v>5774</v>
      </c>
      <c r="BF45">
        <v>1</v>
      </c>
      <c r="BG45">
        <v>407</v>
      </c>
      <c r="BH45">
        <v>7</v>
      </c>
      <c r="BI45">
        <v>90</v>
      </c>
      <c r="BK45" t="s">
        <v>5689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5775</v>
      </c>
      <c r="BF46">
        <v>2</v>
      </c>
      <c r="BG46">
        <v>407</v>
      </c>
      <c r="BH46">
        <v>30</v>
      </c>
      <c r="BI46">
        <v>90</v>
      </c>
      <c r="BK46" t="s">
        <v>5690</v>
      </c>
      <c r="CT46">
        <v>5</v>
      </c>
      <c r="CU46">
        <v>184</v>
      </c>
      <c r="CV46">
        <v>114</v>
      </c>
      <c r="CY46" t="s">
        <v>5776</v>
      </c>
    </row>
    <row r="47" spans="1:104" x14ac:dyDescent="0.25">
      <c r="A47" t="s">
        <v>427</v>
      </c>
      <c r="B47" t="s">
        <v>5777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5692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5778</v>
      </c>
      <c r="AH48" s="1" t="s">
        <v>665</v>
      </c>
      <c r="AK48">
        <v>523</v>
      </c>
      <c r="AL48">
        <v>185</v>
      </c>
      <c r="AM48" t="s">
        <v>5779</v>
      </c>
      <c r="AN48">
        <v>5</v>
      </c>
      <c r="BF48">
        <v>5</v>
      </c>
      <c r="BG48">
        <v>18</v>
      </c>
      <c r="BH48">
        <v>19</v>
      </c>
      <c r="BK48" t="s">
        <v>5697</v>
      </c>
    </row>
    <row r="49" spans="1:104" x14ac:dyDescent="0.25">
      <c r="A49" t="s">
        <v>431</v>
      </c>
      <c r="B49" t="s">
        <v>5780</v>
      </c>
      <c r="AH49">
        <v>1</v>
      </c>
      <c r="AI49">
        <v>407</v>
      </c>
      <c r="AJ49">
        <v>7</v>
      </c>
      <c r="AK49">
        <v>90</v>
      </c>
      <c r="AM49" t="s">
        <v>5689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5758</v>
      </c>
      <c r="AH50">
        <v>2</v>
      </c>
      <c r="AI50">
        <v>407</v>
      </c>
      <c r="AJ50">
        <v>30</v>
      </c>
      <c r="AK50">
        <v>90</v>
      </c>
      <c r="AM50" t="s">
        <v>5690</v>
      </c>
      <c r="BF50">
        <v>5</v>
      </c>
      <c r="BG50">
        <v>18</v>
      </c>
      <c r="BH50">
        <v>44</v>
      </c>
      <c r="BK50" t="s">
        <v>5701</v>
      </c>
      <c r="CD50" s="1" t="s">
        <v>672</v>
      </c>
      <c r="CG50">
        <v>550</v>
      </c>
      <c r="CH50">
        <v>227</v>
      </c>
      <c r="CI50" t="s">
        <v>5781</v>
      </c>
      <c r="CJ50">
        <v>5</v>
      </c>
      <c r="CT50">
        <v>5</v>
      </c>
      <c r="CU50">
        <v>17</v>
      </c>
      <c r="CV50">
        <v>101</v>
      </c>
      <c r="CY50" t="s">
        <v>5782</v>
      </c>
      <c r="CZ50" t="s">
        <v>599</v>
      </c>
    </row>
    <row r="51" spans="1:104" x14ac:dyDescent="0.25">
      <c r="A51" t="s">
        <v>439</v>
      </c>
      <c r="B51" t="s">
        <v>5783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5692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5689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5784</v>
      </c>
      <c r="AH52">
        <v>5</v>
      </c>
      <c r="AI52">
        <v>18</v>
      </c>
      <c r="AJ52">
        <v>19</v>
      </c>
      <c r="AM52" t="s">
        <v>5697</v>
      </c>
      <c r="BF52">
        <v>12</v>
      </c>
      <c r="BG52">
        <v>220</v>
      </c>
      <c r="BH52">
        <v>40</v>
      </c>
      <c r="BK52" t="s">
        <v>5711</v>
      </c>
      <c r="CD52">
        <v>2</v>
      </c>
      <c r="CE52">
        <v>440</v>
      </c>
      <c r="CF52">
        <v>30</v>
      </c>
      <c r="CG52">
        <v>90</v>
      </c>
      <c r="CI52" t="s">
        <v>5690</v>
      </c>
      <c r="CT52">
        <v>5</v>
      </c>
      <c r="CU52">
        <v>132</v>
      </c>
      <c r="CV52">
        <v>101</v>
      </c>
      <c r="CY52" t="s">
        <v>5785</v>
      </c>
    </row>
    <row r="53" spans="1:104" x14ac:dyDescent="0.25">
      <c r="A53" t="s">
        <v>338</v>
      </c>
      <c r="B53" t="s">
        <v>5786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5717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5692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5787</v>
      </c>
      <c r="AH54">
        <v>13</v>
      </c>
      <c r="AI54">
        <v>19</v>
      </c>
      <c r="AJ54">
        <v>41</v>
      </c>
      <c r="AM54" t="s">
        <v>5706</v>
      </c>
      <c r="AN54" t="b">
        <v>0</v>
      </c>
      <c r="BF54">
        <v>13</v>
      </c>
      <c r="BG54">
        <v>18</v>
      </c>
      <c r="BH54">
        <v>75</v>
      </c>
      <c r="BK54" t="s">
        <v>5713</v>
      </c>
      <c r="BL54" t="b">
        <v>0</v>
      </c>
      <c r="CD54">
        <v>5</v>
      </c>
      <c r="CE54">
        <v>17</v>
      </c>
      <c r="CF54">
        <v>18</v>
      </c>
      <c r="CI54" t="s">
        <v>5698</v>
      </c>
      <c r="CT54">
        <v>5</v>
      </c>
      <c r="CU54">
        <v>232</v>
      </c>
      <c r="CV54">
        <v>101</v>
      </c>
      <c r="CY54" t="s">
        <v>5788</v>
      </c>
    </row>
    <row r="55" spans="1:104" x14ac:dyDescent="0.25">
      <c r="A55" t="s">
        <v>177</v>
      </c>
      <c r="B55" t="s">
        <v>5789</v>
      </c>
      <c r="AH55">
        <v>5</v>
      </c>
      <c r="AI55">
        <v>20</v>
      </c>
      <c r="AJ55">
        <v>62</v>
      </c>
      <c r="AM55" t="s">
        <v>1019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5693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5790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5705</v>
      </c>
      <c r="CT56">
        <v>5</v>
      </c>
      <c r="CU56">
        <v>17</v>
      </c>
      <c r="CV56">
        <v>131</v>
      </c>
      <c r="CY56" t="s">
        <v>5791</v>
      </c>
    </row>
    <row r="57" spans="1:104" x14ac:dyDescent="0.25">
      <c r="A57" t="s">
        <v>557</v>
      </c>
      <c r="B57" t="s">
        <v>5792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5693</v>
      </c>
      <c r="BF57">
        <v>12</v>
      </c>
      <c r="BG57">
        <v>18</v>
      </c>
      <c r="BH57">
        <v>120</v>
      </c>
      <c r="BK57" t="s">
        <v>5722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5793</v>
      </c>
      <c r="AH58">
        <v>111</v>
      </c>
      <c r="AN58">
        <v>2</v>
      </c>
      <c r="BF58">
        <v>12</v>
      </c>
      <c r="BH58">
        <v>140</v>
      </c>
      <c r="BK58" t="s">
        <v>5707</v>
      </c>
      <c r="CD58">
        <v>5</v>
      </c>
      <c r="CE58">
        <v>17</v>
      </c>
      <c r="CF58">
        <v>70</v>
      </c>
      <c r="CI58" t="s">
        <v>5762</v>
      </c>
      <c r="CT58">
        <v>5</v>
      </c>
      <c r="CU58">
        <v>288</v>
      </c>
      <c r="CV58">
        <v>131</v>
      </c>
      <c r="CY58" t="s">
        <v>5794</v>
      </c>
    </row>
    <row r="59" spans="1:104" x14ac:dyDescent="0.25">
      <c r="A59" t="s">
        <v>188</v>
      </c>
      <c r="B59" t="s">
        <v>5795</v>
      </c>
      <c r="AH59">
        <v>12</v>
      </c>
      <c r="AI59">
        <v>20</v>
      </c>
      <c r="AJ59">
        <v>107</v>
      </c>
      <c r="AM59" t="s">
        <v>5722</v>
      </c>
      <c r="BF59">
        <v>12</v>
      </c>
      <c r="BH59">
        <v>160</v>
      </c>
      <c r="BK59" t="s">
        <v>5712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5796</v>
      </c>
    </row>
    <row r="60" spans="1:104" x14ac:dyDescent="0.25">
      <c r="A60" t="s">
        <v>564</v>
      </c>
      <c r="B60" t="s">
        <v>5797</v>
      </c>
      <c r="AH60">
        <v>12</v>
      </c>
      <c r="AJ60">
        <v>127</v>
      </c>
      <c r="AM60" t="s">
        <v>5765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5706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5795</v>
      </c>
      <c r="AH61">
        <v>12</v>
      </c>
      <c r="AJ61">
        <v>147</v>
      </c>
      <c r="AM61" t="s">
        <v>5731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1019</v>
      </c>
      <c r="CT61">
        <v>5</v>
      </c>
      <c r="CU61">
        <v>288</v>
      </c>
      <c r="CV61">
        <v>153</v>
      </c>
      <c r="CY61" t="s">
        <v>5794</v>
      </c>
    </row>
    <row r="62" spans="1:104" x14ac:dyDescent="0.25">
      <c r="A62" t="s">
        <v>568</v>
      </c>
      <c r="B62" t="s">
        <v>5797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5798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5693</v>
      </c>
      <c r="CT63" t="s">
        <v>554</v>
      </c>
    </row>
    <row r="64" spans="1:104" x14ac:dyDescent="0.25">
      <c r="A64" t="s">
        <v>572</v>
      </c>
      <c r="B64" t="s">
        <v>5683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5742</v>
      </c>
      <c r="CD65">
        <v>12</v>
      </c>
      <c r="CE65">
        <v>17</v>
      </c>
      <c r="CF65">
        <v>156</v>
      </c>
      <c r="CI65" t="s">
        <v>5722</v>
      </c>
      <c r="CT65">
        <v>5</v>
      </c>
    </row>
    <row r="66" spans="1:104" x14ac:dyDescent="0.25">
      <c r="A66" t="s">
        <v>194</v>
      </c>
      <c r="B66" t="s">
        <v>5685</v>
      </c>
      <c r="BF66" t="s">
        <v>334</v>
      </c>
      <c r="CD66">
        <v>12</v>
      </c>
      <c r="CF66">
        <v>176</v>
      </c>
      <c r="CI66" t="s">
        <v>5707</v>
      </c>
      <c r="CT66">
        <v>5</v>
      </c>
    </row>
    <row r="67" spans="1:104" x14ac:dyDescent="0.25">
      <c r="A67" t="s">
        <v>195</v>
      </c>
      <c r="B67" t="s">
        <v>5799</v>
      </c>
      <c r="BF67" s="1" t="s">
        <v>667</v>
      </c>
      <c r="BI67">
        <v>523</v>
      </c>
      <c r="BJ67">
        <v>181</v>
      </c>
      <c r="BK67" t="s">
        <v>5800</v>
      </c>
      <c r="BL67">
        <v>5</v>
      </c>
      <c r="CD67">
        <v>12</v>
      </c>
      <c r="CF67">
        <v>196</v>
      </c>
      <c r="CI67" t="s">
        <v>5712</v>
      </c>
      <c r="CT67">
        <v>5</v>
      </c>
    </row>
    <row r="68" spans="1:104" x14ac:dyDescent="0.25">
      <c r="A68" t="s">
        <v>576</v>
      </c>
      <c r="B68" t="s">
        <v>5801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5689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5802</v>
      </c>
      <c r="AH69" s="1" t="s">
        <v>669</v>
      </c>
      <c r="AK69">
        <v>523</v>
      </c>
      <c r="AL69">
        <v>205</v>
      </c>
      <c r="AM69" t="s">
        <v>5799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5690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5803</v>
      </c>
      <c r="AH70">
        <v>1</v>
      </c>
      <c r="AI70">
        <v>407</v>
      </c>
      <c r="AJ70">
        <v>7</v>
      </c>
      <c r="AK70">
        <v>90</v>
      </c>
      <c r="AM70" t="s">
        <v>5689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5692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5804</v>
      </c>
      <c r="AH71">
        <v>2</v>
      </c>
      <c r="AI71">
        <v>407</v>
      </c>
      <c r="AJ71">
        <v>30</v>
      </c>
      <c r="AK71">
        <v>90</v>
      </c>
      <c r="AM71" t="s">
        <v>5690</v>
      </c>
      <c r="BF71">
        <v>5</v>
      </c>
      <c r="BG71">
        <v>18</v>
      </c>
      <c r="BH71">
        <v>19</v>
      </c>
      <c r="BK71" t="s">
        <v>5697</v>
      </c>
      <c r="CT71">
        <v>5</v>
      </c>
    </row>
    <row r="72" spans="1:104" x14ac:dyDescent="0.25">
      <c r="A72" t="s">
        <v>200</v>
      </c>
      <c r="B72" t="s">
        <v>201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5692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5805</v>
      </c>
    </row>
    <row r="73" spans="1:104" x14ac:dyDescent="0.25">
      <c r="A73" t="s">
        <v>203</v>
      </c>
      <c r="B73" t="s">
        <v>204</v>
      </c>
      <c r="AH73">
        <v>5</v>
      </c>
      <c r="AI73">
        <v>18</v>
      </c>
      <c r="AJ73">
        <v>19</v>
      </c>
      <c r="AM73" t="s">
        <v>5697</v>
      </c>
      <c r="BF73">
        <v>13</v>
      </c>
      <c r="BG73">
        <v>18</v>
      </c>
      <c r="BH73">
        <v>40</v>
      </c>
      <c r="BK73" t="s">
        <v>5710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5806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5693</v>
      </c>
      <c r="CD74" t="s">
        <v>441</v>
      </c>
      <c r="CT74">
        <v>5</v>
      </c>
      <c r="CU74">
        <v>24</v>
      </c>
      <c r="CV74">
        <v>134</v>
      </c>
      <c r="CY74" t="s">
        <v>5807</v>
      </c>
    </row>
    <row r="75" spans="1:104" x14ac:dyDescent="0.25">
      <c r="A75" t="s">
        <v>207</v>
      </c>
      <c r="B75" t="s">
        <v>5808</v>
      </c>
      <c r="AH75">
        <v>13</v>
      </c>
      <c r="AI75">
        <v>18</v>
      </c>
      <c r="AJ75">
        <v>41</v>
      </c>
      <c r="AM75" t="s">
        <v>5713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5809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5810</v>
      </c>
      <c r="AH76">
        <v>5</v>
      </c>
      <c r="AI76">
        <v>18</v>
      </c>
      <c r="AJ76">
        <v>69</v>
      </c>
      <c r="AM76" t="s">
        <v>5811</v>
      </c>
      <c r="BF76">
        <v>12</v>
      </c>
      <c r="BG76">
        <v>18</v>
      </c>
      <c r="BH76">
        <v>86</v>
      </c>
      <c r="BK76" t="s">
        <v>5722</v>
      </c>
      <c r="CD76">
        <v>1</v>
      </c>
      <c r="CE76">
        <v>440</v>
      </c>
      <c r="CF76">
        <v>7</v>
      </c>
      <c r="CG76">
        <v>90</v>
      </c>
      <c r="CI76" t="s">
        <v>5689</v>
      </c>
    </row>
    <row r="77" spans="1:104" x14ac:dyDescent="0.25">
      <c r="A77" t="s">
        <v>501</v>
      </c>
      <c r="B77" t="s">
        <v>218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5707</v>
      </c>
      <c r="CD77">
        <v>2</v>
      </c>
      <c r="CE77">
        <v>440</v>
      </c>
      <c r="CF77">
        <v>30</v>
      </c>
      <c r="CG77">
        <v>90</v>
      </c>
      <c r="CI77" t="s">
        <v>5690</v>
      </c>
      <c r="CT77" t="s">
        <v>376</v>
      </c>
    </row>
    <row r="78" spans="1:104" x14ac:dyDescent="0.25">
      <c r="A78" t="s">
        <v>219</v>
      </c>
      <c r="B78" t="s">
        <v>5686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5693</v>
      </c>
      <c r="BF78">
        <v>12</v>
      </c>
      <c r="BH78">
        <v>126</v>
      </c>
      <c r="BK78" t="s">
        <v>5712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5692</v>
      </c>
      <c r="CT78">
        <v>5</v>
      </c>
      <c r="CZ78" t="s">
        <v>376</v>
      </c>
    </row>
    <row r="79" spans="1:104" x14ac:dyDescent="0.25">
      <c r="A79" t="s">
        <v>220</v>
      </c>
      <c r="B79" t="s">
        <v>5781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5698</v>
      </c>
      <c r="CT79">
        <v>5</v>
      </c>
    </row>
    <row r="80" spans="1:104" x14ac:dyDescent="0.25">
      <c r="A80" t="s">
        <v>221</v>
      </c>
      <c r="B80" t="s">
        <v>5749</v>
      </c>
      <c r="AH80">
        <v>5</v>
      </c>
      <c r="AI80">
        <v>18</v>
      </c>
      <c r="AJ80">
        <v>112</v>
      </c>
      <c r="AM80" t="s">
        <v>5722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5809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5812</v>
      </c>
      <c r="BL81" t="b">
        <v>0</v>
      </c>
      <c r="CD81">
        <v>5</v>
      </c>
      <c r="CE81">
        <v>17</v>
      </c>
      <c r="CF81">
        <v>41</v>
      </c>
      <c r="CI81" t="s">
        <v>5705</v>
      </c>
      <c r="CT81">
        <v>5</v>
      </c>
    </row>
    <row r="82" spans="1:104" x14ac:dyDescent="0.25">
      <c r="A82" t="s">
        <v>606</v>
      </c>
      <c r="B82" t="s">
        <v>5813</v>
      </c>
      <c r="AH82">
        <v>205</v>
      </c>
      <c r="AI82">
        <v>18</v>
      </c>
      <c r="AJ82">
        <v>132</v>
      </c>
      <c r="AM82" t="s">
        <v>5707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5814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5762</v>
      </c>
      <c r="CT83">
        <v>5</v>
      </c>
    </row>
    <row r="84" spans="1:104" x14ac:dyDescent="0.25">
      <c r="A84" t="s">
        <v>303</v>
      </c>
      <c r="B84" t="s">
        <v>5815</v>
      </c>
      <c r="AH84">
        <v>205</v>
      </c>
      <c r="AI84">
        <v>18</v>
      </c>
      <c r="AJ84">
        <v>152</v>
      </c>
      <c r="AM84" t="s">
        <v>5712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5816</v>
      </c>
      <c r="AH85">
        <v>13</v>
      </c>
      <c r="AI85">
        <v>18</v>
      </c>
      <c r="AJ85">
        <v>175</v>
      </c>
      <c r="AM85" t="s">
        <v>5733</v>
      </c>
      <c r="AN85" t="b">
        <v>0</v>
      </c>
      <c r="CD85">
        <v>13</v>
      </c>
      <c r="CE85">
        <v>18</v>
      </c>
      <c r="CF85">
        <v>87</v>
      </c>
      <c r="CI85" t="s">
        <v>5706</v>
      </c>
      <c r="CJ85" t="b">
        <v>0</v>
      </c>
      <c r="CT85">
        <v>5</v>
      </c>
    </row>
    <row r="86" spans="1:104" x14ac:dyDescent="0.25">
      <c r="A86" t="s">
        <v>228</v>
      </c>
      <c r="B86" t="s">
        <v>5817</v>
      </c>
      <c r="AH86">
        <v>13</v>
      </c>
      <c r="AI86">
        <v>222</v>
      </c>
      <c r="AJ86">
        <v>175</v>
      </c>
      <c r="AM86" t="s">
        <v>5735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1019</v>
      </c>
      <c r="CT86">
        <v>5</v>
      </c>
    </row>
    <row r="87" spans="1:104" x14ac:dyDescent="0.25">
      <c r="A87" t="s">
        <v>231</v>
      </c>
      <c r="B87" t="s">
        <v>5818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201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5819</v>
      </c>
      <c r="BF88">
        <v>1</v>
      </c>
      <c r="BG88">
        <v>407</v>
      </c>
      <c r="BH88">
        <v>7</v>
      </c>
      <c r="BI88">
        <v>90</v>
      </c>
      <c r="BK88" t="s">
        <v>5689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5693</v>
      </c>
      <c r="CT88">
        <v>5</v>
      </c>
      <c r="CU88">
        <v>26</v>
      </c>
      <c r="CV88">
        <v>108</v>
      </c>
      <c r="CY88" t="s">
        <v>5820</v>
      </c>
    </row>
    <row r="89" spans="1:104" x14ac:dyDescent="0.25">
      <c r="A89" t="s">
        <v>299</v>
      </c>
      <c r="B89" t="s">
        <v>5821</v>
      </c>
      <c r="BF89">
        <v>2</v>
      </c>
      <c r="BG89">
        <v>407</v>
      </c>
      <c r="BH89">
        <v>30</v>
      </c>
      <c r="BI89">
        <v>90</v>
      </c>
      <c r="BK89" t="s">
        <v>5690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5692</v>
      </c>
      <c r="CD90">
        <v>12</v>
      </c>
      <c r="CE90">
        <v>17</v>
      </c>
      <c r="CF90">
        <v>152</v>
      </c>
      <c r="CI90" t="s">
        <v>5722</v>
      </c>
    </row>
    <row r="91" spans="1:104" x14ac:dyDescent="0.25">
      <c r="A91" t="s">
        <v>237</v>
      </c>
      <c r="B91" t="s">
        <v>5822</v>
      </c>
      <c r="BF91">
        <v>5</v>
      </c>
      <c r="BG91">
        <v>18</v>
      </c>
      <c r="BH91">
        <v>19</v>
      </c>
      <c r="BK91" t="s">
        <v>5697</v>
      </c>
      <c r="CD91">
        <v>12</v>
      </c>
      <c r="CF91">
        <v>172</v>
      </c>
      <c r="CI91" t="s">
        <v>5707</v>
      </c>
      <c r="CT91" t="s">
        <v>379</v>
      </c>
    </row>
    <row r="92" spans="1:104" x14ac:dyDescent="0.25">
      <c r="A92" t="s">
        <v>239</v>
      </c>
      <c r="B92" t="s">
        <v>5823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5712</v>
      </c>
      <c r="CT92">
        <v>5</v>
      </c>
      <c r="CZ92" t="s">
        <v>379</v>
      </c>
    </row>
    <row r="93" spans="1:104" x14ac:dyDescent="0.25">
      <c r="A93" t="s">
        <v>485</v>
      </c>
      <c r="B93" t="s">
        <v>5824</v>
      </c>
      <c r="BF93">
        <v>5</v>
      </c>
      <c r="BG93">
        <v>18</v>
      </c>
      <c r="BH93">
        <v>43</v>
      </c>
      <c r="BK93" t="s">
        <v>5825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5826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5827</v>
      </c>
      <c r="BF95">
        <v>13</v>
      </c>
      <c r="BG95">
        <v>18</v>
      </c>
      <c r="BH95">
        <v>66</v>
      </c>
      <c r="BK95" t="s">
        <v>5706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5828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5693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5829</v>
      </c>
      <c r="BF98">
        <v>12</v>
      </c>
      <c r="BG98">
        <v>18</v>
      </c>
      <c r="BH98">
        <v>112</v>
      </c>
      <c r="BK98" t="s">
        <v>5722</v>
      </c>
      <c r="CT98">
        <v>5</v>
      </c>
    </row>
    <row r="99" spans="1:104" x14ac:dyDescent="0.25">
      <c r="A99" t="s">
        <v>252</v>
      </c>
      <c r="B99" t="s">
        <v>5830</v>
      </c>
      <c r="BF99">
        <v>12</v>
      </c>
      <c r="BH99">
        <v>132</v>
      </c>
      <c r="BK99" t="s">
        <v>5707</v>
      </c>
      <c r="CD99" t="s">
        <v>357</v>
      </c>
      <c r="CT99">
        <v>5</v>
      </c>
    </row>
    <row r="100" spans="1:104" x14ac:dyDescent="0.25">
      <c r="A100" t="s">
        <v>511</v>
      </c>
      <c r="B100" t="s">
        <v>5831</v>
      </c>
      <c r="BF100">
        <v>12</v>
      </c>
      <c r="BH100">
        <v>152</v>
      </c>
      <c r="BK100" t="s">
        <v>5712</v>
      </c>
      <c r="CD100" s="1" t="s">
        <v>674</v>
      </c>
      <c r="CG100">
        <v>577</v>
      </c>
      <c r="CH100">
        <v>281</v>
      </c>
      <c r="CI100" t="s">
        <v>5827</v>
      </c>
      <c r="CJ100">
        <v>5</v>
      </c>
      <c r="CT100">
        <v>5</v>
      </c>
      <c r="CU100">
        <v>23</v>
      </c>
      <c r="CV100">
        <v>131</v>
      </c>
      <c r="CY100" t="s">
        <v>5832</v>
      </c>
    </row>
    <row r="101" spans="1:104" x14ac:dyDescent="0.25">
      <c r="A101" t="s">
        <v>513</v>
      </c>
      <c r="B101" t="s">
        <v>5833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5689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5772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5690</v>
      </c>
      <c r="CT102">
        <v>5</v>
      </c>
      <c r="CU102">
        <v>25</v>
      </c>
      <c r="CV102">
        <v>108</v>
      </c>
      <c r="CY102" t="s">
        <v>5820</v>
      </c>
    </row>
    <row r="103" spans="1:104" x14ac:dyDescent="0.25">
      <c r="A103" t="s">
        <v>516</v>
      </c>
      <c r="B103" t="s">
        <v>517</v>
      </c>
      <c r="BF103">
        <v>13</v>
      </c>
      <c r="BG103">
        <v>18</v>
      </c>
      <c r="BH103">
        <v>174</v>
      </c>
      <c r="BK103" t="s">
        <v>5834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5692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5835</v>
      </c>
      <c r="BF104">
        <v>13</v>
      </c>
      <c r="BK104" t="s">
        <v>5836</v>
      </c>
      <c r="BL104" t="b">
        <v>0</v>
      </c>
      <c r="CD104">
        <v>5</v>
      </c>
      <c r="CE104">
        <v>17</v>
      </c>
      <c r="CF104">
        <v>18</v>
      </c>
      <c r="CI104" t="s">
        <v>5698</v>
      </c>
    </row>
    <row r="105" spans="1:104" x14ac:dyDescent="0.25">
      <c r="A105" t="s">
        <v>534</v>
      </c>
      <c r="B105" t="s">
        <v>5837</v>
      </c>
      <c r="BF105">
        <v>13</v>
      </c>
      <c r="BK105" t="s">
        <v>5733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5838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5705</v>
      </c>
      <c r="CT106">
        <v>5</v>
      </c>
      <c r="CZ106" t="s">
        <v>382</v>
      </c>
    </row>
    <row r="107" spans="1:104" x14ac:dyDescent="0.25">
      <c r="A107" t="s">
        <v>538</v>
      </c>
      <c r="B107" t="s">
        <v>5688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5839</v>
      </c>
      <c r="CD108">
        <v>5</v>
      </c>
      <c r="CE108">
        <v>17</v>
      </c>
      <c r="CF108">
        <v>68</v>
      </c>
      <c r="CI108" t="s">
        <v>5762</v>
      </c>
      <c r="CT108">
        <v>5</v>
      </c>
    </row>
    <row r="109" spans="1:104" x14ac:dyDescent="0.25">
      <c r="A109" t="s">
        <v>60</v>
      </c>
      <c r="B109" t="s">
        <v>61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63</v>
      </c>
      <c r="CD110">
        <v>5</v>
      </c>
      <c r="CE110">
        <v>20</v>
      </c>
      <c r="CF110">
        <v>95</v>
      </c>
      <c r="CI110" t="s">
        <v>5840</v>
      </c>
      <c r="CT110">
        <v>5</v>
      </c>
    </row>
    <row r="111" spans="1:104" x14ac:dyDescent="0.25">
      <c r="A111" t="s">
        <v>434</v>
      </c>
      <c r="B111" t="s">
        <v>5841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437</v>
      </c>
      <c r="CD112">
        <v>5</v>
      </c>
      <c r="CE112">
        <v>17</v>
      </c>
      <c r="CF112">
        <v>119</v>
      </c>
      <c r="CI112" t="s">
        <v>5842</v>
      </c>
      <c r="CT112">
        <v>5</v>
      </c>
    </row>
    <row r="113" spans="1:104" x14ac:dyDescent="0.25">
      <c r="A113" t="s">
        <v>539</v>
      </c>
      <c r="B113" t="s">
        <v>5843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5844</v>
      </c>
      <c r="CD114">
        <v>13</v>
      </c>
      <c r="CE114">
        <v>17</v>
      </c>
      <c r="CF114">
        <v>143</v>
      </c>
      <c r="CI114" t="s">
        <v>5706</v>
      </c>
      <c r="CJ114" t="b">
        <v>0</v>
      </c>
      <c r="CT114">
        <v>5</v>
      </c>
    </row>
    <row r="115" spans="1:104" x14ac:dyDescent="0.25">
      <c r="A115" t="s">
        <v>543</v>
      </c>
      <c r="B115" t="s">
        <v>5682</v>
      </c>
      <c r="CD115">
        <v>5</v>
      </c>
      <c r="CE115">
        <v>17</v>
      </c>
      <c r="CF115">
        <v>168</v>
      </c>
      <c r="CI115" t="s">
        <v>2599</v>
      </c>
      <c r="CT115">
        <v>5</v>
      </c>
    </row>
    <row r="116" spans="1:104" x14ac:dyDescent="0.25">
      <c r="A116" t="s">
        <v>544</v>
      </c>
      <c r="B116" t="s">
        <v>5845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5846</v>
      </c>
    </row>
    <row r="117" spans="1:104" x14ac:dyDescent="0.25">
      <c r="A117" t="s">
        <v>547</v>
      </c>
      <c r="B117" t="s">
        <v>5813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5693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5847</v>
      </c>
      <c r="CD118">
        <v>111</v>
      </c>
      <c r="CJ118">
        <v>2</v>
      </c>
    </row>
    <row r="119" spans="1:104" x14ac:dyDescent="0.25">
      <c r="A119" t="s">
        <v>562</v>
      </c>
      <c r="B119" t="s">
        <v>5848</v>
      </c>
      <c r="CD119">
        <v>12</v>
      </c>
      <c r="CE119">
        <v>17</v>
      </c>
      <c r="CF119">
        <v>211</v>
      </c>
      <c r="CI119" t="s">
        <v>5722</v>
      </c>
      <c r="CT119" t="s">
        <v>332</v>
      </c>
    </row>
    <row r="120" spans="1:104" x14ac:dyDescent="0.25">
      <c r="A120" t="s">
        <v>366</v>
      </c>
      <c r="B120" t="s">
        <v>5849</v>
      </c>
      <c r="CD120">
        <v>12</v>
      </c>
      <c r="CF120">
        <v>231</v>
      </c>
      <c r="CI120" t="s">
        <v>5707</v>
      </c>
      <c r="CT120">
        <v>5</v>
      </c>
      <c r="CZ120" t="s">
        <v>332</v>
      </c>
    </row>
    <row r="121" spans="1:104" x14ac:dyDescent="0.25">
      <c r="A121" t="s">
        <v>368</v>
      </c>
      <c r="B121" t="s">
        <v>5850</v>
      </c>
      <c r="CD121">
        <v>12</v>
      </c>
      <c r="CF121">
        <v>251</v>
      </c>
      <c r="CI121" t="s">
        <v>5712</v>
      </c>
      <c r="CT121">
        <v>5</v>
      </c>
    </row>
    <row r="122" spans="1:104" x14ac:dyDescent="0.25">
      <c r="A122" t="s">
        <v>370</v>
      </c>
      <c r="B122" t="s">
        <v>5851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5852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5853</v>
      </c>
      <c r="CT125">
        <v>5</v>
      </c>
    </row>
    <row r="126" spans="1:104" x14ac:dyDescent="0.25">
      <c r="A126" t="s">
        <v>590</v>
      </c>
      <c r="B126" t="s">
        <v>5854</v>
      </c>
      <c r="CT126">
        <v>5</v>
      </c>
    </row>
    <row r="127" spans="1:104" x14ac:dyDescent="0.25">
      <c r="A127" t="s">
        <v>592</v>
      </c>
      <c r="B127" t="s">
        <v>5855</v>
      </c>
      <c r="CT127">
        <v>5</v>
      </c>
    </row>
    <row r="128" spans="1:104" x14ac:dyDescent="0.25">
      <c r="A128" t="s">
        <v>594</v>
      </c>
      <c r="B128" t="s">
        <v>5856</v>
      </c>
      <c r="CT128">
        <v>5</v>
      </c>
    </row>
    <row r="129" spans="1:104" x14ac:dyDescent="0.25">
      <c r="A129" t="s">
        <v>596</v>
      </c>
      <c r="B129" t="s">
        <v>5857</v>
      </c>
      <c r="CT129">
        <v>5</v>
      </c>
    </row>
    <row r="130" spans="1:104" x14ac:dyDescent="0.25">
      <c r="A130" t="s">
        <v>277</v>
      </c>
      <c r="B130" t="s">
        <v>5858</v>
      </c>
      <c r="CT130">
        <v>5</v>
      </c>
      <c r="CU130">
        <v>23</v>
      </c>
      <c r="CV130">
        <v>107</v>
      </c>
      <c r="CY130" t="s">
        <v>5859</v>
      </c>
    </row>
    <row r="131" spans="1:104" x14ac:dyDescent="0.25">
      <c r="A131" t="s">
        <v>279</v>
      </c>
      <c r="B131" t="s">
        <v>5860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5861</v>
      </c>
    </row>
    <row r="133" spans="1:104" x14ac:dyDescent="0.25">
      <c r="A133" t="s">
        <v>283</v>
      </c>
      <c r="B133" t="s">
        <v>5862</v>
      </c>
    </row>
    <row r="134" spans="1:104" x14ac:dyDescent="0.25">
      <c r="A134" t="s">
        <v>285</v>
      </c>
      <c r="B134" t="s">
        <v>5863</v>
      </c>
      <c r="CT134" t="s">
        <v>287</v>
      </c>
    </row>
    <row r="135" spans="1:104" x14ac:dyDescent="0.25">
      <c r="A135" t="s">
        <v>288</v>
      </c>
      <c r="B135" t="s">
        <v>5864</v>
      </c>
      <c r="CT135" t="s">
        <v>507</v>
      </c>
    </row>
    <row r="136" spans="1:104" x14ac:dyDescent="0.25">
      <c r="A136" t="s">
        <v>290</v>
      </c>
      <c r="B136" t="s">
        <v>5865</v>
      </c>
      <c r="CT136" t="str">
        <f>mg01s.RandUniform</f>
        <v>Sabit</v>
      </c>
      <c r="CU136" t="s">
        <v>551</v>
      </c>
    </row>
    <row r="137" spans="1:104" x14ac:dyDescent="0.25">
      <c r="A137" t="s">
        <v>292</v>
      </c>
      <c r="B137" t="s">
        <v>5866</v>
      </c>
      <c r="CT137" t="str">
        <f>mg01s.RandNormal</f>
        <v>Normal</v>
      </c>
      <c r="CU137" t="s">
        <v>554</v>
      </c>
    </row>
    <row r="138" spans="1:104" x14ac:dyDescent="0.25">
      <c r="A138" t="s">
        <v>609</v>
      </c>
      <c r="B138" t="s">
        <v>5867</v>
      </c>
      <c r="CT138" t="str">
        <f>mg01s.RandBernoulli</f>
        <v>Bernoulli</v>
      </c>
      <c r="CU138" t="s">
        <v>376</v>
      </c>
    </row>
    <row r="139" spans="1:104" x14ac:dyDescent="0.25">
      <c r="A139" t="s">
        <v>611</v>
      </c>
      <c r="B139" t="s">
        <v>5868</v>
      </c>
      <c r="CT139" t="str">
        <f>mg01s.RandBinomial</f>
        <v>Binom</v>
      </c>
      <c r="CU139" t="s">
        <v>379</v>
      </c>
    </row>
    <row r="140" spans="1:104" x14ac:dyDescent="0.25">
      <c r="A140" t="s">
        <v>613</v>
      </c>
      <c r="B140" t="s">
        <v>5869</v>
      </c>
      <c r="CT140" t="str">
        <f>mg01s.RandPoisson</f>
        <v>Poisson</v>
      </c>
      <c r="CU140" t="s">
        <v>382</v>
      </c>
    </row>
    <row r="141" spans="1:104" x14ac:dyDescent="0.25">
      <c r="A141" t="s">
        <v>298</v>
      </c>
      <c r="B141" t="s">
        <v>5870</v>
      </c>
      <c r="CT141" t="str">
        <f>mg01s.RandPatterned</f>
        <v>Belirlenmiş</v>
      </c>
      <c r="CU141" t="s">
        <v>599</v>
      </c>
    </row>
    <row r="142" spans="1:104" x14ac:dyDescent="0.25">
      <c r="A142" t="s">
        <v>92</v>
      </c>
      <c r="B142" t="s">
        <v>5687</v>
      </c>
      <c r="CT142" t="str">
        <f>mg01s.RandDiscrete</f>
        <v>Ayrık</v>
      </c>
      <c r="CU142" t="s">
        <v>332</v>
      </c>
    </row>
    <row r="143" spans="1:104" x14ac:dyDescent="0.25">
      <c r="A143" t="s">
        <v>304</v>
      </c>
      <c r="B143" t="s">
        <v>5871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5872</v>
      </c>
    </row>
    <row r="147" spans="1:2" x14ac:dyDescent="0.25">
      <c r="A147" t="s">
        <v>313</v>
      </c>
      <c r="B147" t="s">
        <v>5873</v>
      </c>
    </row>
    <row r="148" spans="1:2" x14ac:dyDescent="0.25">
      <c r="A148" t="s">
        <v>102</v>
      </c>
      <c r="B148" t="s">
        <v>5874</v>
      </c>
    </row>
    <row r="149" spans="1:2" x14ac:dyDescent="0.25">
      <c r="A149" t="s">
        <v>319</v>
      </c>
      <c r="B149" t="s">
        <v>5875</v>
      </c>
    </row>
    <row r="150" spans="1:2" x14ac:dyDescent="0.25">
      <c r="A150" t="s">
        <v>105</v>
      </c>
      <c r="B150" t="s">
        <v>5876</v>
      </c>
    </row>
    <row r="151" spans="1:2" x14ac:dyDescent="0.25">
      <c r="A151" t="s">
        <v>323</v>
      </c>
      <c r="B151" t="s">
        <v>5877</v>
      </c>
    </row>
    <row r="152" spans="1:2" x14ac:dyDescent="0.25">
      <c r="A152" t="s">
        <v>108</v>
      </c>
      <c r="B152" t="s">
        <v>5878</v>
      </c>
    </row>
    <row r="153" spans="1:2" x14ac:dyDescent="0.25">
      <c r="A153" t="s">
        <v>110</v>
      </c>
      <c r="B153" t="s">
        <v>5879</v>
      </c>
    </row>
    <row r="154" spans="1:2" x14ac:dyDescent="0.25">
      <c r="A154" t="s">
        <v>112</v>
      </c>
      <c r="B154" t="s">
        <v>5880</v>
      </c>
    </row>
    <row r="155" spans="1:2" x14ac:dyDescent="0.25">
      <c r="A155" t="s">
        <v>336</v>
      </c>
      <c r="B155" t="s">
        <v>5881</v>
      </c>
    </row>
    <row r="156" spans="1:2" x14ac:dyDescent="0.25">
      <c r="A156" t="s">
        <v>120</v>
      </c>
      <c r="B156" t="s">
        <v>5882</v>
      </c>
    </row>
    <row r="157" spans="1:2" x14ac:dyDescent="0.25">
      <c r="A157" t="s">
        <v>349</v>
      </c>
      <c r="B157" t="s">
        <v>5883</v>
      </c>
    </row>
    <row r="158" spans="1:2" x14ac:dyDescent="0.25">
      <c r="A158" t="s">
        <v>350</v>
      </c>
      <c r="B158" t="s">
        <v>5884</v>
      </c>
    </row>
    <row r="159" spans="1:2" x14ac:dyDescent="0.25">
      <c r="A159" t="s">
        <v>438</v>
      </c>
      <c r="B159" t="s">
        <v>5885</v>
      </c>
    </row>
    <row r="160" spans="1:2" x14ac:dyDescent="0.25">
      <c r="A160" t="s">
        <v>353</v>
      </c>
      <c r="B160" t="s">
        <v>5886</v>
      </c>
    </row>
    <row r="161" spans="1:2" x14ac:dyDescent="0.25">
      <c r="A161" t="s">
        <v>355</v>
      </c>
      <c r="B161" t="s">
        <v>5887</v>
      </c>
    </row>
    <row r="162" spans="1:2" x14ac:dyDescent="0.25">
      <c r="A162" t="s">
        <v>129</v>
      </c>
      <c r="B162" t="s">
        <v>5888</v>
      </c>
    </row>
    <row r="163" spans="1:2" x14ac:dyDescent="0.25">
      <c r="A163" t="s">
        <v>363</v>
      </c>
      <c r="B163" t="s">
        <v>5889</v>
      </c>
    </row>
    <row r="164" spans="1:2" x14ac:dyDescent="0.25">
      <c r="A164" t="s">
        <v>365</v>
      </c>
      <c r="B164" t="s">
        <v>5890</v>
      </c>
    </row>
    <row r="165" spans="1:2" x14ac:dyDescent="0.25">
      <c r="A165" t="s">
        <v>374</v>
      </c>
      <c r="B165" t="s">
        <v>5891</v>
      </c>
    </row>
    <row r="166" spans="1:2" x14ac:dyDescent="0.25">
      <c r="A166" t="s">
        <v>135</v>
      </c>
      <c r="B166" t="s">
        <v>5892</v>
      </c>
    </row>
    <row r="167" spans="1:2" x14ac:dyDescent="0.25">
      <c r="A167" t="s">
        <v>137</v>
      </c>
      <c r="B167" t="s">
        <v>5893</v>
      </c>
    </row>
    <row r="168" spans="1:2" x14ac:dyDescent="0.25">
      <c r="A168" t="s">
        <v>139</v>
      </c>
      <c r="B168" t="s">
        <v>5894</v>
      </c>
    </row>
    <row r="169" spans="1:2" x14ac:dyDescent="0.25">
      <c r="A169" t="s">
        <v>384</v>
      </c>
      <c r="B169" t="s">
        <v>5895</v>
      </c>
    </row>
    <row r="170" spans="1:2" x14ac:dyDescent="0.25">
      <c r="A170" t="s">
        <v>462</v>
      </c>
      <c r="B170" t="s">
        <v>5896</v>
      </c>
    </row>
    <row r="171" spans="1:2" x14ac:dyDescent="0.25">
      <c r="A171" t="s">
        <v>464</v>
      </c>
      <c r="B171" t="s">
        <v>5897</v>
      </c>
    </row>
    <row r="172" spans="1:2" x14ac:dyDescent="0.25">
      <c r="A172" t="s">
        <v>388</v>
      </c>
      <c r="B172" t="s">
        <v>5898</v>
      </c>
    </row>
    <row r="173" spans="1:2" x14ac:dyDescent="0.25">
      <c r="A173" t="s">
        <v>147</v>
      </c>
      <c r="B173" t="s">
        <v>5899</v>
      </c>
    </row>
    <row r="174" spans="1:2" x14ac:dyDescent="0.25">
      <c r="A174" t="s">
        <v>385</v>
      </c>
      <c r="B174" t="s">
        <v>5900</v>
      </c>
    </row>
    <row r="175" spans="1:2" x14ac:dyDescent="0.25">
      <c r="A175" t="s">
        <v>151</v>
      </c>
      <c r="B175" t="s">
        <v>5901</v>
      </c>
    </row>
    <row r="176" spans="1:2" x14ac:dyDescent="0.25">
      <c r="A176" t="s">
        <v>406</v>
      </c>
      <c r="B176" t="s">
        <v>5902</v>
      </c>
    </row>
    <row r="177" spans="1:2" x14ac:dyDescent="0.25">
      <c r="A177" t="s">
        <v>408</v>
      </c>
      <c r="B177" t="s">
        <v>5903</v>
      </c>
    </row>
    <row r="178" spans="1:2" x14ac:dyDescent="0.25">
      <c r="A178" t="s">
        <v>503</v>
      </c>
      <c r="B178" t="s">
        <v>5904</v>
      </c>
    </row>
    <row r="179" spans="1:2" x14ac:dyDescent="0.25">
      <c r="A179" t="s">
        <v>410</v>
      </c>
      <c r="B179" t="s">
        <v>5905</v>
      </c>
    </row>
    <row r="180" spans="1:2" x14ac:dyDescent="0.25">
      <c r="A180" t="s">
        <v>412</v>
      </c>
      <c r="B180" t="s">
        <v>5906</v>
      </c>
    </row>
    <row r="181" spans="1:2" x14ac:dyDescent="0.25">
      <c r="A181" t="s">
        <v>161</v>
      </c>
      <c r="B181" t="s">
        <v>5907</v>
      </c>
    </row>
    <row r="182" spans="1:2" x14ac:dyDescent="0.25">
      <c r="A182" t="s">
        <v>415</v>
      </c>
      <c r="B182" t="s">
        <v>5908</v>
      </c>
    </row>
    <row r="183" spans="1:2" x14ac:dyDescent="0.25">
      <c r="A183" t="s">
        <v>173</v>
      </c>
      <c r="B183" t="s">
        <v>5909</v>
      </c>
    </row>
    <row r="184" spans="1:2" x14ac:dyDescent="0.25">
      <c r="A184" t="s">
        <v>167</v>
      </c>
      <c r="B184" t="s">
        <v>5910</v>
      </c>
    </row>
    <row r="185" spans="1:2" x14ac:dyDescent="0.25">
      <c r="A185" t="s">
        <v>169</v>
      </c>
      <c r="B185" t="s">
        <v>5911</v>
      </c>
    </row>
    <row r="186" spans="1:2" x14ac:dyDescent="0.25">
      <c r="A186" t="s">
        <v>444</v>
      </c>
      <c r="B186" t="s">
        <v>5912</v>
      </c>
    </row>
    <row r="187" spans="1:2" x14ac:dyDescent="0.25">
      <c r="A187" t="s">
        <v>18</v>
      </c>
      <c r="B187" t="s">
        <v>5913</v>
      </c>
    </row>
    <row r="188" spans="1:2" x14ac:dyDescent="0.25">
      <c r="A188" t="s">
        <v>175</v>
      </c>
      <c r="B188" t="s">
        <v>5914</v>
      </c>
    </row>
    <row r="189" spans="1:2" x14ac:dyDescent="0.25">
      <c r="A189" t="s">
        <v>181</v>
      </c>
      <c r="B189" t="s">
        <v>5915</v>
      </c>
    </row>
    <row r="190" spans="1:2" x14ac:dyDescent="0.25">
      <c r="A190" t="s">
        <v>64</v>
      </c>
      <c r="B190" t="s">
        <v>5916</v>
      </c>
    </row>
    <row r="191" spans="1:2" x14ac:dyDescent="0.25">
      <c r="A191" t="s">
        <v>185</v>
      </c>
      <c r="B191" t="s">
        <v>5917</v>
      </c>
    </row>
    <row r="192" spans="1:2" x14ac:dyDescent="0.25">
      <c r="A192" t="s">
        <v>192</v>
      </c>
      <c r="B192" t="s">
        <v>5918</v>
      </c>
    </row>
    <row r="193" spans="1:2" x14ac:dyDescent="0.25">
      <c r="A193" t="s">
        <v>67</v>
      </c>
      <c r="B193" t="s">
        <v>5919</v>
      </c>
    </row>
    <row r="194" spans="1:2" x14ac:dyDescent="0.25">
      <c r="A194" t="s">
        <v>197</v>
      </c>
      <c r="B194" t="s">
        <v>5920</v>
      </c>
    </row>
    <row r="195" spans="1:2" x14ac:dyDescent="0.25">
      <c r="A195" t="s">
        <v>199</v>
      </c>
      <c r="B195" t="s">
        <v>5921</v>
      </c>
    </row>
    <row r="196" spans="1:2" x14ac:dyDescent="0.25">
      <c r="A196" t="s">
        <v>44</v>
      </c>
      <c r="B196" t="s">
        <v>5922</v>
      </c>
    </row>
    <row r="197" spans="1:2" x14ac:dyDescent="0.25">
      <c r="A197" t="s">
        <v>46</v>
      </c>
      <c r="B197" t="s">
        <v>5923</v>
      </c>
    </row>
    <row r="198" spans="1:2" x14ac:dyDescent="0.25">
      <c r="A198" t="s">
        <v>212</v>
      </c>
      <c r="B198" t="s">
        <v>5924</v>
      </c>
    </row>
    <row r="199" spans="1:2" x14ac:dyDescent="0.25">
      <c r="A199" t="s">
        <v>215</v>
      </c>
      <c r="B199" t="s">
        <v>5925</v>
      </c>
    </row>
    <row r="200" spans="1:2" x14ac:dyDescent="0.25">
      <c r="A200" t="s">
        <v>77</v>
      </c>
      <c r="B200" t="s">
        <v>5926</v>
      </c>
    </row>
    <row r="201" spans="1:2" x14ac:dyDescent="0.25">
      <c r="A201" t="s">
        <v>223</v>
      </c>
      <c r="B201" t="s">
        <v>5927</v>
      </c>
    </row>
    <row r="202" spans="1:2" x14ac:dyDescent="0.25">
      <c r="A202" t="s">
        <v>1</v>
      </c>
      <c r="B202" t="s">
        <v>5928</v>
      </c>
    </row>
    <row r="203" spans="1:2" x14ac:dyDescent="0.25">
      <c r="A203" t="s">
        <v>225</v>
      </c>
      <c r="B203" t="s">
        <v>5929</v>
      </c>
    </row>
    <row r="204" spans="1:2" x14ac:dyDescent="0.25">
      <c r="A204" t="s">
        <v>4</v>
      </c>
      <c r="B204" t="s">
        <v>5930</v>
      </c>
    </row>
    <row r="205" spans="1:2" x14ac:dyDescent="0.25">
      <c r="A205" t="s">
        <v>233</v>
      </c>
      <c r="B205" t="s">
        <v>5931</v>
      </c>
    </row>
    <row r="206" spans="1:2" x14ac:dyDescent="0.25">
      <c r="A206" t="s">
        <v>6</v>
      </c>
      <c r="B206" t="s">
        <v>5932</v>
      </c>
    </row>
    <row r="207" spans="1:2" x14ac:dyDescent="0.25">
      <c r="A207" t="s">
        <v>241</v>
      </c>
      <c r="B207" t="s">
        <v>5933</v>
      </c>
    </row>
    <row r="208" spans="1:2" x14ac:dyDescent="0.25">
      <c r="A208" t="s">
        <v>11</v>
      </c>
      <c r="B208" t="s">
        <v>5934</v>
      </c>
    </row>
    <row r="209" spans="1:103" x14ac:dyDescent="0.25">
      <c r="A209" t="s">
        <v>13</v>
      </c>
      <c r="B209" t="s">
        <v>5935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5936</v>
      </c>
    </row>
    <row r="212" spans="1:103" x14ac:dyDescent="0.25">
      <c r="A212" t="s">
        <v>258</v>
      </c>
      <c r="B212" t="s">
        <v>5937</v>
      </c>
    </row>
    <row r="213" spans="1:103" x14ac:dyDescent="0.25">
      <c r="A213" t="s">
        <v>533</v>
      </c>
      <c r="B213" t="s">
        <v>5938</v>
      </c>
      <c r="BS213" t="b">
        <v>1</v>
      </c>
    </row>
    <row r="214" spans="1:103" x14ac:dyDescent="0.25">
      <c r="A214" t="s">
        <v>17</v>
      </c>
      <c r="B214" t="s">
        <v>5939</v>
      </c>
    </row>
    <row r="215" spans="1:103" x14ac:dyDescent="0.25">
      <c r="A215" t="s">
        <v>265</v>
      </c>
      <c r="B215" t="s">
        <v>5940</v>
      </c>
    </row>
    <row r="216" spans="1:103" x14ac:dyDescent="0.25">
      <c r="A216" t="s">
        <v>550</v>
      </c>
      <c r="B216" t="s">
        <v>5941</v>
      </c>
    </row>
    <row r="217" spans="1:103" x14ac:dyDescent="0.25">
      <c r="A217" t="s">
        <v>267</v>
      </c>
      <c r="B217" t="s">
        <v>5942</v>
      </c>
    </row>
    <row r="218" spans="1:103" x14ac:dyDescent="0.25">
      <c r="A218" t="s">
        <v>262</v>
      </c>
      <c r="B218" t="s">
        <v>5943</v>
      </c>
    </row>
    <row r="219" spans="1:103" x14ac:dyDescent="0.25">
      <c r="A219" t="s">
        <v>272</v>
      </c>
      <c r="B219" t="s">
        <v>5944</v>
      </c>
    </row>
    <row r="220" spans="1:103" x14ac:dyDescent="0.25">
      <c r="A220" t="s">
        <v>36</v>
      </c>
      <c r="B220" t="s">
        <v>5945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5946</v>
      </c>
      <c r="AE221" t="b">
        <v>1</v>
      </c>
    </row>
    <row r="222" spans="1:103" x14ac:dyDescent="0.25">
      <c r="A222" t="s">
        <v>269</v>
      </c>
      <c r="B222" t="s">
        <v>5947</v>
      </c>
      <c r="CY222" t="b">
        <v>1</v>
      </c>
    </row>
    <row r="223" spans="1:103" x14ac:dyDescent="0.25">
      <c r="A223" t="s">
        <v>40</v>
      </c>
      <c r="B223" t="s">
        <v>5948</v>
      </c>
    </row>
    <row r="224" spans="1:103" x14ac:dyDescent="0.25">
      <c r="A224" t="s">
        <v>42</v>
      </c>
      <c r="B224" t="s">
        <v>5949</v>
      </c>
      <c r="CI224" t="b">
        <v>1</v>
      </c>
    </row>
    <row r="225" spans="1:2" x14ac:dyDescent="0.25">
      <c r="A225" t="s">
        <v>275</v>
      </c>
      <c r="B225" t="s">
        <v>5950</v>
      </c>
    </row>
    <row r="226" spans="1:2" x14ac:dyDescent="0.25">
      <c r="A226" t="s">
        <v>73</v>
      </c>
      <c r="B226" t="s">
        <v>5951</v>
      </c>
    </row>
    <row r="227" spans="1:2" x14ac:dyDescent="0.25">
      <c r="A227" t="s">
        <v>75</v>
      </c>
      <c r="B227" t="s">
        <v>5952</v>
      </c>
    </row>
    <row r="228" spans="1:2" x14ac:dyDescent="0.25">
      <c r="A228" t="s">
        <v>88</v>
      </c>
      <c r="B228" t="s">
        <v>5953</v>
      </c>
    </row>
    <row r="229" spans="1:2" x14ac:dyDescent="0.25">
      <c r="A229" t="s">
        <v>49</v>
      </c>
      <c r="B229" t="s">
        <v>5954</v>
      </c>
    </row>
    <row r="230" spans="1:2" x14ac:dyDescent="0.25">
      <c r="A230" t="s">
        <v>51</v>
      </c>
      <c r="B230" t="s">
        <v>5955</v>
      </c>
    </row>
    <row r="231" spans="1:2" x14ac:dyDescent="0.25">
      <c r="A231" t="s">
        <v>53</v>
      </c>
      <c r="B231" t="s">
        <v>5956</v>
      </c>
    </row>
    <row r="232" spans="1:2" x14ac:dyDescent="0.25">
      <c r="A232" t="s">
        <v>55</v>
      </c>
      <c r="B232" t="s">
        <v>5957</v>
      </c>
    </row>
    <row r="233" spans="1:2" x14ac:dyDescent="0.25">
      <c r="A233" t="s">
        <v>57</v>
      </c>
      <c r="B233" t="s">
        <v>5958</v>
      </c>
    </row>
    <row r="234" spans="1:2" x14ac:dyDescent="0.25">
      <c r="A234" t="s">
        <v>59</v>
      </c>
      <c r="B234" t="s">
        <v>5959</v>
      </c>
    </row>
    <row r="235" spans="1:2" x14ac:dyDescent="0.25">
      <c r="A235" t="s">
        <v>24</v>
      </c>
      <c r="B235" t="s">
        <v>5960</v>
      </c>
    </row>
    <row r="236" spans="1:2" x14ac:dyDescent="0.25">
      <c r="A236" t="s">
        <v>32</v>
      </c>
      <c r="B236" t="s">
        <v>5961</v>
      </c>
    </row>
    <row r="237" spans="1:2" x14ac:dyDescent="0.25">
      <c r="A237" t="s">
        <v>101</v>
      </c>
      <c r="B237" t="s">
        <v>5962</v>
      </c>
    </row>
    <row r="238" spans="1:2" x14ac:dyDescent="0.25">
      <c r="A238" t="s">
        <v>159</v>
      </c>
      <c r="B238" t="s">
        <v>5963</v>
      </c>
    </row>
    <row r="239" spans="1:2" x14ac:dyDescent="0.25">
      <c r="A239" t="s">
        <v>107</v>
      </c>
      <c r="B239" t="s">
        <v>5964</v>
      </c>
    </row>
    <row r="240" spans="1:2" x14ac:dyDescent="0.25">
      <c r="A240" t="s">
        <v>15</v>
      </c>
      <c r="B240" t="s">
        <v>5965</v>
      </c>
    </row>
    <row r="241" spans="1:2" x14ac:dyDescent="0.25">
      <c r="A241" t="s">
        <v>171</v>
      </c>
      <c r="B241" t="s">
        <v>5966</v>
      </c>
    </row>
    <row r="242" spans="1:2" x14ac:dyDescent="0.25">
      <c r="A242" t="s">
        <v>117</v>
      </c>
      <c r="B242" t="s">
        <v>5967</v>
      </c>
    </row>
    <row r="243" spans="1:2" x14ac:dyDescent="0.25">
      <c r="A243" t="s">
        <v>119</v>
      </c>
      <c r="B243" t="s">
        <v>5968</v>
      </c>
    </row>
    <row r="244" spans="1:2" x14ac:dyDescent="0.25">
      <c r="A244" t="s">
        <v>122</v>
      </c>
      <c r="B244" t="s">
        <v>5969</v>
      </c>
    </row>
    <row r="245" spans="1:2" x14ac:dyDescent="0.25">
      <c r="A245" t="s">
        <v>176</v>
      </c>
      <c r="B245" t="s">
        <v>5970</v>
      </c>
    </row>
    <row r="246" spans="1:2" x14ac:dyDescent="0.25">
      <c r="A246" t="s">
        <v>126</v>
      </c>
      <c r="B246" t="s">
        <v>5971</v>
      </c>
    </row>
    <row r="247" spans="1:2" x14ac:dyDescent="0.25">
      <c r="A247" t="s">
        <v>130</v>
      </c>
      <c r="B247" t="s">
        <v>5972</v>
      </c>
    </row>
    <row r="248" spans="1:2" x14ac:dyDescent="0.25">
      <c r="A248" t="s">
        <v>39</v>
      </c>
      <c r="B248" t="s">
        <v>5973</v>
      </c>
    </row>
    <row r="249" spans="1:2" x14ac:dyDescent="0.25">
      <c r="A249" t="s">
        <v>133</v>
      </c>
      <c r="B249" t="s">
        <v>5974</v>
      </c>
    </row>
    <row r="250" spans="1:2" x14ac:dyDescent="0.25">
      <c r="A250" t="s">
        <v>69</v>
      </c>
      <c r="B250" t="s">
        <v>5975</v>
      </c>
    </row>
    <row r="251" spans="1:2" x14ac:dyDescent="0.25">
      <c r="A251" t="s">
        <v>71</v>
      </c>
      <c r="B251" t="s">
        <v>5976</v>
      </c>
    </row>
    <row r="252" spans="1:2" x14ac:dyDescent="0.25">
      <c r="A252" t="s">
        <v>141</v>
      </c>
      <c r="B252" t="s">
        <v>5977</v>
      </c>
    </row>
    <row r="253" spans="1:2" x14ac:dyDescent="0.25">
      <c r="A253" t="s">
        <v>143</v>
      </c>
      <c r="B253" t="s">
        <v>5978</v>
      </c>
    </row>
    <row r="254" spans="1:2" x14ac:dyDescent="0.25">
      <c r="A254" t="s">
        <v>145</v>
      </c>
      <c r="B254" t="s">
        <v>5979</v>
      </c>
    </row>
    <row r="255" spans="1:2" x14ac:dyDescent="0.25">
      <c r="A255" t="s">
        <v>386</v>
      </c>
      <c r="B255" t="s">
        <v>5980</v>
      </c>
    </row>
    <row r="256" spans="1:2" x14ac:dyDescent="0.25">
      <c r="A256" t="s">
        <v>30</v>
      </c>
      <c r="B256" t="s">
        <v>5981</v>
      </c>
    </row>
    <row r="257" spans="1:2" x14ac:dyDescent="0.25">
      <c r="A257" t="s">
        <v>33</v>
      </c>
      <c r="B257" t="s">
        <v>5982</v>
      </c>
    </row>
    <row r="258" spans="1:2" x14ac:dyDescent="0.25">
      <c r="A258" t="s">
        <v>153</v>
      </c>
      <c r="B258" t="s">
        <v>5983</v>
      </c>
    </row>
    <row r="259" spans="1:2" x14ac:dyDescent="0.25">
      <c r="A259" t="s">
        <v>155</v>
      </c>
      <c r="B259" t="s">
        <v>5984</v>
      </c>
    </row>
    <row r="260" spans="1:2" x14ac:dyDescent="0.25">
      <c r="A260" t="s">
        <v>157</v>
      </c>
      <c r="B260" t="s">
        <v>5985</v>
      </c>
    </row>
    <row r="261" spans="1:2" x14ac:dyDescent="0.25">
      <c r="A261" t="s">
        <v>3</v>
      </c>
      <c r="B261" t="s">
        <v>5986</v>
      </c>
    </row>
    <row r="262" spans="1:2" x14ac:dyDescent="0.25">
      <c r="A262" t="s">
        <v>78</v>
      </c>
      <c r="B262" t="s">
        <v>5987</v>
      </c>
    </row>
    <row r="263" spans="1:2" x14ac:dyDescent="0.25">
      <c r="A263" t="s">
        <v>80</v>
      </c>
      <c r="B263" t="s">
        <v>5988</v>
      </c>
    </row>
    <row r="264" spans="1:2" x14ac:dyDescent="0.25">
      <c r="A264" t="s">
        <v>82</v>
      </c>
      <c r="B264" t="s">
        <v>5989</v>
      </c>
    </row>
    <row r="265" spans="1:2" x14ac:dyDescent="0.25">
      <c r="A265" t="s">
        <v>84</v>
      </c>
      <c r="B265" t="s">
        <v>5990</v>
      </c>
    </row>
    <row r="266" spans="1:2" x14ac:dyDescent="0.25">
      <c r="A266" t="s">
        <v>86</v>
      </c>
      <c r="B266" t="s">
        <v>5991</v>
      </c>
    </row>
    <row r="267" spans="1:2" x14ac:dyDescent="0.25">
      <c r="A267" t="s">
        <v>29</v>
      </c>
      <c r="B267" t="s">
        <v>5992</v>
      </c>
    </row>
    <row r="268" spans="1:2" x14ac:dyDescent="0.25">
      <c r="A268" t="s">
        <v>90</v>
      </c>
      <c r="B268" t="s">
        <v>5993</v>
      </c>
    </row>
    <row r="269" spans="1:2" x14ac:dyDescent="0.25">
      <c r="A269" t="s">
        <v>95</v>
      </c>
      <c r="B269" t="s">
        <v>5994</v>
      </c>
    </row>
    <row r="270" spans="1:2" x14ac:dyDescent="0.25">
      <c r="A270" t="s">
        <v>2</v>
      </c>
      <c r="B270" t="s">
        <v>5995</v>
      </c>
    </row>
    <row r="271" spans="1:2" x14ac:dyDescent="0.25">
      <c r="A271" t="s">
        <v>7</v>
      </c>
      <c r="B271" t="s">
        <v>5996</v>
      </c>
    </row>
    <row r="273" spans="1:2" x14ac:dyDescent="0.25">
      <c r="A273" t="s">
        <v>9</v>
      </c>
      <c r="B273" t="s">
        <v>5997</v>
      </c>
    </row>
    <row r="274" spans="1:2" x14ac:dyDescent="0.25">
      <c r="A274" t="s">
        <v>163</v>
      </c>
      <c r="B274" t="s">
        <v>5998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5738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516</v>
      </c>
      <c r="AD2">
        <v>152</v>
      </c>
      <c r="AE2" t="s">
        <v>5999</v>
      </c>
      <c r="AF2">
        <v>4</v>
      </c>
      <c r="AH2" s="1" t="s">
        <v>656</v>
      </c>
      <c r="AK2">
        <v>515</v>
      </c>
      <c r="AL2">
        <v>223</v>
      </c>
      <c r="AM2" t="s">
        <v>6000</v>
      </c>
      <c r="AN2">
        <v>5</v>
      </c>
      <c r="AP2" s="1" t="s">
        <v>657</v>
      </c>
      <c r="AS2">
        <v>546</v>
      </c>
      <c r="AT2">
        <v>312</v>
      </c>
      <c r="AU2" t="s">
        <v>6001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6002</v>
      </c>
      <c r="BL2">
        <v>5</v>
      </c>
      <c r="BN2" s="1" t="s">
        <v>659</v>
      </c>
      <c r="BQ2">
        <v>523</v>
      </c>
      <c r="BR2">
        <v>293</v>
      </c>
      <c r="BS2" t="s">
        <v>6003</v>
      </c>
      <c r="BT2">
        <v>5</v>
      </c>
      <c r="BV2" s="1" t="s">
        <v>660</v>
      </c>
      <c r="BY2">
        <v>523</v>
      </c>
      <c r="BZ2">
        <v>195</v>
      </c>
      <c r="CA2" t="s">
        <v>3521</v>
      </c>
      <c r="CB2">
        <v>5</v>
      </c>
      <c r="CD2" s="1" t="s">
        <v>661</v>
      </c>
      <c r="CG2">
        <v>523</v>
      </c>
      <c r="CH2">
        <v>203</v>
      </c>
      <c r="CI2" t="s">
        <v>6004</v>
      </c>
      <c r="CJ2">
        <v>5</v>
      </c>
      <c r="CL2" s="1" t="s">
        <v>662</v>
      </c>
      <c r="CO2">
        <v>523</v>
      </c>
      <c r="CP2">
        <v>263</v>
      </c>
      <c r="CQ2" t="s">
        <v>6005</v>
      </c>
      <c r="CR2">
        <v>5</v>
      </c>
      <c r="CT2" s="1" t="s">
        <v>663</v>
      </c>
      <c r="CW2">
        <v>516</v>
      </c>
      <c r="CX2">
        <v>298</v>
      </c>
      <c r="CY2" t="s">
        <v>6006</v>
      </c>
      <c r="CZ2">
        <v>4</v>
      </c>
    </row>
    <row r="3" spans="1:104" x14ac:dyDescent="0.25">
      <c r="W3" t="str">
        <f>dbCorrelationTitle</f>
        <v>相关系数</v>
      </c>
      <c r="Z3">
        <v>1</v>
      </c>
      <c r="AA3">
        <v>414</v>
      </c>
      <c r="AB3">
        <v>6</v>
      </c>
      <c r="AC3">
        <v>88</v>
      </c>
      <c r="AE3" t="s">
        <v>6007</v>
      </c>
      <c r="AH3">
        <v>1</v>
      </c>
      <c r="AI3">
        <v>412</v>
      </c>
      <c r="AJ3">
        <v>7</v>
      </c>
      <c r="AK3">
        <v>90</v>
      </c>
      <c r="AM3" t="s">
        <v>6007</v>
      </c>
      <c r="AP3">
        <v>1</v>
      </c>
      <c r="AQ3">
        <v>443</v>
      </c>
      <c r="AR3">
        <v>8</v>
      </c>
      <c r="AS3">
        <v>90</v>
      </c>
      <c r="AU3" t="s">
        <v>6007</v>
      </c>
      <c r="AX3">
        <v>1</v>
      </c>
      <c r="AY3">
        <v>418</v>
      </c>
      <c r="AZ3">
        <v>8</v>
      </c>
      <c r="BA3">
        <v>104</v>
      </c>
      <c r="BC3" t="s">
        <v>6007</v>
      </c>
      <c r="BF3">
        <v>1</v>
      </c>
      <c r="BG3">
        <v>407</v>
      </c>
      <c r="BH3">
        <v>7</v>
      </c>
      <c r="BI3">
        <v>90</v>
      </c>
      <c r="BK3" t="s">
        <v>6007</v>
      </c>
      <c r="BN3">
        <v>1</v>
      </c>
      <c r="BO3">
        <v>407</v>
      </c>
      <c r="BP3">
        <v>7</v>
      </c>
      <c r="BQ3">
        <v>90</v>
      </c>
      <c r="BS3" t="s">
        <v>6007</v>
      </c>
      <c r="BV3">
        <v>1</v>
      </c>
      <c r="BW3">
        <v>407</v>
      </c>
      <c r="BX3">
        <v>7</v>
      </c>
      <c r="BY3">
        <v>90</v>
      </c>
      <c r="CA3" t="s">
        <v>6007</v>
      </c>
      <c r="CD3">
        <v>1</v>
      </c>
      <c r="CE3">
        <v>407</v>
      </c>
      <c r="CF3">
        <v>7</v>
      </c>
      <c r="CG3">
        <v>90</v>
      </c>
      <c r="CI3" t="s">
        <v>6007</v>
      </c>
      <c r="CL3">
        <v>1</v>
      </c>
      <c r="CM3">
        <v>407</v>
      </c>
      <c r="CN3">
        <v>7</v>
      </c>
      <c r="CO3">
        <v>90</v>
      </c>
      <c r="CQ3" t="s">
        <v>6007</v>
      </c>
      <c r="CT3">
        <v>1</v>
      </c>
      <c r="CU3">
        <v>410</v>
      </c>
      <c r="CV3">
        <v>8</v>
      </c>
      <c r="CW3">
        <v>90</v>
      </c>
      <c r="CY3" t="s">
        <v>6007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414</v>
      </c>
      <c r="AB4">
        <v>30</v>
      </c>
      <c r="AC4">
        <v>88</v>
      </c>
      <c r="AE4" t="s">
        <v>6008</v>
      </c>
      <c r="AH4">
        <v>2</v>
      </c>
      <c r="AI4">
        <v>412</v>
      </c>
      <c r="AJ4">
        <v>30</v>
      </c>
      <c r="AK4">
        <v>90</v>
      </c>
      <c r="AM4" t="s">
        <v>6008</v>
      </c>
      <c r="AP4">
        <v>2</v>
      </c>
      <c r="AQ4">
        <v>443</v>
      </c>
      <c r="AR4">
        <v>31</v>
      </c>
      <c r="AS4">
        <v>90</v>
      </c>
      <c r="AU4" t="s">
        <v>6008</v>
      </c>
      <c r="AX4">
        <v>2</v>
      </c>
      <c r="AY4">
        <v>418</v>
      </c>
      <c r="AZ4">
        <v>33</v>
      </c>
      <c r="BA4">
        <v>104</v>
      </c>
      <c r="BC4" t="s">
        <v>6008</v>
      </c>
      <c r="BF4">
        <v>2</v>
      </c>
      <c r="BG4">
        <v>407</v>
      </c>
      <c r="BH4">
        <v>30</v>
      </c>
      <c r="BI4">
        <v>90</v>
      </c>
      <c r="BK4" t="s">
        <v>6008</v>
      </c>
      <c r="BN4">
        <v>2</v>
      </c>
      <c r="BO4">
        <v>407</v>
      </c>
      <c r="BP4">
        <v>30</v>
      </c>
      <c r="BQ4">
        <v>90</v>
      </c>
      <c r="BS4" t="s">
        <v>6008</v>
      </c>
      <c r="BV4">
        <v>2</v>
      </c>
      <c r="BW4">
        <v>407</v>
      </c>
      <c r="BX4">
        <v>30</v>
      </c>
      <c r="BY4">
        <v>90</v>
      </c>
      <c r="CA4" t="s">
        <v>6008</v>
      </c>
      <c r="CD4">
        <v>2</v>
      </c>
      <c r="CE4">
        <v>407</v>
      </c>
      <c r="CF4">
        <v>30</v>
      </c>
      <c r="CG4">
        <v>90</v>
      </c>
      <c r="CI4" t="s">
        <v>6008</v>
      </c>
      <c r="CL4">
        <v>2</v>
      </c>
      <c r="CM4">
        <v>407</v>
      </c>
      <c r="CN4">
        <v>30</v>
      </c>
      <c r="CO4">
        <v>90</v>
      </c>
      <c r="CQ4" t="s">
        <v>6008</v>
      </c>
      <c r="CT4">
        <v>2</v>
      </c>
      <c r="CU4">
        <v>410</v>
      </c>
      <c r="CV4">
        <v>31</v>
      </c>
      <c r="CW4">
        <v>90</v>
      </c>
      <c r="CY4" t="s">
        <v>6008</v>
      </c>
    </row>
    <row r="5" spans="1:104" x14ac:dyDescent="0.25">
      <c r="T5">
        <v>0</v>
      </c>
      <c r="U5" t="str">
        <f>dbAnova1Title</f>
        <v>方差分析：单因素方差分析</v>
      </c>
      <c r="V5">
        <v>0</v>
      </c>
      <c r="W5" t="str">
        <f>dbAnova1Title</f>
        <v>方差分析：单因素方差分析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6009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6010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6010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6011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6010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6010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6010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6010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6010</v>
      </c>
      <c r="CT5">
        <v>5</v>
      </c>
      <c r="CU5">
        <v>17</v>
      </c>
      <c r="CV5">
        <v>12</v>
      </c>
      <c r="CY5" t="s">
        <v>6012</v>
      </c>
    </row>
    <row r="6" spans="1:104" x14ac:dyDescent="0.25">
      <c r="T6">
        <v>1</v>
      </c>
      <c r="U6" t="str">
        <f>dbAnova2Title</f>
        <v>方差分析：可重复双因素分析</v>
      </c>
      <c r="V6">
        <v>1</v>
      </c>
      <c r="W6" t="str">
        <f>dbAnova2Title</f>
        <v>方差分析：可重复双因素分析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384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6013</v>
      </c>
      <c r="AP6">
        <v>5</v>
      </c>
      <c r="AQ6">
        <v>24</v>
      </c>
      <c r="AR6">
        <v>22</v>
      </c>
      <c r="AU6" t="s">
        <v>6014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6013</v>
      </c>
      <c r="BN6">
        <v>5</v>
      </c>
      <c r="BO6">
        <v>18</v>
      </c>
      <c r="BP6">
        <v>19</v>
      </c>
      <c r="BS6" t="s">
        <v>6013</v>
      </c>
      <c r="BV6">
        <v>5</v>
      </c>
      <c r="BW6">
        <v>18</v>
      </c>
      <c r="BX6">
        <v>19</v>
      </c>
      <c r="CA6" t="s">
        <v>6013</v>
      </c>
      <c r="CD6">
        <v>5</v>
      </c>
      <c r="CE6">
        <v>18</v>
      </c>
      <c r="CF6">
        <v>19</v>
      </c>
      <c r="CI6" t="s">
        <v>6015</v>
      </c>
      <c r="CL6">
        <v>5</v>
      </c>
      <c r="CM6">
        <v>18</v>
      </c>
      <c r="CN6">
        <v>19</v>
      </c>
      <c r="CQ6" t="s">
        <v>6013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方差分析：无重复双因素分析</v>
      </c>
      <c r="V7">
        <v>2</v>
      </c>
      <c r="W7" t="str">
        <f>dbAnova3Title</f>
        <v>方差分析：无重复双因素分析</v>
      </c>
      <c r="X7" t="s">
        <v>315</v>
      </c>
      <c r="Y7" s="1" t="s">
        <v>665</v>
      </c>
      <c r="Z7">
        <v>24</v>
      </c>
      <c r="AA7">
        <v>414</v>
      </c>
      <c r="AB7">
        <v>60</v>
      </c>
      <c r="AC7">
        <v>88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6016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6017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相关系数</v>
      </c>
      <c r="V8">
        <v>3</v>
      </c>
      <c r="W8" t="str">
        <f>dbCorrelationTitle</f>
        <v>相关系数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6018</v>
      </c>
      <c r="AP8">
        <v>5</v>
      </c>
      <c r="AQ8">
        <v>24</v>
      </c>
      <c r="AR8">
        <v>48</v>
      </c>
      <c r="AU8" t="s">
        <v>6019</v>
      </c>
      <c r="AX8">
        <v>12</v>
      </c>
      <c r="AZ8">
        <v>90</v>
      </c>
      <c r="BC8" t="s">
        <v>6020</v>
      </c>
      <c r="BF8">
        <v>5</v>
      </c>
      <c r="BG8">
        <v>18</v>
      </c>
      <c r="BH8">
        <v>44</v>
      </c>
      <c r="BK8" t="s">
        <v>6018</v>
      </c>
      <c r="BN8">
        <v>5</v>
      </c>
      <c r="BO8">
        <v>18</v>
      </c>
      <c r="BP8">
        <v>44</v>
      </c>
      <c r="BS8" t="s">
        <v>6018</v>
      </c>
      <c r="BV8">
        <v>5</v>
      </c>
      <c r="BW8">
        <v>17</v>
      </c>
      <c r="BX8">
        <v>40</v>
      </c>
      <c r="CA8" t="s">
        <v>6021</v>
      </c>
      <c r="CD8">
        <v>5</v>
      </c>
      <c r="CE8">
        <v>18</v>
      </c>
      <c r="CF8">
        <v>41</v>
      </c>
      <c r="CI8" t="s">
        <v>6022</v>
      </c>
      <c r="CL8">
        <v>13</v>
      </c>
      <c r="CM8">
        <v>18</v>
      </c>
      <c r="CN8">
        <v>39</v>
      </c>
      <c r="CQ8" t="s">
        <v>6023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协方差</v>
      </c>
      <c r="V9">
        <v>4</v>
      </c>
      <c r="W9" t="str">
        <f>dbCovarianceTitle</f>
        <v>协方差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6024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6025</v>
      </c>
      <c r="CT9">
        <v>5</v>
      </c>
      <c r="CU9">
        <v>17</v>
      </c>
      <c r="CV9">
        <v>63</v>
      </c>
      <c r="CY9" t="s">
        <v>3543</v>
      </c>
    </row>
    <row r="10" spans="1:104" x14ac:dyDescent="0.25">
      <c r="A10" t="s">
        <v>505</v>
      </c>
      <c r="B10" t="s">
        <v>6026</v>
      </c>
      <c r="T10">
        <v>5</v>
      </c>
      <c r="U10" t="str">
        <f>dbDescripTitle</f>
        <v>描述统计</v>
      </c>
      <c r="V10">
        <v>5</v>
      </c>
      <c r="W10" t="str">
        <f>dbDescripTitle</f>
        <v>描述统计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3545</v>
      </c>
      <c r="AP10">
        <v>13</v>
      </c>
      <c r="AQ10">
        <v>25</v>
      </c>
      <c r="AR10">
        <v>75</v>
      </c>
      <c r="AU10" t="s">
        <v>6023</v>
      </c>
      <c r="AV10" t="b">
        <v>0</v>
      </c>
      <c r="AX10">
        <v>12</v>
      </c>
      <c r="AZ10">
        <v>130</v>
      </c>
      <c r="BC10" t="s">
        <v>6027</v>
      </c>
      <c r="BF10">
        <v>12</v>
      </c>
      <c r="BG10">
        <v>220</v>
      </c>
      <c r="BH10">
        <v>40</v>
      </c>
      <c r="BK10" t="s">
        <v>6028</v>
      </c>
      <c r="BN10">
        <v>12</v>
      </c>
      <c r="BO10">
        <v>220</v>
      </c>
      <c r="BP10">
        <v>40</v>
      </c>
      <c r="BS10" t="s">
        <v>6028</v>
      </c>
      <c r="BV10">
        <v>13</v>
      </c>
      <c r="BW10">
        <v>17</v>
      </c>
      <c r="BX10">
        <v>60</v>
      </c>
      <c r="CA10" t="s">
        <v>6023</v>
      </c>
      <c r="CB10" t="b">
        <v>0</v>
      </c>
      <c r="CD10">
        <v>13</v>
      </c>
      <c r="CE10">
        <v>18</v>
      </c>
      <c r="CF10">
        <v>64</v>
      </c>
      <c r="CI10" t="s">
        <v>6023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6029</v>
      </c>
      <c r="T11">
        <v>6</v>
      </c>
      <c r="U11" t="str">
        <f>dbExponentTitle</f>
        <v>指数平滑</v>
      </c>
      <c r="V11">
        <v>6</v>
      </c>
      <c r="W11" t="str">
        <f>dbExponentTitle</f>
        <v>指数平滑</v>
      </c>
      <c r="X11" t="s">
        <v>452</v>
      </c>
      <c r="Y11" s="1" t="s">
        <v>660</v>
      </c>
      <c r="AH11">
        <v>12</v>
      </c>
      <c r="AM11" t="s">
        <v>3548</v>
      </c>
      <c r="AP11">
        <v>13</v>
      </c>
      <c r="AQ11">
        <v>197</v>
      </c>
      <c r="AR11">
        <v>75</v>
      </c>
      <c r="AU11" t="s">
        <v>6030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6031</v>
      </c>
      <c r="BF11">
        <v>12</v>
      </c>
      <c r="BK11" t="s">
        <v>6032</v>
      </c>
      <c r="BN11">
        <v>12</v>
      </c>
      <c r="BS11" t="s">
        <v>6032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6011</v>
      </c>
      <c r="CD11">
        <v>5</v>
      </c>
      <c r="CE11">
        <v>18</v>
      </c>
      <c r="CF11">
        <v>85</v>
      </c>
      <c r="CI11" t="s">
        <v>3550</v>
      </c>
      <c r="CL11">
        <v>12</v>
      </c>
      <c r="CM11">
        <v>18</v>
      </c>
      <c r="CN11">
        <v>82</v>
      </c>
      <c r="CQ11" t="s">
        <v>6033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6034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F-检验 双样本方差</v>
      </c>
      <c r="V12">
        <v>7</v>
      </c>
      <c r="W12" t="str">
        <f>dbFTestTitle</f>
        <v>F-检验 双样本方差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6029</v>
      </c>
      <c r="AN12" t="b">
        <v>0</v>
      </c>
      <c r="AP12">
        <v>113</v>
      </c>
      <c r="AQ12">
        <v>25</v>
      </c>
      <c r="AR12">
        <v>93</v>
      </c>
      <c r="AU12" t="s">
        <v>6035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6029</v>
      </c>
      <c r="BL12" t="b">
        <v>0</v>
      </c>
      <c r="BN12">
        <v>13</v>
      </c>
      <c r="BO12">
        <v>18</v>
      </c>
      <c r="BP12">
        <v>75</v>
      </c>
      <c r="BS12" t="s">
        <v>6029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6036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傅利叶分析</v>
      </c>
      <c r="V13">
        <v>8</v>
      </c>
      <c r="W13" t="str">
        <f>dbFourierTitle</f>
        <v>傅利叶分析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3550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6011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6011</v>
      </c>
      <c r="BV13">
        <v>5</v>
      </c>
      <c r="BW13">
        <v>17</v>
      </c>
      <c r="BX13">
        <v>99</v>
      </c>
      <c r="CA13" t="s">
        <v>6037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6011</v>
      </c>
      <c r="CL13">
        <v>5</v>
      </c>
      <c r="CM13">
        <v>42</v>
      </c>
      <c r="CN13">
        <v>103</v>
      </c>
      <c r="CQ13" t="s">
        <v>6038</v>
      </c>
      <c r="CT13">
        <v>5</v>
      </c>
    </row>
    <row r="14" spans="1:104" x14ac:dyDescent="0.25">
      <c r="A14" t="s">
        <v>404</v>
      </c>
      <c r="B14" t="s">
        <v>6039</v>
      </c>
      <c r="T14">
        <v>9</v>
      </c>
      <c r="U14" t="str">
        <f>dbHistogramTitle</f>
        <v>直方图</v>
      </c>
      <c r="V14">
        <v>9</v>
      </c>
      <c r="W14" t="str">
        <f>dbHistogramTitle</f>
        <v>直方图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6040</v>
      </c>
      <c r="T15">
        <v>10</v>
      </c>
      <c r="U15" t="str">
        <f>dbMovingTitle</f>
        <v>移动平均</v>
      </c>
      <c r="V15">
        <v>10</v>
      </c>
      <c r="W15" t="str">
        <f>dbMovingTitle</f>
        <v>移动平均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6011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6011</v>
      </c>
      <c r="AX15">
        <v>24</v>
      </c>
      <c r="AY15">
        <v>418</v>
      </c>
      <c r="AZ15">
        <v>66</v>
      </c>
      <c r="BA15">
        <v>104</v>
      </c>
      <c r="BC15" t="s">
        <v>6041</v>
      </c>
      <c r="BF15">
        <v>12</v>
      </c>
      <c r="BG15">
        <v>20</v>
      </c>
      <c r="BH15">
        <v>120</v>
      </c>
      <c r="BK15" t="s">
        <v>6037</v>
      </c>
      <c r="BN15">
        <v>12</v>
      </c>
      <c r="BO15">
        <v>18</v>
      </c>
      <c r="BP15">
        <v>127</v>
      </c>
      <c r="BS15" t="s">
        <v>6037</v>
      </c>
      <c r="BV15">
        <v>205</v>
      </c>
      <c r="BW15">
        <v>17</v>
      </c>
      <c r="BX15">
        <v>119</v>
      </c>
      <c r="CA15" t="s">
        <v>6024</v>
      </c>
      <c r="CD15">
        <v>12</v>
      </c>
      <c r="CE15">
        <v>18</v>
      </c>
      <c r="CF15">
        <v>132</v>
      </c>
      <c r="CI15" t="s">
        <v>6037</v>
      </c>
      <c r="CL15">
        <v>5</v>
      </c>
      <c r="CM15">
        <v>42</v>
      </c>
      <c r="CN15">
        <v>146</v>
      </c>
      <c r="CQ15" t="s">
        <v>6042</v>
      </c>
      <c r="CT15">
        <v>5</v>
      </c>
    </row>
    <row r="16" spans="1:104" x14ac:dyDescent="0.25">
      <c r="A16" t="s">
        <v>526</v>
      </c>
      <c r="B16" t="s">
        <v>6043</v>
      </c>
      <c r="T16">
        <v>11</v>
      </c>
      <c r="U16" t="str">
        <f>dbRandomTitle</f>
        <v>随机数发生器</v>
      </c>
      <c r="V16">
        <v>11</v>
      </c>
      <c r="W16" t="str">
        <f>dbRandomTitle</f>
        <v>随机数发生器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6024</v>
      </c>
      <c r="BN16">
        <v>12</v>
      </c>
      <c r="BP16">
        <v>147</v>
      </c>
      <c r="BS16" t="s">
        <v>6024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6024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6044</v>
      </c>
      <c r="T17">
        <v>12</v>
      </c>
      <c r="U17" t="str">
        <f>dbRankPerTitle</f>
        <v>排位与百分比排位</v>
      </c>
      <c r="V17">
        <v>12</v>
      </c>
      <c r="W17" t="str">
        <f>dbRankPerTitle</f>
        <v>排位与百分比排位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6037</v>
      </c>
      <c r="AP17">
        <v>12</v>
      </c>
      <c r="AQ17">
        <v>24</v>
      </c>
      <c r="AR17">
        <v>142</v>
      </c>
      <c r="AU17" t="s">
        <v>6037</v>
      </c>
      <c r="BF17">
        <v>12</v>
      </c>
      <c r="BH17">
        <v>160</v>
      </c>
      <c r="BK17" t="s">
        <v>6027</v>
      </c>
      <c r="BN17">
        <v>12</v>
      </c>
      <c r="BP17">
        <v>167</v>
      </c>
      <c r="BS17" t="s">
        <v>6027</v>
      </c>
      <c r="BV17">
        <v>205</v>
      </c>
      <c r="BW17">
        <v>17</v>
      </c>
      <c r="BX17">
        <v>139</v>
      </c>
      <c r="CA17" t="s">
        <v>6027</v>
      </c>
      <c r="CD17">
        <v>12</v>
      </c>
      <c r="CF17">
        <v>172</v>
      </c>
      <c r="CI17" t="s">
        <v>6027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6011</v>
      </c>
      <c r="CT17">
        <v>5</v>
      </c>
    </row>
    <row r="18" spans="1:104" x14ac:dyDescent="0.25">
      <c r="A18" t="s">
        <v>531</v>
      </c>
      <c r="B18" t="s">
        <v>6045</v>
      </c>
      <c r="T18">
        <v>13</v>
      </c>
      <c r="U18" t="str">
        <f>dbRegressionTitle</f>
        <v>回归</v>
      </c>
      <c r="V18">
        <v>13</v>
      </c>
      <c r="W18" t="str">
        <f>dbRegressionTitle</f>
        <v>回归</v>
      </c>
      <c r="X18" t="s">
        <v>448</v>
      </c>
      <c r="Y18" s="1" t="s">
        <v>657</v>
      </c>
      <c r="AH18">
        <v>12</v>
      </c>
      <c r="AJ18">
        <v>169</v>
      </c>
      <c r="AM18" t="s">
        <v>6024</v>
      </c>
      <c r="AP18">
        <v>12</v>
      </c>
      <c r="AR18">
        <v>162</v>
      </c>
      <c r="AU18" t="s">
        <v>6024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6046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6047</v>
      </c>
      <c r="T19">
        <v>14</v>
      </c>
      <c r="U19" t="str">
        <f>dbSamplingTitle</f>
        <v>抽样</v>
      </c>
      <c r="V19">
        <v>14</v>
      </c>
      <c r="W19" t="str">
        <f>dbSamplingTitle</f>
        <v>抽样</v>
      </c>
      <c r="X19" t="s">
        <v>585</v>
      </c>
      <c r="Y19" s="1" t="s">
        <v>662</v>
      </c>
      <c r="AH19">
        <v>12</v>
      </c>
      <c r="AJ19">
        <v>189</v>
      </c>
      <c r="AM19" t="s">
        <v>6027</v>
      </c>
      <c r="AP19">
        <v>12</v>
      </c>
      <c r="AR19">
        <v>182</v>
      </c>
      <c r="AU19" t="s">
        <v>6027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6048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6037</v>
      </c>
      <c r="CT19">
        <v>5</v>
      </c>
    </row>
    <row r="20" spans="1:104" x14ac:dyDescent="0.25">
      <c r="A20" t="s">
        <v>343</v>
      </c>
      <c r="B20" t="s">
        <v>5999</v>
      </c>
      <c r="T20">
        <v>15</v>
      </c>
      <c r="U20" t="str">
        <f>dbTTest1Title</f>
        <v>t-检验: 平均值的成对二样本分析</v>
      </c>
      <c r="V20">
        <v>15</v>
      </c>
      <c r="W20" t="str">
        <f>dbTTest1Title</f>
        <v>t-检验: 平均值的成对二样本分析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6049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6024</v>
      </c>
      <c r="CT20">
        <v>5</v>
      </c>
    </row>
    <row r="21" spans="1:104" x14ac:dyDescent="0.25">
      <c r="A21" t="s">
        <v>346</v>
      </c>
      <c r="B21" t="s">
        <v>6050</v>
      </c>
      <c r="T21">
        <v>16</v>
      </c>
      <c r="U21" t="str">
        <f>dbTTest2Title</f>
        <v>t-检验: 双样本等方差假设</v>
      </c>
      <c r="V21">
        <v>16</v>
      </c>
      <c r="W21" t="str">
        <f>dbTTest2Title</f>
        <v>t-检验: 双样本等方差假设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6051</v>
      </c>
      <c r="BT21" t="b">
        <v>0</v>
      </c>
      <c r="CL21">
        <v>12</v>
      </c>
      <c r="CN21">
        <v>230</v>
      </c>
      <c r="CQ21" t="s">
        <v>6027</v>
      </c>
      <c r="CT21">
        <v>5</v>
      </c>
    </row>
    <row r="22" spans="1:104" x14ac:dyDescent="0.25">
      <c r="A22" t="s">
        <v>440</v>
      </c>
      <c r="B22" t="s">
        <v>6000</v>
      </c>
      <c r="T22">
        <v>17</v>
      </c>
      <c r="U22" t="str">
        <f>dbTTest3Title</f>
        <v>t-检验: 双样本异方差假设</v>
      </c>
      <c r="V22">
        <v>17</v>
      </c>
      <c r="W22" t="str">
        <f>dbTTest3Title</f>
        <v>t-检验: 双样本异方差假设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3568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6052</v>
      </c>
    </row>
    <row r="23" spans="1:104" x14ac:dyDescent="0.25">
      <c r="A23" t="s">
        <v>443</v>
      </c>
      <c r="B23" t="s">
        <v>6053</v>
      </c>
      <c r="T23">
        <v>18</v>
      </c>
      <c r="U23" t="str">
        <f>dbZTestTitle</f>
        <v>z-检验: 双样本平均差检验</v>
      </c>
      <c r="V23">
        <v>18</v>
      </c>
      <c r="W23" t="str">
        <f>dbZTestTitle</f>
        <v>z-检验: 双样本平均差检验</v>
      </c>
      <c r="X23" t="s">
        <v>357</v>
      </c>
      <c r="Y23" s="1" t="s">
        <v>674</v>
      </c>
      <c r="AP23">
        <v>13</v>
      </c>
      <c r="AR23">
        <v>216</v>
      </c>
      <c r="AU23" t="s">
        <v>3571</v>
      </c>
      <c r="AV23" t="b">
        <v>0</v>
      </c>
      <c r="BF23" s="1" t="s">
        <v>666</v>
      </c>
      <c r="BI23">
        <v>523</v>
      </c>
      <c r="BJ23">
        <v>191</v>
      </c>
      <c r="BK23" t="s">
        <v>6054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6055</v>
      </c>
      <c r="X24" t="s">
        <v>551</v>
      </c>
      <c r="AP24">
        <v>13</v>
      </c>
      <c r="AR24">
        <v>231</v>
      </c>
      <c r="AU24" t="s">
        <v>6056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6007</v>
      </c>
      <c r="BN24">
        <v>113</v>
      </c>
      <c r="BO24">
        <v>18</v>
      </c>
      <c r="BP24">
        <v>228</v>
      </c>
      <c r="BS24" t="s">
        <v>6057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6058</v>
      </c>
    </row>
    <row r="25" spans="1:104" x14ac:dyDescent="0.25">
      <c r="A25" t="s">
        <v>552</v>
      </c>
      <c r="B25" t="s">
        <v>553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6059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6008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6060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6061</v>
      </c>
      <c r="X26" t="s">
        <v>376</v>
      </c>
      <c r="AH26" s="1" t="s">
        <v>664</v>
      </c>
      <c r="AK26">
        <v>509</v>
      </c>
      <c r="AL26">
        <v>187</v>
      </c>
      <c r="AM26" t="s">
        <v>6053</v>
      </c>
      <c r="AN26">
        <v>5</v>
      </c>
      <c r="AP26">
        <v>13</v>
      </c>
      <c r="AR26">
        <v>231</v>
      </c>
      <c r="AU26" t="s">
        <v>6062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6010</v>
      </c>
      <c r="BN26">
        <v>113</v>
      </c>
      <c r="BO26">
        <v>18</v>
      </c>
      <c r="BP26">
        <v>247</v>
      </c>
      <c r="BS26" t="s">
        <v>6063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6007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6011</v>
      </c>
    </row>
    <row r="27" spans="1:104" x14ac:dyDescent="0.25">
      <c r="A27" t="s">
        <v>377</v>
      </c>
      <c r="B27" t="s">
        <v>6064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6007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6065</v>
      </c>
      <c r="BF27">
        <v>5</v>
      </c>
      <c r="BG27">
        <v>18</v>
      </c>
      <c r="BH27">
        <v>19</v>
      </c>
      <c r="BK27" t="s">
        <v>6013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6008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6066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6008</v>
      </c>
      <c r="AP28">
        <v>13</v>
      </c>
      <c r="AR28">
        <v>270</v>
      </c>
      <c r="AU28" t="s">
        <v>6067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6010</v>
      </c>
      <c r="CT28">
        <v>12</v>
      </c>
      <c r="CU28">
        <v>17</v>
      </c>
      <c r="CV28">
        <v>225</v>
      </c>
      <c r="CY28" t="s">
        <v>6037</v>
      </c>
    </row>
    <row r="29" spans="1:104" x14ac:dyDescent="0.25">
      <c r="A29" t="s">
        <v>383</v>
      </c>
      <c r="B29" t="s">
        <v>3586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6010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6018</v>
      </c>
      <c r="CD29">
        <v>5</v>
      </c>
      <c r="CE29">
        <v>17</v>
      </c>
      <c r="CF29">
        <v>18</v>
      </c>
      <c r="CI29" t="s">
        <v>6015</v>
      </c>
      <c r="CT29">
        <v>12</v>
      </c>
      <c r="CV29">
        <v>245</v>
      </c>
      <c r="CY29" t="s">
        <v>6024</v>
      </c>
    </row>
    <row r="30" spans="1:104" x14ac:dyDescent="0.25">
      <c r="A30" t="s">
        <v>600</v>
      </c>
      <c r="B30" t="s">
        <v>6068</v>
      </c>
      <c r="X30" t="s">
        <v>332</v>
      </c>
      <c r="AH30">
        <v>5</v>
      </c>
      <c r="AI30">
        <v>20</v>
      </c>
      <c r="AJ30">
        <v>19</v>
      </c>
      <c r="AM30" t="s">
        <v>6013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6027</v>
      </c>
    </row>
    <row r="31" spans="1:104" x14ac:dyDescent="0.25">
      <c r="A31" t="s">
        <v>602</v>
      </c>
      <c r="B31" t="s">
        <v>6050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6028</v>
      </c>
      <c r="CD31">
        <v>5</v>
      </c>
      <c r="CE31">
        <v>17</v>
      </c>
      <c r="CF31">
        <v>41</v>
      </c>
      <c r="CI31" t="s">
        <v>6022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6069</v>
      </c>
      <c r="AH32">
        <v>5</v>
      </c>
      <c r="AI32">
        <v>20</v>
      </c>
      <c r="AJ32">
        <v>45</v>
      </c>
      <c r="AM32" t="s">
        <v>6070</v>
      </c>
      <c r="BF32">
        <v>12</v>
      </c>
      <c r="BK32" t="s">
        <v>6032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6029</v>
      </c>
      <c r="BL33" t="b">
        <v>0</v>
      </c>
      <c r="CD33">
        <v>5</v>
      </c>
      <c r="CE33">
        <v>17</v>
      </c>
      <c r="CF33">
        <v>70</v>
      </c>
      <c r="CI33" t="s">
        <v>6071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468</v>
      </c>
      <c r="AH34">
        <v>5</v>
      </c>
      <c r="AI34">
        <v>20</v>
      </c>
      <c r="AJ34">
        <v>68</v>
      </c>
      <c r="AM34" t="s">
        <v>3550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6011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6023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6011</v>
      </c>
      <c r="BF36">
        <v>12</v>
      </c>
      <c r="BG36">
        <v>18</v>
      </c>
      <c r="BH36">
        <v>120</v>
      </c>
      <c r="BK36" t="s">
        <v>6037</v>
      </c>
      <c r="CD36">
        <v>5</v>
      </c>
      <c r="CE36">
        <v>17</v>
      </c>
      <c r="CF36">
        <v>114</v>
      </c>
      <c r="CI36" t="s">
        <v>3550</v>
      </c>
      <c r="CT36">
        <v>5</v>
      </c>
      <c r="CZ36" t="s">
        <v>551</v>
      </c>
    </row>
    <row r="37" spans="1:104" x14ac:dyDescent="0.25">
      <c r="A37" t="s">
        <v>473</v>
      </c>
      <c r="B37" t="s">
        <v>474</v>
      </c>
      <c r="AH37">
        <v>111</v>
      </c>
      <c r="AN37">
        <v>2</v>
      </c>
      <c r="BF37">
        <v>12</v>
      </c>
      <c r="BH37">
        <v>140</v>
      </c>
      <c r="BK37" t="s">
        <v>6024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487</v>
      </c>
      <c r="AH38">
        <v>12</v>
      </c>
      <c r="AI38">
        <v>20</v>
      </c>
      <c r="AJ38">
        <v>115</v>
      </c>
      <c r="AM38" t="s">
        <v>6037</v>
      </c>
      <c r="BF38">
        <v>12</v>
      </c>
      <c r="BH38">
        <v>160</v>
      </c>
      <c r="BK38" t="s">
        <v>6027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6011</v>
      </c>
      <c r="CT38">
        <v>5</v>
      </c>
    </row>
    <row r="39" spans="1:104" x14ac:dyDescent="0.25">
      <c r="A39" t="s">
        <v>488</v>
      </c>
      <c r="B39" t="s">
        <v>6072</v>
      </c>
      <c r="AH39">
        <v>12</v>
      </c>
      <c r="AJ39">
        <v>135</v>
      </c>
      <c r="AM39" t="s">
        <v>6024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6073</v>
      </c>
      <c r="AH40">
        <v>12</v>
      </c>
      <c r="AJ40">
        <v>155</v>
      </c>
      <c r="AM40" t="s">
        <v>6027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6037</v>
      </c>
      <c r="CT40">
        <v>5</v>
      </c>
    </row>
    <row r="41" spans="1:104" x14ac:dyDescent="0.25">
      <c r="A41" t="s">
        <v>492</v>
      </c>
      <c r="B41" t="s">
        <v>6074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6024</v>
      </c>
      <c r="CT41">
        <v>5</v>
      </c>
    </row>
    <row r="42" spans="1:104" x14ac:dyDescent="0.25">
      <c r="A42" t="s">
        <v>494</v>
      </c>
      <c r="B42" t="s">
        <v>6075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6027</v>
      </c>
      <c r="CT42">
        <v>5</v>
      </c>
    </row>
    <row r="43" spans="1:104" x14ac:dyDescent="0.25">
      <c r="A43" t="s">
        <v>496</v>
      </c>
      <c r="B43" t="s">
        <v>3600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6076</v>
      </c>
      <c r="BF44" s="1" t="s">
        <v>670</v>
      </c>
      <c r="BI44">
        <v>523</v>
      </c>
      <c r="BJ44">
        <v>191</v>
      </c>
      <c r="BK44" t="s">
        <v>6077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6078</v>
      </c>
    </row>
    <row r="45" spans="1:104" x14ac:dyDescent="0.25">
      <c r="A45" t="s">
        <v>422</v>
      </c>
      <c r="B45" t="s">
        <v>6079</v>
      </c>
      <c r="BF45">
        <v>1</v>
      </c>
      <c r="BG45">
        <v>407</v>
      </c>
      <c r="BH45">
        <v>7</v>
      </c>
      <c r="BI45">
        <v>90</v>
      </c>
      <c r="BK45" t="s">
        <v>6007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3605</v>
      </c>
      <c r="BF46">
        <v>2</v>
      </c>
      <c r="BG46">
        <v>407</v>
      </c>
      <c r="BH46">
        <v>30</v>
      </c>
      <c r="BI46">
        <v>90</v>
      </c>
      <c r="BK46" t="s">
        <v>6008</v>
      </c>
      <c r="CT46">
        <v>5</v>
      </c>
      <c r="CU46">
        <v>184</v>
      </c>
      <c r="CV46">
        <v>114</v>
      </c>
      <c r="CY46" t="s">
        <v>6080</v>
      </c>
    </row>
    <row r="47" spans="1:104" x14ac:dyDescent="0.25">
      <c r="A47" t="s">
        <v>427</v>
      </c>
      <c r="B47" t="s">
        <v>3600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6010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6081</v>
      </c>
      <c r="AH48" s="1" t="s">
        <v>665</v>
      </c>
      <c r="AK48">
        <v>523</v>
      </c>
      <c r="AL48">
        <v>185</v>
      </c>
      <c r="AM48" t="s">
        <v>6055</v>
      </c>
      <c r="AN48">
        <v>5</v>
      </c>
      <c r="BF48">
        <v>5</v>
      </c>
      <c r="BG48">
        <v>18</v>
      </c>
      <c r="BH48">
        <v>19</v>
      </c>
      <c r="BK48" t="s">
        <v>6013</v>
      </c>
    </row>
    <row r="49" spans="1:104" x14ac:dyDescent="0.25">
      <c r="A49" t="s">
        <v>431</v>
      </c>
      <c r="B49" t="s">
        <v>6003</v>
      </c>
      <c r="AH49">
        <v>1</v>
      </c>
      <c r="AI49">
        <v>407</v>
      </c>
      <c r="AJ49">
        <v>7</v>
      </c>
      <c r="AK49">
        <v>90</v>
      </c>
      <c r="AM49" t="s">
        <v>6007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3586</v>
      </c>
      <c r="AH50">
        <v>2</v>
      </c>
      <c r="AI50">
        <v>407</v>
      </c>
      <c r="AJ50">
        <v>30</v>
      </c>
      <c r="AK50">
        <v>90</v>
      </c>
      <c r="AM50" t="s">
        <v>6008</v>
      </c>
      <c r="BF50">
        <v>5</v>
      </c>
      <c r="BG50">
        <v>18</v>
      </c>
      <c r="BH50">
        <v>44</v>
      </c>
      <c r="BK50" t="s">
        <v>6018</v>
      </c>
      <c r="CD50" s="1" t="s">
        <v>672</v>
      </c>
      <c r="CG50">
        <v>550</v>
      </c>
      <c r="CH50">
        <v>227</v>
      </c>
      <c r="CI50" t="s">
        <v>6082</v>
      </c>
      <c r="CJ50">
        <v>5</v>
      </c>
      <c r="CT50">
        <v>5</v>
      </c>
      <c r="CU50">
        <v>17</v>
      </c>
      <c r="CV50">
        <v>101</v>
      </c>
      <c r="CY50" t="s">
        <v>6083</v>
      </c>
      <c r="CZ50" t="s">
        <v>599</v>
      </c>
    </row>
    <row r="51" spans="1:104" x14ac:dyDescent="0.25">
      <c r="A51" t="s">
        <v>439</v>
      </c>
      <c r="B51" t="s">
        <v>6048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6010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6007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6084</v>
      </c>
      <c r="AH52">
        <v>5</v>
      </c>
      <c r="AI52">
        <v>18</v>
      </c>
      <c r="AJ52">
        <v>19</v>
      </c>
      <c r="AM52" t="s">
        <v>6013</v>
      </c>
      <c r="BF52">
        <v>12</v>
      </c>
      <c r="BG52">
        <v>220</v>
      </c>
      <c r="BH52">
        <v>40</v>
      </c>
      <c r="BK52" t="s">
        <v>3545</v>
      </c>
      <c r="CD52">
        <v>2</v>
      </c>
      <c r="CE52">
        <v>440</v>
      </c>
      <c r="CF52">
        <v>30</v>
      </c>
      <c r="CG52">
        <v>90</v>
      </c>
      <c r="CI52" t="s">
        <v>6008</v>
      </c>
      <c r="CT52">
        <v>5</v>
      </c>
      <c r="CU52">
        <v>132</v>
      </c>
      <c r="CV52">
        <v>101</v>
      </c>
      <c r="CY52" t="s">
        <v>6085</v>
      </c>
    </row>
    <row r="53" spans="1:104" x14ac:dyDescent="0.25">
      <c r="A53" t="s">
        <v>338</v>
      </c>
      <c r="B53" t="s">
        <v>6086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3548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6010</v>
      </c>
      <c r="CT53">
        <v>8</v>
      </c>
      <c r="CU53">
        <v>175</v>
      </c>
      <c r="CV53">
        <v>99</v>
      </c>
      <c r="CW53">
        <v>60</v>
      </c>
    </row>
    <row r="54" spans="1:104" x14ac:dyDescent="0.25">
      <c r="A54" t="s">
        <v>340</v>
      </c>
      <c r="B54" t="s">
        <v>6087</v>
      </c>
      <c r="AH54">
        <v>13</v>
      </c>
      <c r="AI54">
        <v>19</v>
      </c>
      <c r="AJ54">
        <v>41</v>
      </c>
      <c r="AM54" t="s">
        <v>6023</v>
      </c>
      <c r="AN54" t="b">
        <v>0</v>
      </c>
      <c r="BF54">
        <v>13</v>
      </c>
      <c r="BG54">
        <v>18</v>
      </c>
      <c r="BH54">
        <v>75</v>
      </c>
      <c r="BK54" t="s">
        <v>6029</v>
      </c>
      <c r="BL54" t="b">
        <v>0</v>
      </c>
      <c r="CD54">
        <v>5</v>
      </c>
      <c r="CE54">
        <v>17</v>
      </c>
      <c r="CF54">
        <v>18</v>
      </c>
      <c r="CI54" t="s">
        <v>6015</v>
      </c>
      <c r="CT54">
        <v>5</v>
      </c>
      <c r="CU54">
        <v>248</v>
      </c>
      <c r="CV54">
        <v>101</v>
      </c>
      <c r="CY54" t="s">
        <v>6088</v>
      </c>
    </row>
    <row r="55" spans="1:104" x14ac:dyDescent="0.25">
      <c r="A55" t="s">
        <v>177</v>
      </c>
      <c r="B55" t="s">
        <v>6068</v>
      </c>
      <c r="AH55">
        <v>5</v>
      </c>
      <c r="AI55">
        <v>20</v>
      </c>
      <c r="AJ55">
        <v>62</v>
      </c>
      <c r="AM55" t="s">
        <v>3550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6011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6089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6022</v>
      </c>
      <c r="CT56">
        <v>5</v>
      </c>
      <c r="CU56">
        <v>17</v>
      </c>
      <c r="CV56">
        <v>131</v>
      </c>
      <c r="CY56" t="s">
        <v>6090</v>
      </c>
    </row>
    <row r="57" spans="1:104" x14ac:dyDescent="0.25">
      <c r="A57" t="s">
        <v>557</v>
      </c>
      <c r="B57" t="s">
        <v>6091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6011</v>
      </c>
      <c r="BF57">
        <v>12</v>
      </c>
      <c r="BG57">
        <v>18</v>
      </c>
      <c r="BH57">
        <v>120</v>
      </c>
      <c r="BK57" t="s">
        <v>6037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6092</v>
      </c>
      <c r="AH58">
        <v>111</v>
      </c>
      <c r="AN58">
        <v>2</v>
      </c>
      <c r="BF58">
        <v>12</v>
      </c>
      <c r="BH58">
        <v>140</v>
      </c>
      <c r="BK58" t="s">
        <v>6024</v>
      </c>
      <c r="CD58">
        <v>5</v>
      </c>
      <c r="CE58">
        <v>17</v>
      </c>
      <c r="CF58">
        <v>70</v>
      </c>
      <c r="CI58" t="s">
        <v>6071</v>
      </c>
      <c r="CT58">
        <v>5</v>
      </c>
      <c r="CU58">
        <v>288</v>
      </c>
      <c r="CV58">
        <v>131</v>
      </c>
      <c r="CY58" t="s">
        <v>6093</v>
      </c>
    </row>
    <row r="59" spans="1:104" x14ac:dyDescent="0.25">
      <c r="A59" t="s">
        <v>188</v>
      </c>
      <c r="B59" t="s">
        <v>6094</v>
      </c>
      <c r="AH59">
        <v>12</v>
      </c>
      <c r="AI59">
        <v>20</v>
      </c>
      <c r="AJ59">
        <v>107</v>
      </c>
      <c r="AM59" t="s">
        <v>6037</v>
      </c>
      <c r="BF59">
        <v>12</v>
      </c>
      <c r="BH59">
        <v>160</v>
      </c>
      <c r="BK59" t="s">
        <v>6027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6095</v>
      </c>
    </row>
    <row r="60" spans="1:104" x14ac:dyDescent="0.25">
      <c r="A60" t="s">
        <v>564</v>
      </c>
      <c r="B60" t="s">
        <v>6096</v>
      </c>
      <c r="AH60">
        <v>12</v>
      </c>
      <c r="AJ60">
        <v>127</v>
      </c>
      <c r="AM60" t="s">
        <v>6024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6023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3621</v>
      </c>
      <c r="AH61">
        <v>12</v>
      </c>
      <c r="AJ61">
        <v>147</v>
      </c>
      <c r="AM61" t="s">
        <v>6027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3550</v>
      </c>
      <c r="CT61">
        <v>5</v>
      </c>
      <c r="CU61">
        <v>288</v>
      </c>
      <c r="CV61">
        <v>153</v>
      </c>
      <c r="CY61" t="s">
        <v>6093</v>
      </c>
    </row>
    <row r="62" spans="1:104" x14ac:dyDescent="0.25">
      <c r="A62" t="s">
        <v>568</v>
      </c>
      <c r="B62" t="s">
        <v>3619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6097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6011</v>
      </c>
      <c r="CT63" t="s">
        <v>554</v>
      </c>
    </row>
    <row r="64" spans="1:104" x14ac:dyDescent="0.25">
      <c r="A64" t="s">
        <v>572</v>
      </c>
      <c r="B64" t="s">
        <v>6002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6054</v>
      </c>
      <c r="CD65">
        <v>12</v>
      </c>
      <c r="CE65">
        <v>17</v>
      </c>
      <c r="CF65">
        <v>156</v>
      </c>
      <c r="CI65" t="s">
        <v>6037</v>
      </c>
      <c r="CT65">
        <v>5</v>
      </c>
    </row>
    <row r="66" spans="1:104" x14ac:dyDescent="0.25">
      <c r="A66" t="s">
        <v>194</v>
      </c>
      <c r="B66" t="s">
        <v>3521</v>
      </c>
      <c r="BF66" t="s">
        <v>334</v>
      </c>
      <c r="CD66">
        <v>12</v>
      </c>
      <c r="CF66">
        <v>176</v>
      </c>
      <c r="CI66" t="s">
        <v>6024</v>
      </c>
      <c r="CT66">
        <v>5</v>
      </c>
    </row>
    <row r="67" spans="1:104" x14ac:dyDescent="0.25">
      <c r="A67" t="s">
        <v>195</v>
      </c>
      <c r="B67" t="s">
        <v>6098</v>
      </c>
      <c r="BF67" s="1" t="s">
        <v>667</v>
      </c>
      <c r="BI67">
        <v>523</v>
      </c>
      <c r="BJ67">
        <v>181</v>
      </c>
      <c r="BK67" t="s">
        <v>6099</v>
      </c>
      <c r="BL67">
        <v>5</v>
      </c>
      <c r="CD67">
        <v>12</v>
      </c>
      <c r="CF67">
        <v>196</v>
      </c>
      <c r="CI67" t="s">
        <v>6027</v>
      </c>
      <c r="CT67">
        <v>5</v>
      </c>
    </row>
    <row r="68" spans="1:104" x14ac:dyDescent="0.25">
      <c r="A68" t="s">
        <v>576</v>
      </c>
      <c r="B68" t="s">
        <v>6100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6007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6101</v>
      </c>
      <c r="AH69" s="1" t="s">
        <v>669</v>
      </c>
      <c r="AK69">
        <v>523</v>
      </c>
      <c r="AL69">
        <v>205</v>
      </c>
      <c r="AM69" t="s">
        <v>6098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6008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6102</v>
      </c>
      <c r="AH70">
        <v>1</v>
      </c>
      <c r="AI70">
        <v>407</v>
      </c>
      <c r="AJ70">
        <v>7</v>
      </c>
      <c r="AK70">
        <v>90</v>
      </c>
      <c r="AM70" t="s">
        <v>6007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6010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6103</v>
      </c>
      <c r="AH71">
        <v>2</v>
      </c>
      <c r="AI71">
        <v>407</v>
      </c>
      <c r="AJ71">
        <v>30</v>
      </c>
      <c r="AK71">
        <v>90</v>
      </c>
      <c r="AM71" t="s">
        <v>6008</v>
      </c>
      <c r="BF71">
        <v>5</v>
      </c>
      <c r="BG71">
        <v>18</v>
      </c>
      <c r="BH71">
        <v>19</v>
      </c>
      <c r="BK71" t="s">
        <v>6013</v>
      </c>
      <c r="CT71">
        <v>5</v>
      </c>
    </row>
    <row r="72" spans="1:104" x14ac:dyDescent="0.25">
      <c r="A72" t="s">
        <v>200</v>
      </c>
      <c r="B72" t="s">
        <v>6104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6010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6105</v>
      </c>
    </row>
    <row r="73" spans="1:104" x14ac:dyDescent="0.25">
      <c r="A73" t="s">
        <v>203</v>
      </c>
      <c r="B73" t="s">
        <v>6106</v>
      </c>
      <c r="AH73">
        <v>5</v>
      </c>
      <c r="AI73">
        <v>18</v>
      </c>
      <c r="AJ73">
        <v>19</v>
      </c>
      <c r="AM73" t="s">
        <v>6013</v>
      </c>
      <c r="BF73">
        <v>13</v>
      </c>
      <c r="BG73">
        <v>18</v>
      </c>
      <c r="BH73">
        <v>40</v>
      </c>
      <c r="BK73" t="s">
        <v>6029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6107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6011</v>
      </c>
      <c r="CD74" t="s">
        <v>441</v>
      </c>
      <c r="CT74">
        <v>5</v>
      </c>
      <c r="CU74">
        <v>24</v>
      </c>
      <c r="CV74">
        <v>134</v>
      </c>
      <c r="CY74" t="s">
        <v>6108</v>
      </c>
    </row>
    <row r="75" spans="1:104" x14ac:dyDescent="0.25">
      <c r="A75" t="s">
        <v>207</v>
      </c>
      <c r="B75" t="s">
        <v>6109</v>
      </c>
      <c r="AH75">
        <v>13</v>
      </c>
      <c r="AI75">
        <v>18</v>
      </c>
      <c r="AJ75">
        <v>41</v>
      </c>
      <c r="AM75" t="s">
        <v>6029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6110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6111</v>
      </c>
      <c r="AH76">
        <v>5</v>
      </c>
      <c r="AI76">
        <v>18</v>
      </c>
      <c r="AJ76">
        <v>69</v>
      </c>
      <c r="AM76" t="s">
        <v>6112</v>
      </c>
      <c r="BF76">
        <v>12</v>
      </c>
      <c r="BG76">
        <v>18</v>
      </c>
      <c r="BH76">
        <v>86</v>
      </c>
      <c r="BK76" t="s">
        <v>6037</v>
      </c>
      <c r="CD76">
        <v>1</v>
      </c>
      <c r="CE76">
        <v>440</v>
      </c>
      <c r="CF76">
        <v>7</v>
      </c>
      <c r="CG76">
        <v>90</v>
      </c>
      <c r="CI76" t="s">
        <v>6007</v>
      </c>
    </row>
    <row r="77" spans="1:104" x14ac:dyDescent="0.25">
      <c r="A77" t="s">
        <v>501</v>
      </c>
      <c r="B77" t="s">
        <v>6113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6024</v>
      </c>
      <c r="CD77">
        <v>2</v>
      </c>
      <c r="CE77">
        <v>440</v>
      </c>
      <c r="CF77">
        <v>30</v>
      </c>
      <c r="CG77">
        <v>90</v>
      </c>
      <c r="CI77" t="s">
        <v>6008</v>
      </c>
      <c r="CT77" t="s">
        <v>376</v>
      </c>
    </row>
    <row r="78" spans="1:104" x14ac:dyDescent="0.25">
      <c r="A78" t="s">
        <v>219</v>
      </c>
      <c r="B78" t="s">
        <v>6114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6011</v>
      </c>
      <c r="BF78">
        <v>12</v>
      </c>
      <c r="BH78">
        <v>126</v>
      </c>
      <c r="BK78" t="s">
        <v>6027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6010</v>
      </c>
      <c r="CT78">
        <v>5</v>
      </c>
      <c r="CZ78" t="s">
        <v>376</v>
      </c>
    </row>
    <row r="79" spans="1:104" x14ac:dyDescent="0.25">
      <c r="A79" t="s">
        <v>220</v>
      </c>
      <c r="B79" t="s">
        <v>6082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6015</v>
      </c>
      <c r="CT79">
        <v>5</v>
      </c>
    </row>
    <row r="80" spans="1:104" x14ac:dyDescent="0.25">
      <c r="A80" t="s">
        <v>221</v>
      </c>
      <c r="B80" t="s">
        <v>6115</v>
      </c>
      <c r="AH80">
        <v>5</v>
      </c>
      <c r="AI80">
        <v>18</v>
      </c>
      <c r="AJ80">
        <v>112</v>
      </c>
      <c r="AM80" t="s">
        <v>6037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6110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6116</v>
      </c>
      <c r="BL81" t="b">
        <v>0</v>
      </c>
      <c r="CD81">
        <v>5</v>
      </c>
      <c r="CE81">
        <v>17</v>
      </c>
      <c r="CF81">
        <v>41</v>
      </c>
      <c r="CI81" t="s">
        <v>6022</v>
      </c>
      <c r="CT81">
        <v>5</v>
      </c>
    </row>
    <row r="82" spans="1:104" x14ac:dyDescent="0.25">
      <c r="A82" t="s">
        <v>606</v>
      </c>
      <c r="B82" t="s">
        <v>6117</v>
      </c>
      <c r="AH82">
        <v>205</v>
      </c>
      <c r="AI82">
        <v>18</v>
      </c>
      <c r="AJ82">
        <v>132</v>
      </c>
      <c r="AM82" t="s">
        <v>6024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6118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6071</v>
      </c>
      <c r="CT83">
        <v>5</v>
      </c>
    </row>
    <row r="84" spans="1:104" x14ac:dyDescent="0.25">
      <c r="A84" t="s">
        <v>303</v>
      </c>
      <c r="B84" t="s">
        <v>6119</v>
      </c>
      <c r="AH84">
        <v>205</v>
      </c>
      <c r="AI84">
        <v>18</v>
      </c>
      <c r="AJ84">
        <v>152</v>
      </c>
      <c r="AM84" t="s">
        <v>6027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6120</v>
      </c>
      <c r="AH85">
        <v>13</v>
      </c>
      <c r="AI85">
        <v>18</v>
      </c>
      <c r="AJ85">
        <v>175</v>
      </c>
      <c r="AM85" t="s">
        <v>6046</v>
      </c>
      <c r="AN85" t="b">
        <v>0</v>
      </c>
      <c r="CD85">
        <v>13</v>
      </c>
      <c r="CE85">
        <v>18</v>
      </c>
      <c r="CF85">
        <v>87</v>
      </c>
      <c r="CI85" t="s">
        <v>6023</v>
      </c>
      <c r="CJ85" t="b">
        <v>0</v>
      </c>
      <c r="CT85">
        <v>5</v>
      </c>
    </row>
    <row r="86" spans="1:104" x14ac:dyDescent="0.25">
      <c r="A86" t="s">
        <v>228</v>
      </c>
      <c r="B86" t="s">
        <v>6121</v>
      </c>
      <c r="AH86">
        <v>13</v>
      </c>
      <c r="AI86">
        <v>222</v>
      </c>
      <c r="AJ86">
        <v>175</v>
      </c>
      <c r="AM86" t="s">
        <v>6048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3550</v>
      </c>
      <c r="CT86">
        <v>5</v>
      </c>
    </row>
    <row r="87" spans="1:104" x14ac:dyDescent="0.25">
      <c r="A87" t="s">
        <v>231</v>
      </c>
      <c r="B87" t="s">
        <v>6122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6104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6123</v>
      </c>
      <c r="BF88">
        <v>1</v>
      </c>
      <c r="BG88">
        <v>407</v>
      </c>
      <c r="BH88">
        <v>7</v>
      </c>
      <c r="BI88">
        <v>90</v>
      </c>
      <c r="BK88" t="s">
        <v>6007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6011</v>
      </c>
      <c r="CT88">
        <v>5</v>
      </c>
      <c r="CU88">
        <v>26</v>
      </c>
      <c r="CV88">
        <v>108</v>
      </c>
      <c r="CY88" t="s">
        <v>6124</v>
      </c>
    </row>
    <row r="89" spans="1:104" x14ac:dyDescent="0.25">
      <c r="A89" t="s">
        <v>299</v>
      </c>
      <c r="B89" t="s">
        <v>6125</v>
      </c>
      <c r="BF89">
        <v>2</v>
      </c>
      <c r="BG89">
        <v>407</v>
      </c>
      <c r="BH89">
        <v>30</v>
      </c>
      <c r="BI89">
        <v>90</v>
      </c>
      <c r="BK89" t="s">
        <v>6008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236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6010</v>
      </c>
      <c r="CD90">
        <v>12</v>
      </c>
      <c r="CE90">
        <v>17</v>
      </c>
      <c r="CF90">
        <v>152</v>
      </c>
      <c r="CI90" t="s">
        <v>6037</v>
      </c>
    </row>
    <row r="91" spans="1:104" x14ac:dyDescent="0.25">
      <c r="A91" t="s">
        <v>237</v>
      </c>
      <c r="B91" t="s">
        <v>6126</v>
      </c>
      <c r="BF91">
        <v>5</v>
      </c>
      <c r="BG91">
        <v>18</v>
      </c>
      <c r="BH91">
        <v>19</v>
      </c>
      <c r="BK91" t="s">
        <v>6013</v>
      </c>
      <c r="CD91">
        <v>12</v>
      </c>
      <c r="CF91">
        <v>172</v>
      </c>
      <c r="CI91" t="s">
        <v>6024</v>
      </c>
      <c r="CT91" t="s">
        <v>379</v>
      </c>
    </row>
    <row r="92" spans="1:104" x14ac:dyDescent="0.25">
      <c r="A92" t="s">
        <v>239</v>
      </c>
      <c r="B92" t="s">
        <v>6127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6027</v>
      </c>
      <c r="CT92">
        <v>5</v>
      </c>
      <c r="CZ92" t="s">
        <v>379</v>
      </c>
    </row>
    <row r="93" spans="1:104" x14ac:dyDescent="0.25">
      <c r="A93" t="s">
        <v>485</v>
      </c>
      <c r="B93" t="s">
        <v>6128</v>
      </c>
      <c r="BF93">
        <v>5</v>
      </c>
      <c r="BG93">
        <v>18</v>
      </c>
      <c r="BH93">
        <v>43</v>
      </c>
      <c r="BK93" t="s">
        <v>6129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6130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6131</v>
      </c>
      <c r="BF95">
        <v>13</v>
      </c>
      <c r="BG95">
        <v>18</v>
      </c>
      <c r="BH95">
        <v>66</v>
      </c>
      <c r="BK95" t="s">
        <v>6023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6132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6011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6133</v>
      </c>
      <c r="BF98">
        <v>12</v>
      </c>
      <c r="BG98">
        <v>18</v>
      </c>
      <c r="BH98">
        <v>112</v>
      </c>
      <c r="BK98" t="s">
        <v>6037</v>
      </c>
      <c r="CT98">
        <v>5</v>
      </c>
    </row>
    <row r="99" spans="1:104" x14ac:dyDescent="0.25">
      <c r="A99" t="s">
        <v>252</v>
      </c>
      <c r="B99" t="s">
        <v>6134</v>
      </c>
      <c r="BF99">
        <v>12</v>
      </c>
      <c r="BH99">
        <v>132</v>
      </c>
      <c r="BK99" t="s">
        <v>6024</v>
      </c>
      <c r="CD99" t="s">
        <v>357</v>
      </c>
      <c r="CT99">
        <v>5</v>
      </c>
    </row>
    <row r="100" spans="1:104" x14ac:dyDescent="0.25">
      <c r="A100" t="s">
        <v>511</v>
      </c>
      <c r="B100" t="s">
        <v>6135</v>
      </c>
      <c r="BF100">
        <v>12</v>
      </c>
      <c r="BH100">
        <v>152</v>
      </c>
      <c r="BK100" t="s">
        <v>6027</v>
      </c>
      <c r="CD100" s="1" t="s">
        <v>674</v>
      </c>
      <c r="CG100">
        <v>577</v>
      </c>
      <c r="CH100">
        <v>281</v>
      </c>
      <c r="CI100" t="s">
        <v>6136</v>
      </c>
      <c r="CJ100">
        <v>5</v>
      </c>
      <c r="CT100">
        <v>5</v>
      </c>
      <c r="CU100">
        <v>23</v>
      </c>
      <c r="CV100">
        <v>131</v>
      </c>
      <c r="CY100" t="s">
        <v>6137</v>
      </c>
    </row>
    <row r="101" spans="1:104" x14ac:dyDescent="0.25">
      <c r="A101" t="s">
        <v>513</v>
      </c>
      <c r="B101" t="s">
        <v>6138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6007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6139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6008</v>
      </c>
      <c r="CT102">
        <v>5</v>
      </c>
      <c r="CU102">
        <v>25</v>
      </c>
      <c r="CV102">
        <v>108</v>
      </c>
      <c r="CY102" t="s">
        <v>6124</v>
      </c>
    </row>
    <row r="103" spans="1:104" x14ac:dyDescent="0.25">
      <c r="A103" t="s">
        <v>516</v>
      </c>
      <c r="B103" t="s">
        <v>6140</v>
      </c>
      <c r="BF103">
        <v>13</v>
      </c>
      <c r="BG103">
        <v>18</v>
      </c>
      <c r="BH103">
        <v>174</v>
      </c>
      <c r="BK103" t="s">
        <v>6141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6010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6142</v>
      </c>
      <c r="BF104">
        <v>13</v>
      </c>
      <c r="BK104" t="s">
        <v>6143</v>
      </c>
      <c r="BL104" t="b">
        <v>0</v>
      </c>
      <c r="CD104">
        <v>5</v>
      </c>
      <c r="CE104">
        <v>17</v>
      </c>
      <c r="CF104">
        <v>18</v>
      </c>
      <c r="CI104" t="s">
        <v>6015</v>
      </c>
    </row>
    <row r="105" spans="1:104" x14ac:dyDescent="0.25">
      <c r="A105" t="s">
        <v>534</v>
      </c>
      <c r="B105" t="s">
        <v>6144</v>
      </c>
      <c r="BF105">
        <v>13</v>
      </c>
      <c r="BK105" t="s">
        <v>6046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3605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6022</v>
      </c>
      <c r="CT106">
        <v>5</v>
      </c>
      <c r="CZ106" t="s">
        <v>382</v>
      </c>
    </row>
    <row r="107" spans="1:104" x14ac:dyDescent="0.25">
      <c r="A107" t="s">
        <v>538</v>
      </c>
      <c r="B107" t="s">
        <v>6006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6145</v>
      </c>
      <c r="CD108">
        <v>5</v>
      </c>
      <c r="CE108">
        <v>17</v>
      </c>
      <c r="CF108">
        <v>68</v>
      </c>
      <c r="CI108" t="s">
        <v>6146</v>
      </c>
      <c r="CT108">
        <v>5</v>
      </c>
    </row>
    <row r="109" spans="1:104" x14ac:dyDescent="0.25">
      <c r="A109" t="s">
        <v>60</v>
      </c>
      <c r="B109" t="s">
        <v>6147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6148</v>
      </c>
      <c r="CD110">
        <v>5</v>
      </c>
      <c r="CE110">
        <v>20</v>
      </c>
      <c r="CF110">
        <v>95</v>
      </c>
      <c r="CI110" t="s">
        <v>6149</v>
      </c>
      <c r="CT110">
        <v>5</v>
      </c>
    </row>
    <row r="111" spans="1:104" x14ac:dyDescent="0.25">
      <c r="A111" t="s">
        <v>434</v>
      </c>
      <c r="B111" t="s">
        <v>6150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6151</v>
      </c>
      <c r="CD112">
        <v>5</v>
      </c>
      <c r="CE112">
        <v>17</v>
      </c>
      <c r="CF112">
        <v>119</v>
      </c>
      <c r="CI112" t="s">
        <v>6152</v>
      </c>
      <c r="CT112">
        <v>5</v>
      </c>
    </row>
    <row r="113" spans="1:104" x14ac:dyDescent="0.25">
      <c r="A113" t="s">
        <v>539</v>
      </c>
      <c r="B113" t="s">
        <v>6153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6154</v>
      </c>
      <c r="CD114">
        <v>13</v>
      </c>
      <c r="CE114">
        <v>17</v>
      </c>
      <c r="CF114">
        <v>143</v>
      </c>
      <c r="CI114" t="s">
        <v>6023</v>
      </c>
      <c r="CJ114" t="b">
        <v>0</v>
      </c>
      <c r="CT114">
        <v>5</v>
      </c>
    </row>
    <row r="115" spans="1:104" x14ac:dyDescent="0.25">
      <c r="A115" t="s">
        <v>543</v>
      </c>
      <c r="B115" t="s">
        <v>6155</v>
      </c>
      <c r="CD115">
        <v>5</v>
      </c>
      <c r="CE115">
        <v>17</v>
      </c>
      <c r="CF115">
        <v>168</v>
      </c>
      <c r="CI115" t="s">
        <v>3550</v>
      </c>
      <c r="CT115">
        <v>5</v>
      </c>
    </row>
    <row r="116" spans="1:104" x14ac:dyDescent="0.25">
      <c r="A116" t="s">
        <v>544</v>
      </c>
      <c r="B116" t="s">
        <v>545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3685</v>
      </c>
    </row>
    <row r="117" spans="1:104" x14ac:dyDescent="0.25">
      <c r="A117" t="s">
        <v>547</v>
      </c>
      <c r="B117" t="s">
        <v>6117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6011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6156</v>
      </c>
      <c r="CD118">
        <v>111</v>
      </c>
      <c r="CJ118">
        <v>2</v>
      </c>
    </row>
    <row r="119" spans="1:104" x14ac:dyDescent="0.25">
      <c r="A119" t="s">
        <v>562</v>
      </c>
      <c r="B119" t="s">
        <v>6157</v>
      </c>
      <c r="CD119">
        <v>12</v>
      </c>
      <c r="CE119">
        <v>17</v>
      </c>
      <c r="CF119">
        <v>211</v>
      </c>
      <c r="CI119" t="s">
        <v>6037</v>
      </c>
      <c r="CT119" t="s">
        <v>332</v>
      </c>
    </row>
    <row r="120" spans="1:104" x14ac:dyDescent="0.25">
      <c r="A120" t="s">
        <v>366</v>
      </c>
      <c r="B120" t="s">
        <v>6158</v>
      </c>
      <c r="CD120">
        <v>12</v>
      </c>
      <c r="CF120">
        <v>231</v>
      </c>
      <c r="CI120" t="s">
        <v>6024</v>
      </c>
      <c r="CT120">
        <v>5</v>
      </c>
      <c r="CZ120" t="s">
        <v>332</v>
      </c>
    </row>
    <row r="121" spans="1:104" x14ac:dyDescent="0.25">
      <c r="A121" t="s">
        <v>368</v>
      </c>
      <c r="B121" t="s">
        <v>369</v>
      </c>
      <c r="CD121">
        <v>12</v>
      </c>
      <c r="CF121">
        <v>251</v>
      </c>
      <c r="CI121" t="s">
        <v>6027</v>
      </c>
      <c r="CT121">
        <v>5</v>
      </c>
    </row>
    <row r="122" spans="1:104" x14ac:dyDescent="0.25">
      <c r="A122" t="s">
        <v>370</v>
      </c>
      <c r="B122" t="s">
        <v>6159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295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6160</v>
      </c>
      <c r="CT125">
        <v>5</v>
      </c>
    </row>
    <row r="126" spans="1:104" x14ac:dyDescent="0.25">
      <c r="A126" t="s">
        <v>590</v>
      </c>
      <c r="B126" t="s">
        <v>591</v>
      </c>
      <c r="CT126">
        <v>5</v>
      </c>
    </row>
    <row r="127" spans="1:104" x14ac:dyDescent="0.25">
      <c r="A127" t="s">
        <v>592</v>
      </c>
      <c r="B127" t="s">
        <v>593</v>
      </c>
      <c r="CT127">
        <v>5</v>
      </c>
    </row>
    <row r="128" spans="1:104" x14ac:dyDescent="0.25">
      <c r="A128" t="s">
        <v>594</v>
      </c>
      <c r="B128" t="s">
        <v>595</v>
      </c>
      <c r="CT128">
        <v>5</v>
      </c>
    </row>
    <row r="129" spans="1:104" x14ac:dyDescent="0.25">
      <c r="A129" t="s">
        <v>596</v>
      </c>
      <c r="B129" t="s">
        <v>3568</v>
      </c>
      <c r="CT129">
        <v>5</v>
      </c>
    </row>
    <row r="130" spans="1:104" x14ac:dyDescent="0.25">
      <c r="A130" t="s">
        <v>277</v>
      </c>
      <c r="B130" t="s">
        <v>278</v>
      </c>
      <c r="CT130">
        <v>5</v>
      </c>
      <c r="CU130">
        <v>23</v>
      </c>
      <c r="CV130">
        <v>107</v>
      </c>
      <c r="CY130" t="s">
        <v>6052</v>
      </c>
    </row>
    <row r="131" spans="1:104" x14ac:dyDescent="0.25">
      <c r="A131" t="s">
        <v>279</v>
      </c>
      <c r="B131" t="s">
        <v>280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3698</v>
      </c>
    </row>
    <row r="133" spans="1:104" x14ac:dyDescent="0.25">
      <c r="A133" t="s">
        <v>283</v>
      </c>
      <c r="B133" t="s">
        <v>284</v>
      </c>
    </row>
    <row r="134" spans="1:104" x14ac:dyDescent="0.25">
      <c r="A134" t="s">
        <v>285</v>
      </c>
      <c r="B134" t="s">
        <v>3700</v>
      </c>
      <c r="CT134" t="s">
        <v>287</v>
      </c>
    </row>
    <row r="135" spans="1:104" x14ac:dyDescent="0.25">
      <c r="A135" t="s">
        <v>288</v>
      </c>
      <c r="B135" t="s">
        <v>289</v>
      </c>
      <c r="CT135" t="s">
        <v>507</v>
      </c>
    </row>
    <row r="136" spans="1:104" x14ac:dyDescent="0.25">
      <c r="A136" t="s">
        <v>290</v>
      </c>
      <c r="B136" t="s">
        <v>291</v>
      </c>
      <c r="CT136" t="str">
        <f>mg01s.RandUniform</f>
        <v>均匀</v>
      </c>
      <c r="CU136" t="s">
        <v>551</v>
      </c>
    </row>
    <row r="137" spans="1:104" x14ac:dyDescent="0.25">
      <c r="A137" t="s">
        <v>292</v>
      </c>
      <c r="B137" t="s">
        <v>310</v>
      </c>
      <c r="CT137" t="str">
        <f>mg01s.RandNormal</f>
        <v>正态</v>
      </c>
      <c r="CU137" t="s">
        <v>554</v>
      </c>
    </row>
    <row r="138" spans="1:104" x14ac:dyDescent="0.25">
      <c r="A138" t="s">
        <v>609</v>
      </c>
      <c r="B138" t="s">
        <v>6161</v>
      </c>
      <c r="CT138" t="str">
        <f>mg01s.RandBernoulli</f>
        <v>柏努利</v>
      </c>
      <c r="CU138" t="s">
        <v>376</v>
      </c>
    </row>
    <row r="139" spans="1:104" x14ac:dyDescent="0.25">
      <c r="A139" t="s">
        <v>611</v>
      </c>
      <c r="B139" t="s">
        <v>612</v>
      </c>
      <c r="CT139" t="str">
        <f>mg01s.RandBinomial</f>
        <v>二项式</v>
      </c>
      <c r="CU139" t="s">
        <v>379</v>
      </c>
    </row>
    <row r="140" spans="1:104" x14ac:dyDescent="0.25">
      <c r="A140" t="s">
        <v>613</v>
      </c>
      <c r="B140" t="s">
        <v>297</v>
      </c>
      <c r="CT140" t="str">
        <f>mg01s.RandPoisson</f>
        <v>泊松</v>
      </c>
      <c r="CU140" t="s">
        <v>382</v>
      </c>
    </row>
    <row r="141" spans="1:104" x14ac:dyDescent="0.25">
      <c r="A141" t="s">
        <v>298</v>
      </c>
      <c r="B141" t="s">
        <v>91</v>
      </c>
      <c r="CT141" t="str">
        <f>mg01s.RandPatterned</f>
        <v>模式</v>
      </c>
      <c r="CU141" t="s">
        <v>599</v>
      </c>
    </row>
    <row r="142" spans="1:104" x14ac:dyDescent="0.25">
      <c r="A142" t="s">
        <v>92</v>
      </c>
      <c r="B142" t="s">
        <v>6005</v>
      </c>
      <c r="CT142" t="str">
        <f>mg01s.RandDiscrete</f>
        <v>离散</v>
      </c>
      <c r="CU142" t="s">
        <v>332</v>
      </c>
    </row>
    <row r="143" spans="1:104" x14ac:dyDescent="0.25">
      <c r="A143" t="s">
        <v>304</v>
      </c>
      <c r="B143" t="s">
        <v>6162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6163</v>
      </c>
    </row>
    <row r="147" spans="1:2" x14ac:dyDescent="0.25">
      <c r="A147" t="s">
        <v>313</v>
      </c>
      <c r="B147" t="s">
        <v>6164</v>
      </c>
    </row>
    <row r="148" spans="1:2" x14ac:dyDescent="0.25">
      <c r="A148" t="s">
        <v>102</v>
      </c>
      <c r="B148" t="s">
        <v>6165</v>
      </c>
    </row>
    <row r="149" spans="1:2" x14ac:dyDescent="0.25">
      <c r="A149" t="s">
        <v>319</v>
      </c>
      <c r="B149" t="s">
        <v>6166</v>
      </c>
    </row>
    <row r="150" spans="1:2" x14ac:dyDescent="0.25">
      <c r="A150" t="s">
        <v>105</v>
      </c>
      <c r="B150" t="s">
        <v>6167</v>
      </c>
    </row>
    <row r="151" spans="1:2" x14ac:dyDescent="0.25">
      <c r="A151" t="s">
        <v>323</v>
      </c>
      <c r="B151" t="s">
        <v>6168</v>
      </c>
    </row>
    <row r="152" spans="1:2" x14ac:dyDescent="0.25">
      <c r="A152" t="s">
        <v>108</v>
      </c>
      <c r="B152" t="s">
        <v>6169</v>
      </c>
    </row>
    <row r="153" spans="1:2" x14ac:dyDescent="0.25">
      <c r="A153" t="s">
        <v>110</v>
      </c>
      <c r="B153" t="s">
        <v>6170</v>
      </c>
    </row>
    <row r="154" spans="1:2" x14ac:dyDescent="0.25">
      <c r="A154" t="s">
        <v>112</v>
      </c>
      <c r="B154" t="s">
        <v>6171</v>
      </c>
    </row>
    <row r="155" spans="1:2" x14ac:dyDescent="0.25">
      <c r="A155" t="s">
        <v>336</v>
      </c>
      <c r="B155" t="s">
        <v>6172</v>
      </c>
    </row>
    <row r="156" spans="1:2" x14ac:dyDescent="0.25">
      <c r="A156" t="s">
        <v>120</v>
      </c>
      <c r="B156" t="s">
        <v>6173</v>
      </c>
    </row>
    <row r="157" spans="1:2" x14ac:dyDescent="0.25">
      <c r="A157" t="s">
        <v>349</v>
      </c>
      <c r="B157" t="s">
        <v>6174</v>
      </c>
    </row>
    <row r="158" spans="1:2" x14ac:dyDescent="0.25">
      <c r="A158" t="s">
        <v>350</v>
      </c>
      <c r="B158" t="s">
        <v>6175</v>
      </c>
    </row>
    <row r="159" spans="1:2" x14ac:dyDescent="0.25">
      <c r="A159" t="s">
        <v>438</v>
      </c>
      <c r="B159" t="s">
        <v>6176</v>
      </c>
    </row>
    <row r="160" spans="1:2" x14ac:dyDescent="0.25">
      <c r="A160" t="s">
        <v>353</v>
      </c>
      <c r="B160" t="s">
        <v>6177</v>
      </c>
    </row>
    <row r="161" spans="1:2" x14ac:dyDescent="0.25">
      <c r="A161" t="s">
        <v>355</v>
      </c>
      <c r="B161" t="s">
        <v>6178</v>
      </c>
    </row>
    <row r="162" spans="1:2" x14ac:dyDescent="0.25">
      <c r="A162" t="s">
        <v>129</v>
      </c>
      <c r="B162" t="s">
        <v>6179</v>
      </c>
    </row>
    <row r="163" spans="1:2" x14ac:dyDescent="0.25">
      <c r="A163" t="s">
        <v>363</v>
      </c>
      <c r="B163" t="s">
        <v>6180</v>
      </c>
    </row>
    <row r="164" spans="1:2" x14ac:dyDescent="0.25">
      <c r="A164" t="s">
        <v>365</v>
      </c>
      <c r="B164" t="s">
        <v>6181</v>
      </c>
    </row>
    <row r="165" spans="1:2" x14ac:dyDescent="0.25">
      <c r="A165" t="s">
        <v>374</v>
      </c>
      <c r="B165" t="s">
        <v>6182</v>
      </c>
    </row>
    <row r="166" spans="1:2" x14ac:dyDescent="0.25">
      <c r="A166" t="s">
        <v>135</v>
      </c>
      <c r="B166" t="s">
        <v>6183</v>
      </c>
    </row>
    <row r="167" spans="1:2" x14ac:dyDescent="0.25">
      <c r="A167" t="s">
        <v>137</v>
      </c>
      <c r="B167" t="s">
        <v>6184</v>
      </c>
    </row>
    <row r="168" spans="1:2" x14ac:dyDescent="0.25">
      <c r="A168" t="s">
        <v>139</v>
      </c>
      <c r="B168" t="s">
        <v>6185</v>
      </c>
    </row>
    <row r="169" spans="1:2" x14ac:dyDescent="0.25">
      <c r="A169" t="s">
        <v>384</v>
      </c>
      <c r="B169" t="s">
        <v>6186</v>
      </c>
    </row>
    <row r="170" spans="1:2" x14ac:dyDescent="0.25">
      <c r="A170" t="s">
        <v>462</v>
      </c>
      <c r="B170" t="s">
        <v>6187</v>
      </c>
    </row>
    <row r="171" spans="1:2" x14ac:dyDescent="0.25">
      <c r="A171" t="s">
        <v>464</v>
      </c>
      <c r="B171" t="s">
        <v>6188</v>
      </c>
    </row>
    <row r="172" spans="1:2" x14ac:dyDescent="0.25">
      <c r="A172" t="s">
        <v>388</v>
      </c>
      <c r="B172" t="s">
        <v>6189</v>
      </c>
    </row>
    <row r="173" spans="1:2" x14ac:dyDescent="0.25">
      <c r="A173" t="s">
        <v>147</v>
      </c>
      <c r="B173" t="s">
        <v>6190</v>
      </c>
    </row>
    <row r="174" spans="1:2" x14ac:dyDescent="0.25">
      <c r="A174" t="s">
        <v>385</v>
      </c>
      <c r="B174" t="s">
        <v>6191</v>
      </c>
    </row>
    <row r="175" spans="1:2" x14ac:dyDescent="0.25">
      <c r="A175" t="s">
        <v>151</v>
      </c>
      <c r="B175" t="s">
        <v>6192</v>
      </c>
    </row>
    <row r="176" spans="1:2" x14ac:dyDescent="0.25">
      <c r="A176" t="s">
        <v>406</v>
      </c>
      <c r="B176" t="s">
        <v>6193</v>
      </c>
    </row>
    <row r="177" spans="1:2" x14ac:dyDescent="0.25">
      <c r="A177" t="s">
        <v>408</v>
      </c>
      <c r="B177" t="s">
        <v>6194</v>
      </c>
    </row>
    <row r="178" spans="1:2" x14ac:dyDescent="0.25">
      <c r="A178" t="s">
        <v>503</v>
      </c>
      <c r="B178" t="s">
        <v>6195</v>
      </c>
    </row>
    <row r="179" spans="1:2" x14ac:dyDescent="0.25">
      <c r="A179" t="s">
        <v>410</v>
      </c>
      <c r="B179" t="s">
        <v>6196</v>
      </c>
    </row>
    <row r="180" spans="1:2" x14ac:dyDescent="0.25">
      <c r="A180" t="s">
        <v>412</v>
      </c>
      <c r="B180" t="s">
        <v>6197</v>
      </c>
    </row>
    <row r="181" spans="1:2" x14ac:dyDescent="0.25">
      <c r="A181" t="s">
        <v>161</v>
      </c>
      <c r="B181" t="s">
        <v>6198</v>
      </c>
    </row>
    <row r="182" spans="1:2" x14ac:dyDescent="0.25">
      <c r="A182" t="s">
        <v>415</v>
      </c>
      <c r="B182" t="s">
        <v>6199</v>
      </c>
    </row>
    <row r="183" spans="1:2" x14ac:dyDescent="0.25">
      <c r="A183" t="s">
        <v>173</v>
      </c>
      <c r="B183" t="s">
        <v>6200</v>
      </c>
    </row>
    <row r="184" spans="1:2" x14ac:dyDescent="0.25">
      <c r="A184" t="s">
        <v>167</v>
      </c>
      <c r="B184" t="s">
        <v>6201</v>
      </c>
    </row>
    <row r="185" spans="1:2" x14ac:dyDescent="0.25">
      <c r="A185" t="s">
        <v>169</v>
      </c>
      <c r="B185" t="s">
        <v>6202</v>
      </c>
    </row>
    <row r="186" spans="1:2" x14ac:dyDescent="0.25">
      <c r="A186" t="s">
        <v>444</v>
      </c>
      <c r="B186" t="s">
        <v>6203</v>
      </c>
    </row>
    <row r="187" spans="1:2" x14ac:dyDescent="0.25">
      <c r="A187" t="s">
        <v>18</v>
      </c>
      <c r="B187" t="s">
        <v>6204</v>
      </c>
    </row>
    <row r="188" spans="1:2" x14ac:dyDescent="0.25">
      <c r="A188" t="s">
        <v>175</v>
      </c>
      <c r="B188" t="s">
        <v>6205</v>
      </c>
    </row>
    <row r="189" spans="1:2" x14ac:dyDescent="0.25">
      <c r="A189" t="s">
        <v>181</v>
      </c>
      <c r="B189" t="s">
        <v>6206</v>
      </c>
    </row>
    <row r="190" spans="1:2" x14ac:dyDescent="0.25">
      <c r="A190" t="s">
        <v>64</v>
      </c>
      <c r="B190" t="s">
        <v>6207</v>
      </c>
    </row>
    <row r="191" spans="1:2" x14ac:dyDescent="0.25">
      <c r="A191" t="s">
        <v>185</v>
      </c>
      <c r="B191" t="s">
        <v>6208</v>
      </c>
    </row>
    <row r="192" spans="1:2" x14ac:dyDescent="0.25">
      <c r="A192" t="s">
        <v>192</v>
      </c>
      <c r="B192" t="s">
        <v>6209</v>
      </c>
    </row>
    <row r="193" spans="1:2" x14ac:dyDescent="0.25">
      <c r="A193" t="s">
        <v>67</v>
      </c>
      <c r="B193" t="s">
        <v>6210</v>
      </c>
    </row>
    <row r="194" spans="1:2" x14ac:dyDescent="0.25">
      <c r="A194" t="s">
        <v>197</v>
      </c>
      <c r="B194" t="s">
        <v>6211</v>
      </c>
    </row>
    <row r="195" spans="1:2" x14ac:dyDescent="0.25">
      <c r="A195" t="s">
        <v>199</v>
      </c>
      <c r="B195" t="s">
        <v>6212</v>
      </c>
    </row>
    <row r="196" spans="1:2" x14ac:dyDescent="0.25">
      <c r="A196" t="s">
        <v>44</v>
      </c>
      <c r="B196" t="s">
        <v>6213</v>
      </c>
    </row>
    <row r="197" spans="1:2" x14ac:dyDescent="0.25">
      <c r="A197" t="s">
        <v>46</v>
      </c>
      <c r="B197" t="s">
        <v>6214</v>
      </c>
    </row>
    <row r="198" spans="1:2" x14ac:dyDescent="0.25">
      <c r="A198" t="s">
        <v>212</v>
      </c>
      <c r="B198" t="s">
        <v>6215</v>
      </c>
    </row>
    <row r="199" spans="1:2" x14ac:dyDescent="0.25">
      <c r="A199" t="s">
        <v>215</v>
      </c>
      <c r="B199" t="s">
        <v>6216</v>
      </c>
    </row>
    <row r="200" spans="1:2" x14ac:dyDescent="0.25">
      <c r="A200" t="s">
        <v>77</v>
      </c>
      <c r="B200" t="s">
        <v>6217</v>
      </c>
    </row>
    <row r="201" spans="1:2" x14ac:dyDescent="0.25">
      <c r="A201" t="s">
        <v>223</v>
      </c>
      <c r="B201" t="s">
        <v>6218</v>
      </c>
    </row>
    <row r="202" spans="1:2" x14ac:dyDescent="0.25">
      <c r="A202" t="s">
        <v>1</v>
      </c>
      <c r="B202" t="s">
        <v>6219</v>
      </c>
    </row>
    <row r="203" spans="1:2" x14ac:dyDescent="0.25">
      <c r="A203" t="s">
        <v>225</v>
      </c>
      <c r="B203" t="s">
        <v>6220</v>
      </c>
    </row>
    <row r="204" spans="1:2" x14ac:dyDescent="0.25">
      <c r="A204" t="s">
        <v>4</v>
      </c>
      <c r="B204" t="s">
        <v>6221</v>
      </c>
    </row>
    <row r="205" spans="1:2" x14ac:dyDescent="0.25">
      <c r="A205" t="s">
        <v>233</v>
      </c>
      <c r="B205" t="s">
        <v>6222</v>
      </c>
    </row>
    <row r="206" spans="1:2" x14ac:dyDescent="0.25">
      <c r="A206" t="s">
        <v>6</v>
      </c>
      <c r="B206" t="s">
        <v>6223</v>
      </c>
    </row>
    <row r="207" spans="1:2" x14ac:dyDescent="0.25">
      <c r="A207" t="s">
        <v>241</v>
      </c>
      <c r="B207" t="s">
        <v>6224</v>
      </c>
    </row>
    <row r="208" spans="1:2" x14ac:dyDescent="0.25">
      <c r="A208" t="s">
        <v>11</v>
      </c>
      <c r="B208" t="s">
        <v>6225</v>
      </c>
    </row>
    <row r="209" spans="1:103" x14ac:dyDescent="0.25">
      <c r="A209" t="s">
        <v>13</v>
      </c>
      <c r="B209" t="s">
        <v>6226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6227</v>
      </c>
    </row>
    <row r="212" spans="1:103" x14ac:dyDescent="0.25">
      <c r="A212" t="s">
        <v>258</v>
      </c>
      <c r="B212" t="s">
        <v>6228</v>
      </c>
    </row>
    <row r="213" spans="1:103" x14ac:dyDescent="0.25">
      <c r="A213" t="s">
        <v>533</v>
      </c>
      <c r="B213" t="s">
        <v>6229</v>
      </c>
      <c r="BS213" t="b">
        <v>1</v>
      </c>
    </row>
    <row r="214" spans="1:103" x14ac:dyDescent="0.25">
      <c r="A214" t="s">
        <v>17</v>
      </c>
      <c r="B214" t="s">
        <v>6230</v>
      </c>
    </row>
    <row r="215" spans="1:103" x14ac:dyDescent="0.25">
      <c r="A215" t="s">
        <v>265</v>
      </c>
      <c r="B215" t="s">
        <v>6231</v>
      </c>
    </row>
    <row r="216" spans="1:103" x14ac:dyDescent="0.25">
      <c r="A216" t="s">
        <v>550</v>
      </c>
      <c r="B216" t="s">
        <v>6232</v>
      </c>
    </row>
    <row r="217" spans="1:103" x14ac:dyDescent="0.25">
      <c r="A217" t="s">
        <v>267</v>
      </c>
      <c r="B217" t="s">
        <v>6233</v>
      </c>
    </row>
    <row r="218" spans="1:103" x14ac:dyDescent="0.25">
      <c r="A218" t="s">
        <v>262</v>
      </c>
      <c r="B218" t="s">
        <v>6234</v>
      </c>
    </row>
    <row r="219" spans="1:103" x14ac:dyDescent="0.25">
      <c r="A219" t="s">
        <v>272</v>
      </c>
      <c r="B219" t="s">
        <v>6235</v>
      </c>
    </row>
    <row r="220" spans="1:103" x14ac:dyDescent="0.25">
      <c r="A220" t="s">
        <v>36</v>
      </c>
      <c r="B220" t="s">
        <v>6236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6237</v>
      </c>
      <c r="AE221" t="b">
        <v>1</v>
      </c>
    </row>
    <row r="222" spans="1:103" x14ac:dyDescent="0.25">
      <c r="A222" t="s">
        <v>269</v>
      </c>
      <c r="B222" t="s">
        <v>6238</v>
      </c>
      <c r="CY222" t="b">
        <v>1</v>
      </c>
    </row>
    <row r="223" spans="1:103" x14ac:dyDescent="0.25">
      <c r="A223" t="s">
        <v>40</v>
      </c>
      <c r="B223" t="s">
        <v>6239</v>
      </c>
    </row>
    <row r="224" spans="1:103" x14ac:dyDescent="0.25">
      <c r="A224" t="s">
        <v>42</v>
      </c>
      <c r="B224" t="s">
        <v>6240</v>
      </c>
      <c r="CI224" t="b">
        <v>1</v>
      </c>
    </row>
    <row r="225" spans="1:2" x14ac:dyDescent="0.25">
      <c r="A225" t="s">
        <v>275</v>
      </c>
      <c r="B225" t="s">
        <v>6241</v>
      </c>
    </row>
    <row r="226" spans="1:2" x14ac:dyDescent="0.25">
      <c r="A226" t="s">
        <v>73</v>
      </c>
      <c r="B226" t="s">
        <v>6242</v>
      </c>
    </row>
    <row r="227" spans="1:2" x14ac:dyDescent="0.25">
      <c r="A227" t="s">
        <v>75</v>
      </c>
      <c r="B227" t="s">
        <v>6243</v>
      </c>
    </row>
    <row r="228" spans="1:2" x14ac:dyDescent="0.25">
      <c r="A228" t="s">
        <v>88</v>
      </c>
      <c r="B228" t="s">
        <v>6244</v>
      </c>
    </row>
    <row r="229" spans="1:2" x14ac:dyDescent="0.25">
      <c r="A229" t="s">
        <v>49</v>
      </c>
      <c r="B229" t="s">
        <v>6245</v>
      </c>
    </row>
    <row r="230" spans="1:2" x14ac:dyDescent="0.25">
      <c r="A230" t="s">
        <v>51</v>
      </c>
      <c r="B230" t="s">
        <v>6246</v>
      </c>
    </row>
    <row r="231" spans="1:2" x14ac:dyDescent="0.25">
      <c r="A231" t="s">
        <v>53</v>
      </c>
      <c r="B231" t="s">
        <v>6247</v>
      </c>
    </row>
    <row r="232" spans="1:2" x14ac:dyDescent="0.25">
      <c r="A232" t="s">
        <v>55</v>
      </c>
      <c r="B232" t="s">
        <v>6248</v>
      </c>
    </row>
    <row r="233" spans="1:2" x14ac:dyDescent="0.25">
      <c r="A233" t="s">
        <v>57</v>
      </c>
      <c r="B233" t="s">
        <v>6249</v>
      </c>
    </row>
    <row r="234" spans="1:2" x14ac:dyDescent="0.25">
      <c r="A234" t="s">
        <v>59</v>
      </c>
      <c r="B234" t="s">
        <v>6250</v>
      </c>
    </row>
    <row r="235" spans="1:2" x14ac:dyDescent="0.25">
      <c r="A235" t="s">
        <v>24</v>
      </c>
      <c r="B235" t="s">
        <v>6251</v>
      </c>
    </row>
    <row r="236" spans="1:2" x14ac:dyDescent="0.25">
      <c r="A236" t="s">
        <v>32</v>
      </c>
      <c r="B236" t="s">
        <v>6252</v>
      </c>
    </row>
    <row r="237" spans="1:2" x14ac:dyDescent="0.25">
      <c r="A237" t="s">
        <v>101</v>
      </c>
      <c r="B237" t="s">
        <v>6253</v>
      </c>
    </row>
    <row r="238" spans="1:2" x14ac:dyDescent="0.25">
      <c r="A238" t="s">
        <v>159</v>
      </c>
      <c r="B238" t="s">
        <v>6254</v>
      </c>
    </row>
    <row r="239" spans="1:2" x14ac:dyDescent="0.25">
      <c r="A239" t="s">
        <v>107</v>
      </c>
      <c r="B239" t="s">
        <v>6255</v>
      </c>
    </row>
    <row r="240" spans="1:2" x14ac:dyDescent="0.25">
      <c r="A240" t="s">
        <v>15</v>
      </c>
      <c r="B240" t="s">
        <v>6256</v>
      </c>
    </row>
    <row r="241" spans="1:2" x14ac:dyDescent="0.25">
      <c r="A241" t="s">
        <v>171</v>
      </c>
      <c r="B241" t="s">
        <v>6257</v>
      </c>
    </row>
    <row r="242" spans="1:2" x14ac:dyDescent="0.25">
      <c r="A242" t="s">
        <v>117</v>
      </c>
      <c r="B242" t="s">
        <v>6258</v>
      </c>
    </row>
    <row r="243" spans="1:2" x14ac:dyDescent="0.25">
      <c r="A243" t="s">
        <v>119</v>
      </c>
      <c r="B243" t="s">
        <v>6259</v>
      </c>
    </row>
    <row r="244" spans="1:2" x14ac:dyDescent="0.25">
      <c r="A244" t="s">
        <v>122</v>
      </c>
      <c r="B244" t="s">
        <v>6260</v>
      </c>
    </row>
    <row r="245" spans="1:2" x14ac:dyDescent="0.25">
      <c r="A245" t="s">
        <v>176</v>
      </c>
      <c r="B245" t="s">
        <v>6261</v>
      </c>
    </row>
    <row r="246" spans="1:2" x14ac:dyDescent="0.25">
      <c r="A246" t="s">
        <v>126</v>
      </c>
      <c r="B246" t="s">
        <v>6262</v>
      </c>
    </row>
    <row r="247" spans="1:2" x14ac:dyDescent="0.25">
      <c r="A247" t="s">
        <v>130</v>
      </c>
      <c r="B247" t="s">
        <v>6263</v>
      </c>
    </row>
    <row r="248" spans="1:2" x14ac:dyDescent="0.25">
      <c r="A248" t="s">
        <v>39</v>
      </c>
      <c r="B248" t="s">
        <v>6264</v>
      </c>
    </row>
    <row r="249" spans="1:2" x14ac:dyDescent="0.25">
      <c r="A249" t="s">
        <v>133</v>
      </c>
      <c r="B249" t="s">
        <v>6265</v>
      </c>
    </row>
    <row r="250" spans="1:2" x14ac:dyDescent="0.25">
      <c r="A250" t="s">
        <v>69</v>
      </c>
      <c r="B250" t="s">
        <v>6266</v>
      </c>
    </row>
    <row r="251" spans="1:2" x14ac:dyDescent="0.25">
      <c r="A251" t="s">
        <v>71</v>
      </c>
      <c r="B251" t="s">
        <v>6267</v>
      </c>
    </row>
    <row r="252" spans="1:2" x14ac:dyDescent="0.25">
      <c r="A252" t="s">
        <v>141</v>
      </c>
      <c r="B252" t="s">
        <v>6268</v>
      </c>
    </row>
    <row r="253" spans="1:2" x14ac:dyDescent="0.25">
      <c r="A253" t="s">
        <v>143</v>
      </c>
      <c r="B253" t="s">
        <v>6269</v>
      </c>
    </row>
    <row r="254" spans="1:2" x14ac:dyDescent="0.25">
      <c r="A254" t="s">
        <v>145</v>
      </c>
      <c r="B254" t="s">
        <v>6270</v>
      </c>
    </row>
    <row r="255" spans="1:2" x14ac:dyDescent="0.25">
      <c r="A255" t="s">
        <v>386</v>
      </c>
      <c r="B255" t="s">
        <v>6271</v>
      </c>
    </row>
    <row r="256" spans="1:2" x14ac:dyDescent="0.25">
      <c r="A256" t="s">
        <v>30</v>
      </c>
      <c r="B256" t="s">
        <v>6272</v>
      </c>
    </row>
    <row r="257" spans="1:2" x14ac:dyDescent="0.25">
      <c r="A257" t="s">
        <v>33</v>
      </c>
      <c r="B257" t="s">
        <v>6273</v>
      </c>
    </row>
    <row r="258" spans="1:2" x14ac:dyDescent="0.25">
      <c r="A258" t="s">
        <v>153</v>
      </c>
      <c r="B258" t="s">
        <v>6274</v>
      </c>
    </row>
    <row r="259" spans="1:2" x14ac:dyDescent="0.25">
      <c r="A259" t="s">
        <v>155</v>
      </c>
      <c r="B259" t="s">
        <v>6275</v>
      </c>
    </row>
    <row r="260" spans="1:2" x14ac:dyDescent="0.25">
      <c r="A260" t="s">
        <v>157</v>
      </c>
      <c r="B260" t="s">
        <v>6276</v>
      </c>
    </row>
    <row r="261" spans="1:2" x14ac:dyDescent="0.25">
      <c r="A261" t="s">
        <v>3</v>
      </c>
      <c r="B261" t="s">
        <v>6277</v>
      </c>
    </row>
    <row r="262" spans="1:2" x14ac:dyDescent="0.25">
      <c r="A262" t="s">
        <v>78</v>
      </c>
      <c r="B262" t="s">
        <v>6278</v>
      </c>
    </row>
    <row r="263" spans="1:2" x14ac:dyDescent="0.25">
      <c r="A263" t="s">
        <v>80</v>
      </c>
      <c r="B263" t="s">
        <v>6279</v>
      </c>
    </row>
    <row r="264" spans="1:2" x14ac:dyDescent="0.25">
      <c r="A264" t="s">
        <v>82</v>
      </c>
      <c r="B264" t="s">
        <v>6280</v>
      </c>
    </row>
    <row r="265" spans="1:2" x14ac:dyDescent="0.25">
      <c r="A265" t="s">
        <v>84</v>
      </c>
      <c r="B265" t="s">
        <v>6281</v>
      </c>
    </row>
    <row r="266" spans="1:2" x14ac:dyDescent="0.25">
      <c r="A266" t="s">
        <v>86</v>
      </c>
      <c r="B266" t="s">
        <v>6282</v>
      </c>
    </row>
    <row r="267" spans="1:2" x14ac:dyDescent="0.25">
      <c r="A267" t="s">
        <v>29</v>
      </c>
      <c r="B267" t="s">
        <v>6283</v>
      </c>
    </row>
    <row r="268" spans="1:2" x14ac:dyDescent="0.25">
      <c r="A268" t="s">
        <v>90</v>
      </c>
      <c r="B268" t="s">
        <v>6284</v>
      </c>
    </row>
    <row r="269" spans="1:2" x14ac:dyDescent="0.25">
      <c r="A269" t="s">
        <v>95</v>
      </c>
      <c r="B269" t="s">
        <v>6285</v>
      </c>
    </row>
    <row r="270" spans="1:2" x14ac:dyDescent="0.25">
      <c r="A270" t="s">
        <v>2</v>
      </c>
      <c r="B270" t="s">
        <v>6286</v>
      </c>
    </row>
    <row r="271" spans="1:2" x14ac:dyDescent="0.25">
      <c r="A271" t="s">
        <v>7</v>
      </c>
      <c r="B271" t="s">
        <v>6287</v>
      </c>
    </row>
    <row r="273" spans="1:2" x14ac:dyDescent="0.25">
      <c r="A273" t="s">
        <v>9</v>
      </c>
      <c r="B273" t="s">
        <v>6288</v>
      </c>
    </row>
    <row r="274" spans="1:2" x14ac:dyDescent="0.25">
      <c r="A274" t="s">
        <v>163</v>
      </c>
      <c r="B274" t="s">
        <v>6289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3568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CZ278"/>
  <sheetViews>
    <sheetView topLeftCell="AB68" workbookViewId="0">
      <selection activeCell="AH83" sqref="AH83"/>
    </sheetView>
  </sheetViews>
  <sheetFormatPr defaultRowHeight="12.5" x14ac:dyDescent="0.25"/>
  <cols>
    <col min="1" max="1" width="18.7265625" customWidth="1"/>
    <col min="2" max="2" width="17.7265625" customWidth="1"/>
    <col min="3" max="20" width="8.81640625" customWidth="1"/>
    <col min="21" max="21" width="43.1796875" bestFit="1" customWidth="1"/>
    <col min="22" max="22" width="8.81640625" customWidth="1"/>
    <col min="23" max="23" width="17" customWidth="1"/>
    <col min="24" max="24" width="17.81640625" customWidth="1"/>
    <col min="25" max="25" width="18.453125" customWidth="1"/>
    <col min="26" max="26" width="6.54296875" customWidth="1"/>
    <col min="27" max="27" width="7.54296875" customWidth="1"/>
    <col min="28" max="28" width="15.453125" customWidth="1"/>
    <col min="29" max="30" width="5.1796875" customWidth="1"/>
    <col min="31" max="31" width="16.54296875" customWidth="1"/>
    <col min="32" max="32" width="10.453125" customWidth="1"/>
    <col min="33" max="33" width="12.1796875" customWidth="1"/>
    <col min="34" max="34" width="14.26953125" customWidth="1"/>
    <col min="35" max="36" width="7" customWidth="1"/>
    <col min="37" max="37" width="6.54296875" customWidth="1"/>
    <col min="38" max="38" width="4.453125" customWidth="1"/>
    <col min="39" max="39" width="33.81640625" bestFit="1" customWidth="1"/>
    <col min="41" max="41" width="4.1796875" customWidth="1"/>
    <col min="42" max="42" width="18" bestFit="1" customWidth="1"/>
    <col min="43" max="43" width="6.1796875" customWidth="1"/>
    <col min="44" max="44" width="6.54296875" customWidth="1"/>
    <col min="45" max="46" width="4" bestFit="1" customWidth="1"/>
    <col min="47" max="47" width="22.1796875" bestFit="1" customWidth="1"/>
    <col min="48" max="48" width="7" bestFit="1" customWidth="1"/>
    <col min="49" max="49" width="2.26953125" customWidth="1"/>
    <col min="50" max="50" width="8.54296875" bestFit="1" customWidth="1"/>
    <col min="51" max="54" width="4" bestFit="1" customWidth="1"/>
    <col min="55" max="55" width="48.26953125" bestFit="1" customWidth="1"/>
    <col min="56" max="56" width="5.54296875" bestFit="1" customWidth="1"/>
    <col min="57" max="57" width="1.81640625" customWidth="1"/>
    <col min="58" max="58" width="18" bestFit="1" customWidth="1"/>
    <col min="59" max="62" width="4" bestFit="1" customWidth="1"/>
    <col min="63" max="63" width="23.7265625" bestFit="1" customWidth="1"/>
    <col min="64" max="64" width="7" bestFit="1" customWidth="1"/>
    <col min="65" max="65" width="2.453125" customWidth="1"/>
    <col min="66" max="66" width="18" bestFit="1" customWidth="1"/>
    <col min="67" max="70" width="4" bestFit="1" customWidth="1"/>
    <col min="71" max="71" width="24.26953125" bestFit="1" customWidth="1"/>
    <col min="72" max="72" width="7" bestFit="1" customWidth="1"/>
    <col min="73" max="73" width="1.453125" customWidth="1"/>
    <col min="74" max="74" width="18" bestFit="1" customWidth="1"/>
    <col min="75" max="78" width="4" bestFit="1" customWidth="1"/>
    <col min="79" max="79" width="20.453125" bestFit="1" customWidth="1"/>
    <col min="80" max="80" width="7" bestFit="1" customWidth="1"/>
    <col min="81" max="81" width="2" customWidth="1"/>
    <col min="82" max="82" width="8.7265625" customWidth="1"/>
    <col min="83" max="86" width="4" bestFit="1" customWidth="1"/>
    <col min="87" max="87" width="43.1796875" bestFit="1" customWidth="1"/>
    <col min="88" max="88" width="7" bestFit="1" customWidth="1"/>
    <col min="89" max="89" width="2.1796875" customWidth="1"/>
    <col min="90" max="90" width="18" bestFit="1" customWidth="1"/>
    <col min="91" max="94" width="4" bestFit="1" customWidth="1"/>
    <col min="95" max="95" width="18.7265625" bestFit="1" customWidth="1"/>
    <col min="96" max="96" width="7" bestFit="1" customWidth="1"/>
    <col min="97" max="97" width="2" customWidth="1"/>
    <col min="98" max="98" width="24.7265625" bestFit="1" customWidth="1"/>
    <col min="99" max="99" width="7.26953125" customWidth="1"/>
    <col min="100" max="100" width="5" bestFit="1" customWidth="1"/>
    <col min="101" max="102" width="4" bestFit="1" customWidth="1"/>
    <col min="103" max="103" width="30.54296875" customWidth="1"/>
    <col min="104" max="104" width="11" customWidth="1"/>
    <col min="105" max="110" width="8.81640625" customWidth="1"/>
  </cols>
  <sheetData>
    <row r="1" spans="1:104" x14ac:dyDescent="0.25">
      <c r="A1" t="s">
        <v>371</v>
      </c>
      <c r="W1" t="s">
        <v>372</v>
      </c>
      <c r="Y1" t="s">
        <v>373</v>
      </c>
      <c r="Z1" t="s">
        <v>263</v>
      </c>
      <c r="AH1" t="s">
        <v>447</v>
      </c>
      <c r="AP1" t="s">
        <v>448</v>
      </c>
      <c r="AX1" t="s">
        <v>449</v>
      </c>
      <c r="BF1" t="s">
        <v>450</v>
      </c>
      <c r="BN1" t="s">
        <v>451</v>
      </c>
      <c r="BV1" t="s">
        <v>452</v>
      </c>
      <c r="CD1" t="s">
        <v>584</v>
      </c>
      <c r="CL1" t="s">
        <v>585</v>
      </c>
      <c r="CT1" t="s">
        <v>586</v>
      </c>
    </row>
    <row r="2" spans="1:104" x14ac:dyDescent="0.25">
      <c r="A2" t="s">
        <v>587</v>
      </c>
      <c r="B2" s="1" t="s">
        <v>654</v>
      </c>
      <c r="Y2" t="s">
        <v>588</v>
      </c>
      <c r="Z2" s="1" t="s">
        <v>655</v>
      </c>
      <c r="AC2">
        <v>525</v>
      </c>
      <c r="AD2">
        <v>152</v>
      </c>
      <c r="AE2" t="s">
        <v>6290</v>
      </c>
      <c r="AF2">
        <v>4</v>
      </c>
      <c r="AH2" s="1" t="s">
        <v>656</v>
      </c>
      <c r="AK2">
        <v>515</v>
      </c>
      <c r="AL2">
        <v>223</v>
      </c>
      <c r="AM2" t="s">
        <v>6291</v>
      </c>
      <c r="AN2">
        <v>5</v>
      </c>
      <c r="AP2" s="1" t="s">
        <v>657</v>
      </c>
      <c r="AS2">
        <v>546</v>
      </c>
      <c r="AT2">
        <v>312</v>
      </c>
      <c r="AU2" t="s">
        <v>6292</v>
      </c>
      <c r="AV2">
        <v>5</v>
      </c>
      <c r="BA2">
        <v>534</v>
      </c>
      <c r="BB2">
        <v>166</v>
      </c>
      <c r="BC2">
        <v>0</v>
      </c>
      <c r="BF2" s="1" t="s">
        <v>658</v>
      </c>
      <c r="BI2">
        <v>523</v>
      </c>
      <c r="BJ2">
        <v>191</v>
      </c>
      <c r="BK2" t="s">
        <v>6293</v>
      </c>
      <c r="BL2">
        <v>5</v>
      </c>
      <c r="BN2" s="1" t="s">
        <v>659</v>
      </c>
      <c r="BQ2">
        <v>523</v>
      </c>
      <c r="BR2">
        <v>293</v>
      </c>
      <c r="BS2" t="s">
        <v>6294</v>
      </c>
      <c r="BT2">
        <v>5</v>
      </c>
      <c r="BV2" s="1" t="s">
        <v>660</v>
      </c>
      <c r="BY2">
        <v>523</v>
      </c>
      <c r="BZ2">
        <v>195</v>
      </c>
      <c r="CA2" t="s">
        <v>6295</v>
      </c>
      <c r="CB2">
        <v>5</v>
      </c>
      <c r="CD2" s="1" t="s">
        <v>661</v>
      </c>
      <c r="CG2">
        <v>523</v>
      </c>
      <c r="CH2">
        <v>203</v>
      </c>
      <c r="CI2" t="s">
        <v>6296</v>
      </c>
      <c r="CJ2">
        <v>5</v>
      </c>
      <c r="CL2" s="1" t="s">
        <v>662</v>
      </c>
      <c r="CO2">
        <v>523</v>
      </c>
      <c r="CP2">
        <v>263</v>
      </c>
      <c r="CQ2" t="s">
        <v>6297</v>
      </c>
      <c r="CR2">
        <v>5</v>
      </c>
      <c r="CT2" s="1" t="s">
        <v>663</v>
      </c>
      <c r="CW2">
        <v>516</v>
      </c>
      <c r="CX2">
        <v>298</v>
      </c>
      <c r="CY2" t="s">
        <v>6298</v>
      </c>
      <c r="CZ2">
        <v>4</v>
      </c>
    </row>
    <row r="3" spans="1:104" x14ac:dyDescent="0.25">
      <c r="W3" t="str">
        <f>dbCorrelationTitle</f>
        <v>相關係數</v>
      </c>
      <c r="Z3">
        <v>1</v>
      </c>
      <c r="AA3">
        <v>440</v>
      </c>
      <c r="AB3">
        <v>6</v>
      </c>
      <c r="AC3">
        <v>75</v>
      </c>
      <c r="AE3" t="s">
        <v>6299</v>
      </c>
      <c r="AH3">
        <v>1</v>
      </c>
      <c r="AI3">
        <v>412</v>
      </c>
      <c r="AJ3">
        <v>7</v>
      </c>
      <c r="AK3">
        <v>90</v>
      </c>
      <c r="AM3" t="s">
        <v>6299</v>
      </c>
      <c r="AP3">
        <v>1</v>
      </c>
      <c r="AQ3">
        <v>443</v>
      </c>
      <c r="AR3">
        <v>8</v>
      </c>
      <c r="AS3">
        <v>90</v>
      </c>
      <c r="AU3" t="s">
        <v>6299</v>
      </c>
      <c r="AX3">
        <v>1</v>
      </c>
      <c r="AY3">
        <v>418</v>
      </c>
      <c r="AZ3">
        <v>8</v>
      </c>
      <c r="BA3">
        <v>104</v>
      </c>
      <c r="BC3" t="s">
        <v>6299</v>
      </c>
      <c r="BF3">
        <v>1</v>
      </c>
      <c r="BG3">
        <v>407</v>
      </c>
      <c r="BH3">
        <v>7</v>
      </c>
      <c r="BI3">
        <v>90</v>
      </c>
      <c r="BK3" t="s">
        <v>6299</v>
      </c>
      <c r="BN3">
        <v>1</v>
      </c>
      <c r="BO3">
        <v>407</v>
      </c>
      <c r="BP3">
        <v>7</v>
      </c>
      <c r="BQ3">
        <v>90</v>
      </c>
      <c r="BS3" t="s">
        <v>6299</v>
      </c>
      <c r="BV3">
        <v>1</v>
      </c>
      <c r="BW3">
        <v>407</v>
      </c>
      <c r="BX3">
        <v>7</v>
      </c>
      <c r="BY3">
        <v>90</v>
      </c>
      <c r="CA3" t="s">
        <v>6299</v>
      </c>
      <c r="CD3">
        <v>1</v>
      </c>
      <c r="CE3">
        <v>407</v>
      </c>
      <c r="CF3">
        <v>7</v>
      </c>
      <c r="CG3">
        <v>90</v>
      </c>
      <c r="CI3" t="s">
        <v>6299</v>
      </c>
      <c r="CL3">
        <v>1</v>
      </c>
      <c r="CM3">
        <v>407</v>
      </c>
      <c r="CN3">
        <v>7</v>
      </c>
      <c r="CO3">
        <v>90</v>
      </c>
      <c r="CQ3" t="s">
        <v>6299</v>
      </c>
      <c r="CT3">
        <v>1</v>
      </c>
      <c r="CU3">
        <v>410</v>
      </c>
      <c r="CV3">
        <v>8</v>
      </c>
      <c r="CW3">
        <v>90</v>
      </c>
      <c r="CY3" t="s">
        <v>6299</v>
      </c>
    </row>
    <row r="4" spans="1:104" x14ac:dyDescent="0.25">
      <c r="T4" t="s">
        <v>391</v>
      </c>
      <c r="U4" t="s">
        <v>392</v>
      </c>
      <c r="V4" t="s">
        <v>393</v>
      </c>
      <c r="W4" t="s">
        <v>394</v>
      </c>
      <c r="X4" t="s">
        <v>395</v>
      </c>
      <c r="Y4" t="s">
        <v>396</v>
      </c>
      <c r="Z4">
        <v>2</v>
      </c>
      <c r="AA4">
        <v>440</v>
      </c>
      <c r="AB4">
        <v>30</v>
      </c>
      <c r="AC4">
        <v>75</v>
      </c>
      <c r="AE4" t="s">
        <v>6008</v>
      </c>
      <c r="AH4">
        <v>2</v>
      </c>
      <c r="AI4">
        <v>412</v>
      </c>
      <c r="AJ4">
        <v>30</v>
      </c>
      <c r="AK4">
        <v>90</v>
      </c>
      <c r="AM4" t="s">
        <v>6008</v>
      </c>
      <c r="AP4">
        <v>2</v>
      </c>
      <c r="AQ4">
        <v>443</v>
      </c>
      <c r="AR4">
        <v>31</v>
      </c>
      <c r="AS4">
        <v>90</v>
      </c>
      <c r="AU4" t="s">
        <v>6008</v>
      </c>
      <c r="AX4">
        <v>2</v>
      </c>
      <c r="AY4">
        <v>418</v>
      </c>
      <c r="AZ4">
        <v>33</v>
      </c>
      <c r="BA4">
        <v>104</v>
      </c>
      <c r="BC4" t="s">
        <v>6008</v>
      </c>
      <c r="BF4">
        <v>2</v>
      </c>
      <c r="BG4">
        <v>407</v>
      </c>
      <c r="BH4">
        <v>30</v>
      </c>
      <c r="BI4">
        <v>90</v>
      </c>
      <c r="BK4" t="s">
        <v>6008</v>
      </c>
      <c r="BN4">
        <v>2</v>
      </c>
      <c r="BO4">
        <v>407</v>
      </c>
      <c r="BP4">
        <v>30</v>
      </c>
      <c r="BQ4">
        <v>90</v>
      </c>
      <c r="BS4" t="s">
        <v>6008</v>
      </c>
      <c r="BV4">
        <v>2</v>
      </c>
      <c r="BW4">
        <v>407</v>
      </c>
      <c r="BX4">
        <v>30</v>
      </c>
      <c r="BY4">
        <v>90</v>
      </c>
      <c r="CA4" t="s">
        <v>6008</v>
      </c>
      <c r="CD4">
        <v>2</v>
      </c>
      <c r="CE4">
        <v>407</v>
      </c>
      <c r="CF4">
        <v>30</v>
      </c>
      <c r="CG4">
        <v>90</v>
      </c>
      <c r="CI4" t="s">
        <v>6008</v>
      </c>
      <c r="CL4">
        <v>2</v>
      </c>
      <c r="CM4">
        <v>407</v>
      </c>
      <c r="CN4">
        <v>30</v>
      </c>
      <c r="CO4">
        <v>90</v>
      </c>
      <c r="CQ4" t="s">
        <v>6008</v>
      </c>
      <c r="CT4">
        <v>2</v>
      </c>
      <c r="CU4">
        <v>410</v>
      </c>
      <c r="CV4">
        <v>31</v>
      </c>
      <c r="CW4">
        <v>90</v>
      </c>
      <c r="CY4" t="s">
        <v>6008</v>
      </c>
    </row>
    <row r="5" spans="1:104" x14ac:dyDescent="0.25">
      <c r="T5">
        <v>0</v>
      </c>
      <c r="U5" t="str">
        <f>dbAnova1Title</f>
        <v>單因子變異數分析</v>
      </c>
      <c r="V5">
        <v>0</v>
      </c>
      <c r="W5" t="str">
        <f>dbAnova1Title</f>
        <v>單因子變異數分析</v>
      </c>
      <c r="X5" t="s">
        <v>447</v>
      </c>
      <c r="Y5" s="1" t="s">
        <v>656</v>
      </c>
      <c r="Z5">
        <v>5</v>
      </c>
      <c r="AA5">
        <v>16</v>
      </c>
      <c r="AB5">
        <v>3</v>
      </c>
      <c r="AE5" t="s">
        <v>6009</v>
      </c>
      <c r="AH5">
        <v>14</v>
      </c>
      <c r="AI5">
        <v>8</v>
      </c>
      <c r="AJ5">
        <v>3</v>
      </c>
      <c r="AK5">
        <v>388</v>
      </c>
      <c r="AL5">
        <v>117</v>
      </c>
      <c r="AM5" t="s">
        <v>6300</v>
      </c>
      <c r="AP5">
        <v>14</v>
      </c>
      <c r="AQ5">
        <v>7</v>
      </c>
      <c r="AR5">
        <v>4</v>
      </c>
      <c r="AS5">
        <v>404</v>
      </c>
      <c r="AT5">
        <v>113</v>
      </c>
      <c r="AU5" t="s">
        <v>6300</v>
      </c>
      <c r="AX5">
        <v>14</v>
      </c>
      <c r="AY5">
        <v>7</v>
      </c>
      <c r="AZ5">
        <v>40</v>
      </c>
      <c r="BA5">
        <v>390</v>
      </c>
      <c r="BB5">
        <v>121</v>
      </c>
      <c r="BC5" t="s">
        <v>6301</v>
      </c>
      <c r="BF5">
        <v>14</v>
      </c>
      <c r="BG5">
        <v>8</v>
      </c>
      <c r="BH5">
        <v>3</v>
      </c>
      <c r="BI5">
        <v>385</v>
      </c>
      <c r="BJ5">
        <v>94</v>
      </c>
      <c r="BK5" t="s">
        <v>6300</v>
      </c>
      <c r="BN5">
        <v>14</v>
      </c>
      <c r="BO5">
        <v>8</v>
      </c>
      <c r="BP5">
        <v>3</v>
      </c>
      <c r="BQ5">
        <v>385</v>
      </c>
      <c r="BR5">
        <v>100</v>
      </c>
      <c r="BS5" t="s">
        <v>6300</v>
      </c>
      <c r="BV5">
        <v>14</v>
      </c>
      <c r="BW5">
        <v>8</v>
      </c>
      <c r="BX5">
        <v>2</v>
      </c>
      <c r="BY5">
        <v>385</v>
      </c>
      <c r="BZ5">
        <v>79</v>
      </c>
      <c r="CA5" t="s">
        <v>6300</v>
      </c>
      <c r="CD5">
        <v>14</v>
      </c>
      <c r="CE5">
        <v>8</v>
      </c>
      <c r="CF5">
        <v>3</v>
      </c>
      <c r="CG5">
        <v>385</v>
      </c>
      <c r="CH5">
        <v>106</v>
      </c>
      <c r="CI5" t="s">
        <v>6300</v>
      </c>
      <c r="CL5">
        <v>14</v>
      </c>
      <c r="CM5">
        <v>8</v>
      </c>
      <c r="CN5">
        <v>3</v>
      </c>
      <c r="CO5">
        <v>385</v>
      </c>
      <c r="CP5">
        <v>58</v>
      </c>
      <c r="CQ5" t="s">
        <v>6300</v>
      </c>
      <c r="CT5">
        <v>5</v>
      </c>
      <c r="CU5">
        <v>17</v>
      </c>
      <c r="CV5">
        <v>12</v>
      </c>
      <c r="CY5" t="s">
        <v>6302</v>
      </c>
    </row>
    <row r="6" spans="1:104" x14ac:dyDescent="0.25">
      <c r="T6">
        <v>1</v>
      </c>
      <c r="U6" t="str">
        <f>dbAnova2Title</f>
        <v>雙因子變異數分析：重複試驗</v>
      </c>
      <c r="V6">
        <v>1</v>
      </c>
      <c r="W6" t="str">
        <f>dbAnova2Title</f>
        <v>雙因子變異數分析：重複試驗</v>
      </c>
      <c r="X6" t="s">
        <v>614</v>
      </c>
      <c r="Y6" s="1" t="s">
        <v>664</v>
      </c>
      <c r="Z6">
        <v>15</v>
      </c>
      <c r="AA6">
        <v>16</v>
      </c>
      <c r="AB6">
        <v>19</v>
      </c>
      <c r="AC6">
        <v>410</v>
      </c>
      <c r="AD6">
        <v>122</v>
      </c>
      <c r="AE6" t="s">
        <v>394</v>
      </c>
      <c r="AF6">
        <v>12</v>
      </c>
      <c r="AH6">
        <v>5</v>
      </c>
      <c r="AI6">
        <v>18</v>
      </c>
      <c r="AJ6">
        <v>19</v>
      </c>
      <c r="AM6" t="s">
        <v>6303</v>
      </c>
      <c r="AP6">
        <v>5</v>
      </c>
      <c r="AQ6">
        <v>24</v>
      </c>
      <c r="AR6">
        <v>22</v>
      </c>
      <c r="AU6" t="s">
        <v>6304</v>
      </c>
      <c r="AX6">
        <v>111</v>
      </c>
      <c r="BD6">
        <v>1</v>
      </c>
      <c r="BF6">
        <v>5</v>
      </c>
      <c r="BG6">
        <v>18</v>
      </c>
      <c r="BH6">
        <v>19</v>
      </c>
      <c r="BK6" t="s">
        <v>6303</v>
      </c>
      <c r="BN6">
        <v>5</v>
      </c>
      <c r="BO6">
        <v>18</v>
      </c>
      <c r="BP6">
        <v>19</v>
      </c>
      <c r="BS6" t="s">
        <v>6303</v>
      </c>
      <c r="BV6">
        <v>5</v>
      </c>
      <c r="BW6">
        <v>18</v>
      </c>
      <c r="BX6">
        <v>19</v>
      </c>
      <c r="CA6" t="s">
        <v>6303</v>
      </c>
      <c r="CD6">
        <v>5</v>
      </c>
      <c r="CE6">
        <v>18</v>
      </c>
      <c r="CF6">
        <v>19</v>
      </c>
      <c r="CI6" t="s">
        <v>6305</v>
      </c>
      <c r="CL6">
        <v>5</v>
      </c>
      <c r="CM6">
        <v>18</v>
      </c>
      <c r="CN6">
        <v>19</v>
      </c>
      <c r="CQ6" t="s">
        <v>6303</v>
      </c>
      <c r="CT6">
        <v>7</v>
      </c>
      <c r="CU6">
        <v>244</v>
      </c>
      <c r="CV6">
        <v>10</v>
      </c>
      <c r="CW6">
        <v>150</v>
      </c>
    </row>
    <row r="7" spans="1:104" x14ac:dyDescent="0.25">
      <c r="T7">
        <v>2</v>
      </c>
      <c r="U7" t="str">
        <f>dbAnova3Title</f>
        <v>雙因子變異數分析：無重複試驗</v>
      </c>
      <c r="V7">
        <v>2</v>
      </c>
      <c r="W7" t="str">
        <f>dbAnova3Title</f>
        <v>雙因子變異數分析：無重複試驗</v>
      </c>
      <c r="X7" t="s">
        <v>315</v>
      </c>
      <c r="Y7" s="1" t="s">
        <v>665</v>
      </c>
      <c r="Z7">
        <v>24</v>
      </c>
      <c r="AA7">
        <v>440</v>
      </c>
      <c r="AB7">
        <v>60</v>
      </c>
      <c r="AC7">
        <v>75</v>
      </c>
      <c r="AH7">
        <v>10</v>
      </c>
      <c r="AI7">
        <v>223</v>
      </c>
      <c r="AJ7">
        <v>16</v>
      </c>
      <c r="AK7">
        <v>160</v>
      </c>
      <c r="AN7" t="s">
        <v>316</v>
      </c>
      <c r="AP7">
        <v>10</v>
      </c>
      <c r="AQ7">
        <v>234</v>
      </c>
      <c r="AR7">
        <v>20</v>
      </c>
      <c r="AS7">
        <v>160</v>
      </c>
      <c r="AV7" t="s">
        <v>316</v>
      </c>
      <c r="AX7">
        <v>12</v>
      </c>
      <c r="AY7">
        <v>18</v>
      </c>
      <c r="AZ7">
        <v>55</v>
      </c>
      <c r="BC7" t="s">
        <v>6306</v>
      </c>
      <c r="BF7">
        <v>10</v>
      </c>
      <c r="BG7">
        <v>220</v>
      </c>
      <c r="BH7">
        <v>16</v>
      </c>
      <c r="BI7">
        <v>160</v>
      </c>
      <c r="BL7" t="s">
        <v>316</v>
      </c>
      <c r="BN7">
        <v>10</v>
      </c>
      <c r="BO7">
        <v>220</v>
      </c>
      <c r="BP7">
        <v>16</v>
      </c>
      <c r="BQ7">
        <v>160</v>
      </c>
      <c r="BT7" t="s">
        <v>316</v>
      </c>
      <c r="BV7">
        <v>10</v>
      </c>
      <c r="BW7">
        <v>220</v>
      </c>
      <c r="BX7">
        <v>16</v>
      </c>
      <c r="BY7">
        <v>160</v>
      </c>
      <c r="CB7" t="s">
        <v>316</v>
      </c>
      <c r="CD7">
        <v>10</v>
      </c>
      <c r="CE7">
        <v>220</v>
      </c>
      <c r="CF7">
        <v>16</v>
      </c>
      <c r="CG7">
        <v>160</v>
      </c>
      <c r="CL7">
        <v>10</v>
      </c>
      <c r="CM7">
        <v>220</v>
      </c>
      <c r="CN7">
        <v>16</v>
      </c>
      <c r="CO7">
        <v>160</v>
      </c>
      <c r="CR7" t="s">
        <v>316</v>
      </c>
      <c r="CT7">
        <v>5</v>
      </c>
      <c r="CU7">
        <v>17</v>
      </c>
      <c r="CV7">
        <v>36</v>
      </c>
      <c r="CY7" t="s">
        <v>6307</v>
      </c>
    </row>
    <row r="8" spans="1:104" x14ac:dyDescent="0.25">
      <c r="A8" t="s">
        <v>476</v>
      </c>
      <c r="B8" t="s">
        <v>477</v>
      </c>
      <c r="T8">
        <v>3</v>
      </c>
      <c r="U8" t="str">
        <f>dbCorrelationTitle</f>
        <v>相關係數</v>
      </c>
      <c r="V8">
        <v>3</v>
      </c>
      <c r="W8" t="str">
        <f>dbCorrelationTitle</f>
        <v>相關係數</v>
      </c>
      <c r="X8" t="s">
        <v>450</v>
      </c>
      <c r="Y8" s="1" t="s">
        <v>658</v>
      </c>
      <c r="AH8">
        <v>5</v>
      </c>
      <c r="AI8">
        <v>18</v>
      </c>
      <c r="AJ8">
        <v>44</v>
      </c>
      <c r="AM8" t="s">
        <v>6308</v>
      </c>
      <c r="AP8">
        <v>5</v>
      </c>
      <c r="AQ8">
        <v>24</v>
      </c>
      <c r="AR8">
        <v>48</v>
      </c>
      <c r="AU8" t="s">
        <v>6309</v>
      </c>
      <c r="AX8">
        <v>12</v>
      </c>
      <c r="AZ8">
        <v>90</v>
      </c>
      <c r="BC8" t="s">
        <v>6310</v>
      </c>
      <c r="BF8">
        <v>5</v>
      </c>
      <c r="BG8">
        <v>18</v>
      </c>
      <c r="BH8">
        <v>44</v>
      </c>
      <c r="BK8" t="s">
        <v>6308</v>
      </c>
      <c r="BN8">
        <v>5</v>
      </c>
      <c r="BO8">
        <v>18</v>
      </c>
      <c r="BP8">
        <v>44</v>
      </c>
      <c r="BS8" t="s">
        <v>6308</v>
      </c>
      <c r="BV8">
        <v>5</v>
      </c>
      <c r="BW8">
        <v>17</v>
      </c>
      <c r="BX8">
        <v>40</v>
      </c>
      <c r="CA8" t="s">
        <v>6311</v>
      </c>
      <c r="CD8">
        <v>5</v>
      </c>
      <c r="CE8">
        <v>18</v>
      </c>
      <c r="CF8">
        <v>41</v>
      </c>
      <c r="CI8" t="s">
        <v>6312</v>
      </c>
      <c r="CL8">
        <v>13</v>
      </c>
      <c r="CM8">
        <v>18</v>
      </c>
      <c r="CN8">
        <v>39</v>
      </c>
      <c r="CQ8" t="s">
        <v>6313</v>
      </c>
      <c r="CR8" t="b">
        <v>0</v>
      </c>
      <c r="CT8">
        <v>7</v>
      </c>
      <c r="CU8">
        <v>244</v>
      </c>
      <c r="CV8">
        <v>34</v>
      </c>
      <c r="CW8">
        <v>150</v>
      </c>
    </row>
    <row r="9" spans="1:104" x14ac:dyDescent="0.25">
      <c r="A9" t="s">
        <v>481</v>
      </c>
      <c r="B9" t="s">
        <v>482</v>
      </c>
      <c r="T9">
        <v>4</v>
      </c>
      <c r="U9" t="str">
        <f>dbCovarianceTitle</f>
        <v>共變數</v>
      </c>
      <c r="V9">
        <v>4</v>
      </c>
      <c r="W9" t="str">
        <f>dbCovarianceTitle</f>
        <v>共變數</v>
      </c>
      <c r="X9" t="s">
        <v>483</v>
      </c>
      <c r="Y9" s="1" t="s">
        <v>666</v>
      </c>
      <c r="AH9">
        <v>111</v>
      </c>
      <c r="AN9">
        <v>1</v>
      </c>
      <c r="AP9">
        <v>10</v>
      </c>
      <c r="AQ9">
        <v>234</v>
      </c>
      <c r="AR9">
        <v>46</v>
      </c>
      <c r="AS9">
        <v>160</v>
      </c>
      <c r="AV9" t="s">
        <v>316</v>
      </c>
      <c r="AX9">
        <v>12</v>
      </c>
      <c r="AZ9">
        <v>110</v>
      </c>
      <c r="BC9" t="s">
        <v>6314</v>
      </c>
      <c r="BF9">
        <v>111</v>
      </c>
      <c r="BL9">
        <v>1</v>
      </c>
      <c r="BN9">
        <v>111</v>
      </c>
      <c r="BT9">
        <v>1</v>
      </c>
      <c r="BV9">
        <v>8</v>
      </c>
      <c r="BW9">
        <v>220</v>
      </c>
      <c r="BX9">
        <v>38</v>
      </c>
      <c r="BY9">
        <v>68</v>
      </c>
      <c r="CD9">
        <v>10</v>
      </c>
      <c r="CE9">
        <v>220</v>
      </c>
      <c r="CF9">
        <v>39</v>
      </c>
      <c r="CG9">
        <v>160</v>
      </c>
      <c r="CL9">
        <v>14</v>
      </c>
      <c r="CM9">
        <v>8</v>
      </c>
      <c r="CN9">
        <v>65</v>
      </c>
      <c r="CO9">
        <v>385</v>
      </c>
      <c r="CP9">
        <v>105</v>
      </c>
      <c r="CQ9" t="s">
        <v>6315</v>
      </c>
      <c r="CT9">
        <v>5</v>
      </c>
      <c r="CU9">
        <v>17</v>
      </c>
      <c r="CV9">
        <v>63</v>
      </c>
      <c r="CY9" t="s">
        <v>6316</v>
      </c>
    </row>
    <row r="10" spans="1:104" x14ac:dyDescent="0.25">
      <c r="A10" t="s">
        <v>505</v>
      </c>
      <c r="B10" t="s">
        <v>6317</v>
      </c>
      <c r="T10">
        <v>5</v>
      </c>
      <c r="U10" t="str">
        <f>dbDescripTitle</f>
        <v>敘述統計</v>
      </c>
      <c r="V10">
        <v>5</v>
      </c>
      <c r="W10" t="str">
        <f>dbDescripTitle</f>
        <v>敘述統計</v>
      </c>
      <c r="X10" t="s">
        <v>451</v>
      </c>
      <c r="Y10" s="1" t="s">
        <v>659</v>
      </c>
      <c r="AH10">
        <v>12</v>
      </c>
      <c r="AI10">
        <v>223</v>
      </c>
      <c r="AJ10">
        <v>40</v>
      </c>
      <c r="AM10" t="s">
        <v>6318</v>
      </c>
      <c r="AP10">
        <v>13</v>
      </c>
      <c r="AQ10">
        <v>25</v>
      </c>
      <c r="AR10">
        <v>75</v>
      </c>
      <c r="AU10" t="s">
        <v>6313</v>
      </c>
      <c r="AV10" t="b">
        <v>0</v>
      </c>
      <c r="AX10">
        <v>12</v>
      </c>
      <c r="AZ10">
        <v>130</v>
      </c>
      <c r="BC10" t="s">
        <v>6319</v>
      </c>
      <c r="BF10">
        <v>12</v>
      </c>
      <c r="BG10">
        <v>220</v>
      </c>
      <c r="BH10">
        <v>40</v>
      </c>
      <c r="BK10" t="s">
        <v>6318</v>
      </c>
      <c r="BN10">
        <v>12</v>
      </c>
      <c r="BO10">
        <v>220</v>
      </c>
      <c r="BP10">
        <v>40</v>
      </c>
      <c r="BS10" t="s">
        <v>6318</v>
      </c>
      <c r="BV10">
        <v>13</v>
      </c>
      <c r="BW10">
        <v>17</v>
      </c>
      <c r="BX10">
        <v>60</v>
      </c>
      <c r="CA10" t="s">
        <v>6313</v>
      </c>
      <c r="CB10" t="b">
        <v>0</v>
      </c>
      <c r="CD10">
        <v>13</v>
      </c>
      <c r="CE10">
        <v>18</v>
      </c>
      <c r="CF10">
        <v>64</v>
      </c>
      <c r="CI10" t="s">
        <v>6313</v>
      </c>
      <c r="CJ10" t="b">
        <v>0</v>
      </c>
      <c r="CL10">
        <v>111</v>
      </c>
      <c r="CR10">
        <v>2</v>
      </c>
      <c r="CT10">
        <v>121</v>
      </c>
      <c r="CU10">
        <v>186</v>
      </c>
      <c r="CV10">
        <v>61</v>
      </c>
      <c r="CW10">
        <v>208</v>
      </c>
      <c r="CX10">
        <v>84</v>
      </c>
      <c r="CY10" t="s">
        <v>507</v>
      </c>
      <c r="CZ10">
        <v>7</v>
      </c>
    </row>
    <row r="11" spans="1:104" x14ac:dyDescent="0.25">
      <c r="A11" t="s">
        <v>508</v>
      </c>
      <c r="B11" t="s">
        <v>6320</v>
      </c>
      <c r="T11">
        <v>6</v>
      </c>
      <c r="U11" t="str">
        <f>dbExponentTitle</f>
        <v>指數平滑法</v>
      </c>
      <c r="V11">
        <v>6</v>
      </c>
      <c r="W11" t="str">
        <f>dbExponentTitle</f>
        <v>指數平滑法</v>
      </c>
      <c r="X11" t="s">
        <v>452</v>
      </c>
      <c r="Y11" s="1" t="s">
        <v>660</v>
      </c>
      <c r="AH11">
        <v>12</v>
      </c>
      <c r="AM11" t="s">
        <v>6321</v>
      </c>
      <c r="AP11">
        <v>13</v>
      </c>
      <c r="AQ11">
        <v>197</v>
      </c>
      <c r="AR11">
        <v>75</v>
      </c>
      <c r="AU11" t="s">
        <v>6322</v>
      </c>
      <c r="AV11" t="b">
        <v>0</v>
      </c>
      <c r="AX11">
        <v>5</v>
      </c>
      <c r="AY11">
        <v>8</v>
      </c>
      <c r="AZ11">
        <v>7</v>
      </c>
      <c r="BA11">
        <v>375</v>
      </c>
      <c r="BB11">
        <v>30</v>
      </c>
      <c r="BC11" t="s">
        <v>6323</v>
      </c>
      <c r="BF11">
        <v>12</v>
      </c>
      <c r="BK11" t="s">
        <v>6321</v>
      </c>
      <c r="BN11">
        <v>12</v>
      </c>
      <c r="BS11" t="s">
        <v>6321</v>
      </c>
      <c r="BV11">
        <v>14</v>
      </c>
      <c r="BW11">
        <v>8</v>
      </c>
      <c r="BX11">
        <v>83</v>
      </c>
      <c r="BY11">
        <v>385</v>
      </c>
      <c r="BZ11">
        <v>100</v>
      </c>
      <c r="CA11" t="s">
        <v>6301</v>
      </c>
      <c r="CD11">
        <v>5</v>
      </c>
      <c r="CE11">
        <v>18</v>
      </c>
      <c r="CF11">
        <v>85</v>
      </c>
      <c r="CI11" t="s">
        <v>3550</v>
      </c>
      <c r="CL11">
        <v>12</v>
      </c>
      <c r="CM11">
        <v>18</v>
      </c>
      <c r="CN11">
        <v>82</v>
      </c>
      <c r="CQ11" t="s">
        <v>6324</v>
      </c>
      <c r="CT11">
        <v>14</v>
      </c>
      <c r="CU11">
        <v>9</v>
      </c>
      <c r="CV11">
        <v>85</v>
      </c>
      <c r="CW11">
        <v>385</v>
      </c>
      <c r="CX11">
        <v>92</v>
      </c>
      <c r="CY11" t="s">
        <v>6325</v>
      </c>
    </row>
    <row r="12" spans="1:104" x14ac:dyDescent="0.25">
      <c r="A12" t="s">
        <v>328</v>
      </c>
      <c r="B12" t="s">
        <v>329</v>
      </c>
      <c r="T12">
        <v>7</v>
      </c>
      <c r="U12" t="str">
        <f>dbFTestTitle</f>
        <v>F-檢定：兩個常態母體變異數的檢定</v>
      </c>
      <c r="V12">
        <v>7</v>
      </c>
      <c r="W12" t="str">
        <f>dbFTestTitle</f>
        <v>F-檢定：兩個常態母體變異數的檢定</v>
      </c>
      <c r="X12" t="s">
        <v>584</v>
      </c>
      <c r="Y12" s="1" t="s">
        <v>661</v>
      </c>
      <c r="AH12">
        <v>13</v>
      </c>
      <c r="AI12">
        <v>20</v>
      </c>
      <c r="AJ12">
        <v>75</v>
      </c>
      <c r="AM12" t="s">
        <v>6326</v>
      </c>
      <c r="AN12" t="b">
        <v>0</v>
      </c>
      <c r="AP12">
        <v>113</v>
      </c>
      <c r="AQ12">
        <v>25</v>
      </c>
      <c r="AR12">
        <v>93</v>
      </c>
      <c r="AU12" t="s">
        <v>6327</v>
      </c>
      <c r="AV12" t="b">
        <v>0</v>
      </c>
      <c r="AX12">
        <v>5</v>
      </c>
      <c r="AY12">
        <v>43</v>
      </c>
      <c r="AZ12">
        <v>73</v>
      </c>
      <c r="BA12">
        <v>233</v>
      </c>
      <c r="BB12">
        <v>16</v>
      </c>
      <c r="BC12" t="s">
        <v>330</v>
      </c>
      <c r="BF12">
        <v>13</v>
      </c>
      <c r="BG12">
        <v>20</v>
      </c>
      <c r="BH12">
        <v>75</v>
      </c>
      <c r="BK12" t="s">
        <v>6320</v>
      </c>
      <c r="BL12" t="b">
        <v>0</v>
      </c>
      <c r="BN12">
        <v>13</v>
      </c>
      <c r="BO12">
        <v>18</v>
      </c>
      <c r="BP12">
        <v>75</v>
      </c>
      <c r="BS12" t="s">
        <v>6320</v>
      </c>
      <c r="BT12" t="b">
        <v>0</v>
      </c>
      <c r="BV12">
        <v>5</v>
      </c>
      <c r="CB12">
        <v>1</v>
      </c>
      <c r="CD12">
        <v>8</v>
      </c>
      <c r="CE12">
        <v>76</v>
      </c>
      <c r="CF12">
        <v>83</v>
      </c>
      <c r="CG12">
        <v>68</v>
      </c>
      <c r="CJ12">
        <v>0.05</v>
      </c>
      <c r="CL12">
        <v>12</v>
      </c>
      <c r="CN12">
        <v>125</v>
      </c>
      <c r="CQ12" t="s">
        <v>6328</v>
      </c>
      <c r="CT12">
        <v>5</v>
      </c>
      <c r="CZ12" t="s">
        <v>332</v>
      </c>
    </row>
    <row r="13" spans="1:104" x14ac:dyDescent="0.25">
      <c r="A13" t="s">
        <v>333</v>
      </c>
      <c r="B13" t="s">
        <v>482</v>
      </c>
      <c r="T13">
        <v>8</v>
      </c>
      <c r="U13" t="str">
        <f>dbFourierTitle</f>
        <v>傅立葉分析</v>
      </c>
      <c r="V13">
        <v>8</v>
      </c>
      <c r="W13" t="str">
        <f>dbFourierTitle</f>
        <v>傅立葉分析</v>
      </c>
      <c r="X13" t="s">
        <v>334</v>
      </c>
      <c r="Y13" s="1" t="s">
        <v>667</v>
      </c>
      <c r="AH13">
        <v>5</v>
      </c>
      <c r="AI13">
        <v>21</v>
      </c>
      <c r="AJ13">
        <v>97</v>
      </c>
      <c r="AM13" t="s">
        <v>3550</v>
      </c>
      <c r="AP13">
        <v>208</v>
      </c>
      <c r="AQ13">
        <v>197</v>
      </c>
      <c r="AR13">
        <v>93</v>
      </c>
      <c r="AS13">
        <v>56</v>
      </c>
      <c r="AV13">
        <v>95</v>
      </c>
      <c r="AX13">
        <v>210</v>
      </c>
      <c r="AY13">
        <v>223</v>
      </c>
      <c r="AZ13">
        <v>88</v>
      </c>
      <c r="BA13">
        <v>160</v>
      </c>
      <c r="BD13" t="s">
        <v>330</v>
      </c>
      <c r="BF13">
        <v>14</v>
      </c>
      <c r="BG13">
        <v>8</v>
      </c>
      <c r="BH13">
        <v>104</v>
      </c>
      <c r="BI13">
        <v>385</v>
      </c>
      <c r="BJ13">
        <v>81</v>
      </c>
      <c r="BK13" t="s">
        <v>6301</v>
      </c>
      <c r="BN13">
        <v>14</v>
      </c>
      <c r="BO13">
        <v>8</v>
      </c>
      <c r="BP13">
        <v>110</v>
      </c>
      <c r="BQ13">
        <v>385</v>
      </c>
      <c r="BR13">
        <v>160</v>
      </c>
      <c r="BS13" t="s">
        <v>6301</v>
      </c>
      <c r="BV13">
        <v>5</v>
      </c>
      <c r="BW13">
        <v>17</v>
      </c>
      <c r="BX13">
        <v>99</v>
      </c>
      <c r="CA13" t="s">
        <v>6329</v>
      </c>
      <c r="CD13">
        <v>14</v>
      </c>
      <c r="CE13">
        <v>8</v>
      </c>
      <c r="CF13">
        <v>116</v>
      </c>
      <c r="CG13">
        <v>385</v>
      </c>
      <c r="CH13">
        <v>81</v>
      </c>
      <c r="CI13" t="s">
        <v>6301</v>
      </c>
      <c r="CL13">
        <v>5</v>
      </c>
      <c r="CM13">
        <v>42</v>
      </c>
      <c r="CN13">
        <v>103</v>
      </c>
      <c r="CQ13" t="s">
        <v>6330</v>
      </c>
      <c r="CT13">
        <v>5</v>
      </c>
    </row>
    <row r="14" spans="1:104" x14ac:dyDescent="0.25">
      <c r="A14" t="s">
        <v>404</v>
      </c>
      <c r="B14" t="s">
        <v>6331</v>
      </c>
      <c r="T14">
        <v>9</v>
      </c>
      <c r="U14" t="str">
        <f>dbHistogramTitle</f>
        <v>直方圖</v>
      </c>
      <c r="V14">
        <v>9</v>
      </c>
      <c r="W14" t="str">
        <f>dbHistogramTitle</f>
        <v>直方圖</v>
      </c>
      <c r="X14" t="s">
        <v>520</v>
      </c>
      <c r="Y14" s="1" t="s">
        <v>668</v>
      </c>
      <c r="AH14">
        <v>8</v>
      </c>
      <c r="AI14">
        <v>76</v>
      </c>
      <c r="AJ14">
        <v>95</v>
      </c>
      <c r="AK14">
        <v>68</v>
      </c>
      <c r="AN14">
        <v>0.05</v>
      </c>
      <c r="AP14">
        <v>5</v>
      </c>
      <c r="AQ14">
        <v>258</v>
      </c>
      <c r="AR14">
        <v>96</v>
      </c>
      <c r="AU14" t="s">
        <v>521</v>
      </c>
      <c r="AX14">
        <v>210</v>
      </c>
      <c r="AY14">
        <v>223</v>
      </c>
      <c r="AZ14">
        <v>108</v>
      </c>
      <c r="BA14">
        <v>160</v>
      </c>
      <c r="BF14">
        <v>111</v>
      </c>
      <c r="BL14">
        <v>2</v>
      </c>
      <c r="BN14">
        <v>111</v>
      </c>
      <c r="BT14">
        <v>2</v>
      </c>
      <c r="BV14">
        <v>10</v>
      </c>
      <c r="BW14">
        <v>220</v>
      </c>
      <c r="BX14">
        <v>97</v>
      </c>
      <c r="BY14">
        <v>160</v>
      </c>
      <c r="CB14" t="s">
        <v>316</v>
      </c>
      <c r="CD14">
        <v>111</v>
      </c>
      <c r="CJ14">
        <v>2</v>
      </c>
      <c r="CL14">
        <v>207</v>
      </c>
      <c r="CM14">
        <v>220</v>
      </c>
      <c r="CN14">
        <v>99</v>
      </c>
      <c r="CO14">
        <v>128</v>
      </c>
      <c r="CT14">
        <v>5</v>
      </c>
    </row>
    <row r="15" spans="1:104" x14ac:dyDescent="0.25">
      <c r="A15" t="s">
        <v>522</v>
      </c>
      <c r="B15" t="s">
        <v>6332</v>
      </c>
      <c r="T15">
        <v>10</v>
      </c>
      <c r="U15" t="str">
        <f>dbMovingTitle</f>
        <v>移動平均法</v>
      </c>
      <c r="V15">
        <v>10</v>
      </c>
      <c r="W15" t="str">
        <f>dbMovingTitle</f>
        <v>移動平均法</v>
      </c>
      <c r="X15" t="s">
        <v>524</v>
      </c>
      <c r="Y15" s="1" t="s">
        <v>669</v>
      </c>
      <c r="AH15">
        <v>14</v>
      </c>
      <c r="AI15">
        <v>8</v>
      </c>
      <c r="AJ15">
        <v>129</v>
      </c>
      <c r="AK15">
        <v>388</v>
      </c>
      <c r="AL15">
        <v>86</v>
      </c>
      <c r="AM15" t="s">
        <v>6301</v>
      </c>
      <c r="AP15">
        <v>14</v>
      </c>
      <c r="AQ15">
        <v>7</v>
      </c>
      <c r="AR15">
        <v>124</v>
      </c>
      <c r="AS15">
        <v>403</v>
      </c>
      <c r="AT15">
        <v>179</v>
      </c>
      <c r="AU15" t="s">
        <v>6301</v>
      </c>
      <c r="AX15">
        <v>24</v>
      </c>
      <c r="AY15">
        <v>418</v>
      </c>
      <c r="AZ15">
        <v>66</v>
      </c>
      <c r="BA15">
        <v>104</v>
      </c>
      <c r="BC15" t="s">
        <v>6333</v>
      </c>
      <c r="BF15">
        <v>12</v>
      </c>
      <c r="BG15">
        <v>20</v>
      </c>
      <c r="BH15">
        <v>120</v>
      </c>
      <c r="BK15" t="s">
        <v>6329</v>
      </c>
      <c r="BN15">
        <v>12</v>
      </c>
      <c r="BO15">
        <v>18</v>
      </c>
      <c r="BP15">
        <v>127</v>
      </c>
      <c r="BS15" t="s">
        <v>6329</v>
      </c>
      <c r="BV15">
        <v>205</v>
      </c>
      <c r="BW15">
        <v>17</v>
      </c>
      <c r="BX15">
        <v>119</v>
      </c>
      <c r="CA15" t="s">
        <v>6314</v>
      </c>
      <c r="CD15">
        <v>12</v>
      </c>
      <c r="CE15">
        <v>18</v>
      </c>
      <c r="CF15">
        <v>132</v>
      </c>
      <c r="CI15" t="s">
        <v>6329</v>
      </c>
      <c r="CL15">
        <v>5</v>
      </c>
      <c r="CM15">
        <v>42</v>
      </c>
      <c r="CN15">
        <v>146</v>
      </c>
      <c r="CQ15" t="s">
        <v>6334</v>
      </c>
      <c r="CT15">
        <v>5</v>
      </c>
    </row>
    <row r="16" spans="1:104" x14ac:dyDescent="0.25">
      <c r="A16" t="s">
        <v>526</v>
      </c>
      <c r="B16" t="s">
        <v>6335</v>
      </c>
      <c r="T16">
        <v>11</v>
      </c>
      <c r="U16" t="str">
        <f>dbRandomTitle</f>
        <v>亂數產生器</v>
      </c>
      <c r="V16">
        <v>11</v>
      </c>
      <c r="W16" t="str">
        <f>dbRandomTitle</f>
        <v>亂數產生器</v>
      </c>
      <c r="X16" t="s">
        <v>586</v>
      </c>
      <c r="Y16" s="1" t="s">
        <v>663</v>
      </c>
      <c r="AH16">
        <v>111</v>
      </c>
      <c r="AN16">
        <v>2</v>
      </c>
      <c r="AP16">
        <v>111</v>
      </c>
      <c r="AV16">
        <v>2</v>
      </c>
      <c r="BF16">
        <v>12</v>
      </c>
      <c r="BH16">
        <v>140</v>
      </c>
      <c r="BK16" t="s">
        <v>6314</v>
      </c>
      <c r="BN16">
        <v>12</v>
      </c>
      <c r="BP16">
        <v>147</v>
      </c>
      <c r="BS16" t="s">
        <v>6314</v>
      </c>
      <c r="BV16">
        <v>206</v>
      </c>
      <c r="BW16">
        <v>220</v>
      </c>
      <c r="BX16">
        <v>117</v>
      </c>
      <c r="BY16">
        <v>160</v>
      </c>
      <c r="CD16">
        <v>12</v>
      </c>
      <c r="CF16">
        <v>152</v>
      </c>
      <c r="CI16" t="s">
        <v>6314</v>
      </c>
      <c r="CL16">
        <v>7</v>
      </c>
      <c r="CM16">
        <v>220</v>
      </c>
      <c r="CN16">
        <v>142</v>
      </c>
      <c r="CO16">
        <v>128</v>
      </c>
      <c r="CT16">
        <v>5</v>
      </c>
    </row>
    <row r="17" spans="1:104" x14ac:dyDescent="0.25">
      <c r="A17" t="s">
        <v>528</v>
      </c>
      <c r="B17" t="s">
        <v>6336</v>
      </c>
      <c r="T17">
        <v>12</v>
      </c>
      <c r="U17" t="str">
        <f>dbRankPerTitle</f>
        <v>等級和百分比</v>
      </c>
      <c r="V17">
        <v>12</v>
      </c>
      <c r="W17" t="str">
        <f>dbRankPerTitle</f>
        <v>等級和百分比</v>
      </c>
      <c r="X17" t="s">
        <v>530</v>
      </c>
      <c r="Y17" s="1" t="s">
        <v>670</v>
      </c>
      <c r="AH17">
        <v>12</v>
      </c>
      <c r="AI17">
        <v>20</v>
      </c>
      <c r="AJ17">
        <v>149</v>
      </c>
      <c r="AM17" t="s">
        <v>6329</v>
      </c>
      <c r="AP17">
        <v>12</v>
      </c>
      <c r="AQ17">
        <v>24</v>
      </c>
      <c r="AR17">
        <v>142</v>
      </c>
      <c r="AU17" t="s">
        <v>6329</v>
      </c>
      <c r="BF17">
        <v>12</v>
      </c>
      <c r="BH17">
        <v>160</v>
      </c>
      <c r="BK17" t="s">
        <v>6319</v>
      </c>
      <c r="BN17">
        <v>12</v>
      </c>
      <c r="BP17">
        <v>167</v>
      </c>
      <c r="BS17" t="s">
        <v>6319</v>
      </c>
      <c r="BV17">
        <v>205</v>
      </c>
      <c r="BW17">
        <v>17</v>
      </c>
      <c r="BX17">
        <v>139</v>
      </c>
      <c r="CA17" t="s">
        <v>6319</v>
      </c>
      <c r="CD17">
        <v>12</v>
      </c>
      <c r="CF17">
        <v>172</v>
      </c>
      <c r="CI17" t="s">
        <v>6319</v>
      </c>
      <c r="CL17">
        <v>14</v>
      </c>
      <c r="CM17">
        <v>8</v>
      </c>
      <c r="CN17">
        <v>174</v>
      </c>
      <c r="CO17">
        <v>385</v>
      </c>
      <c r="CP17">
        <v>81</v>
      </c>
      <c r="CQ17" t="s">
        <v>6301</v>
      </c>
      <c r="CT17">
        <v>5</v>
      </c>
    </row>
    <row r="18" spans="1:104" x14ac:dyDescent="0.25">
      <c r="A18" t="s">
        <v>531</v>
      </c>
      <c r="B18" t="s">
        <v>6337</v>
      </c>
      <c r="T18">
        <v>13</v>
      </c>
      <c r="U18" t="str">
        <f>dbRegressionTitle</f>
        <v>迴歸</v>
      </c>
      <c r="V18">
        <v>13</v>
      </c>
      <c r="W18" t="str">
        <f>dbRegressionTitle</f>
        <v>迴歸</v>
      </c>
      <c r="X18" t="s">
        <v>448</v>
      </c>
      <c r="Y18" s="1" t="s">
        <v>657</v>
      </c>
      <c r="AH18">
        <v>12</v>
      </c>
      <c r="AJ18">
        <v>169</v>
      </c>
      <c r="AM18" t="s">
        <v>6314</v>
      </c>
      <c r="AP18">
        <v>12</v>
      </c>
      <c r="AR18">
        <v>162</v>
      </c>
      <c r="AU18" t="s">
        <v>6314</v>
      </c>
      <c r="BF18">
        <v>210</v>
      </c>
      <c r="BG18">
        <v>220</v>
      </c>
      <c r="BH18">
        <v>118</v>
      </c>
      <c r="BI18">
        <v>160</v>
      </c>
      <c r="BL18" t="s">
        <v>316</v>
      </c>
      <c r="BN18">
        <v>210</v>
      </c>
      <c r="BO18">
        <v>220</v>
      </c>
      <c r="BP18">
        <v>125</v>
      </c>
      <c r="BQ18">
        <v>160</v>
      </c>
      <c r="BT18" t="s">
        <v>316</v>
      </c>
      <c r="BV18">
        <v>13</v>
      </c>
      <c r="BW18">
        <v>17</v>
      </c>
      <c r="BX18">
        <v>161</v>
      </c>
      <c r="CA18" t="s">
        <v>6338</v>
      </c>
      <c r="CB18" t="b">
        <v>0</v>
      </c>
      <c r="CD18">
        <v>210</v>
      </c>
      <c r="CE18">
        <v>220</v>
      </c>
      <c r="CF18">
        <v>130</v>
      </c>
      <c r="CG18">
        <v>160</v>
      </c>
      <c r="CL18">
        <v>111</v>
      </c>
      <c r="CR18">
        <v>2</v>
      </c>
      <c r="CT18">
        <v>5</v>
      </c>
    </row>
    <row r="19" spans="1:104" x14ac:dyDescent="0.25">
      <c r="A19" t="s">
        <v>124</v>
      </c>
      <c r="B19" t="s">
        <v>6339</v>
      </c>
      <c r="T19">
        <v>14</v>
      </c>
      <c r="U19" t="str">
        <f>dbSamplingTitle</f>
        <v>抽樣</v>
      </c>
      <c r="V19">
        <v>14</v>
      </c>
      <c r="W19" t="str">
        <f>dbSamplingTitle</f>
        <v>抽樣</v>
      </c>
      <c r="X19" t="s">
        <v>585</v>
      </c>
      <c r="Y19" s="1" t="s">
        <v>662</v>
      </c>
      <c r="AH19">
        <v>12</v>
      </c>
      <c r="AJ19">
        <v>189</v>
      </c>
      <c r="AM19" t="s">
        <v>6319</v>
      </c>
      <c r="AP19">
        <v>12</v>
      </c>
      <c r="AR19">
        <v>182</v>
      </c>
      <c r="AU19" t="s">
        <v>6319</v>
      </c>
      <c r="BF19">
        <v>6</v>
      </c>
      <c r="BG19">
        <v>220</v>
      </c>
      <c r="BH19">
        <v>138</v>
      </c>
      <c r="BI19">
        <v>160</v>
      </c>
      <c r="BN19">
        <v>6</v>
      </c>
      <c r="BO19">
        <v>220</v>
      </c>
      <c r="BP19">
        <v>145</v>
      </c>
      <c r="BQ19">
        <v>160</v>
      </c>
      <c r="BV19">
        <v>13</v>
      </c>
      <c r="BW19">
        <v>220</v>
      </c>
      <c r="BX19">
        <v>161</v>
      </c>
      <c r="CA19" t="s">
        <v>6340</v>
      </c>
      <c r="CB19" t="b">
        <v>0</v>
      </c>
      <c r="CD19">
        <v>6</v>
      </c>
      <c r="CE19">
        <v>220</v>
      </c>
      <c r="CF19">
        <v>150</v>
      </c>
      <c r="CG19">
        <v>160</v>
      </c>
      <c r="CL19">
        <v>12</v>
      </c>
      <c r="CM19">
        <v>18</v>
      </c>
      <c r="CN19">
        <v>190</v>
      </c>
      <c r="CQ19" t="s">
        <v>6329</v>
      </c>
      <c r="CT19">
        <v>5</v>
      </c>
    </row>
    <row r="20" spans="1:104" x14ac:dyDescent="0.25">
      <c r="A20" t="s">
        <v>343</v>
      </c>
      <c r="B20" t="s">
        <v>6290</v>
      </c>
      <c r="T20">
        <v>15</v>
      </c>
      <c r="U20" t="str">
        <f>dbTTest1Title</f>
        <v>t 檢定：成對母體平均數差異檢定</v>
      </c>
      <c r="V20">
        <v>15</v>
      </c>
      <c r="W20" t="str">
        <f>dbTTest1Title</f>
        <v>t 檢定：成對母體平均數差異檢定</v>
      </c>
      <c r="X20" t="s">
        <v>344</v>
      </c>
      <c r="Y20" s="1" t="s">
        <v>671</v>
      </c>
      <c r="AH20">
        <v>210</v>
      </c>
      <c r="AI20">
        <v>223</v>
      </c>
      <c r="AJ20">
        <v>147</v>
      </c>
      <c r="AK20">
        <v>160</v>
      </c>
      <c r="AN20" t="s">
        <v>316</v>
      </c>
      <c r="AP20">
        <v>210</v>
      </c>
      <c r="AQ20">
        <v>234</v>
      </c>
      <c r="AR20">
        <v>140</v>
      </c>
      <c r="AS20">
        <v>160</v>
      </c>
      <c r="AV20" t="s">
        <v>316</v>
      </c>
      <c r="BF20">
        <v>24</v>
      </c>
      <c r="BG20">
        <v>407</v>
      </c>
      <c r="BH20">
        <v>57</v>
      </c>
      <c r="BI20">
        <v>90</v>
      </c>
      <c r="BN20">
        <v>13</v>
      </c>
      <c r="BO20">
        <v>18</v>
      </c>
      <c r="BP20">
        <v>189</v>
      </c>
      <c r="BS20" t="s">
        <v>6341</v>
      </c>
      <c r="BT20" t="b">
        <v>0</v>
      </c>
      <c r="BV20">
        <v>24</v>
      </c>
      <c r="BW20">
        <v>407</v>
      </c>
      <c r="BX20">
        <v>57</v>
      </c>
      <c r="BY20">
        <v>90</v>
      </c>
      <c r="CD20">
        <v>24</v>
      </c>
      <c r="CE20">
        <v>407</v>
      </c>
      <c r="CF20">
        <v>57</v>
      </c>
      <c r="CG20">
        <v>90</v>
      </c>
      <c r="CL20">
        <v>12</v>
      </c>
      <c r="CN20">
        <v>210</v>
      </c>
      <c r="CQ20" t="s">
        <v>6314</v>
      </c>
      <c r="CT20">
        <v>5</v>
      </c>
    </row>
    <row r="21" spans="1:104" x14ac:dyDescent="0.25">
      <c r="A21" t="s">
        <v>346</v>
      </c>
      <c r="B21" t="s">
        <v>347</v>
      </c>
      <c r="T21">
        <v>16</v>
      </c>
      <c r="U21" t="str">
        <f>dbTTest2Title</f>
        <v>t 檢定：兩個母體平均數差的檢定，假設變異數相等</v>
      </c>
      <c r="V21">
        <v>16</v>
      </c>
      <c r="W21" t="str">
        <f>dbTTest2Title</f>
        <v>t 檢定：兩個母體平均數差的檢定，假設變異數相等</v>
      </c>
      <c r="X21" t="s">
        <v>445</v>
      </c>
      <c r="Y21" s="1" t="s">
        <v>672</v>
      </c>
      <c r="AH21">
        <v>6</v>
      </c>
      <c r="AI21">
        <v>223</v>
      </c>
      <c r="AJ21">
        <v>167</v>
      </c>
      <c r="AK21">
        <v>160</v>
      </c>
      <c r="AP21">
        <v>6</v>
      </c>
      <c r="AQ21">
        <v>234</v>
      </c>
      <c r="AR21">
        <v>160</v>
      </c>
      <c r="AS21">
        <v>160</v>
      </c>
      <c r="BN21">
        <v>113</v>
      </c>
      <c r="BO21">
        <v>18</v>
      </c>
      <c r="BP21">
        <v>209</v>
      </c>
      <c r="BS21" t="s">
        <v>6342</v>
      </c>
      <c r="BT21" t="b">
        <v>0</v>
      </c>
      <c r="CL21">
        <v>12</v>
      </c>
      <c r="CN21">
        <v>230</v>
      </c>
      <c r="CQ21" t="s">
        <v>6319</v>
      </c>
      <c r="CT21">
        <v>5</v>
      </c>
    </row>
    <row r="22" spans="1:104" x14ac:dyDescent="0.25">
      <c r="A22" t="s">
        <v>440</v>
      </c>
      <c r="B22" t="s">
        <v>6291</v>
      </c>
      <c r="T22">
        <v>17</v>
      </c>
      <c r="U22" t="str">
        <f>dbTTest3Title</f>
        <v>t 檢定：兩個母體平均數差的檢定，假設變異數不相等</v>
      </c>
      <c r="V22">
        <v>17</v>
      </c>
      <c r="W22" t="str">
        <f>dbTTest3Title</f>
        <v>t 檢定：兩個母體平均數差的檢定，假設變異數不相等</v>
      </c>
      <c r="X22" t="s">
        <v>441</v>
      </c>
      <c r="Y22" s="1" t="s">
        <v>673</v>
      </c>
      <c r="AH22">
        <v>24</v>
      </c>
      <c r="AI22">
        <v>412</v>
      </c>
      <c r="AJ22">
        <v>57</v>
      </c>
      <c r="AK22">
        <v>90</v>
      </c>
      <c r="AP22">
        <v>14</v>
      </c>
      <c r="AQ22">
        <v>15</v>
      </c>
      <c r="AR22">
        <v>202</v>
      </c>
      <c r="AS22">
        <v>384</v>
      </c>
      <c r="AT22">
        <v>53</v>
      </c>
      <c r="AU22" t="s">
        <v>6343</v>
      </c>
      <c r="BF22" t="s">
        <v>483</v>
      </c>
      <c r="BN22">
        <v>208</v>
      </c>
      <c r="BO22">
        <v>260</v>
      </c>
      <c r="BP22">
        <v>207</v>
      </c>
      <c r="BQ22">
        <v>54</v>
      </c>
      <c r="BT22">
        <v>95</v>
      </c>
      <c r="CL22">
        <v>210</v>
      </c>
      <c r="CM22">
        <v>220</v>
      </c>
      <c r="CN22">
        <v>188</v>
      </c>
      <c r="CO22">
        <v>160</v>
      </c>
      <c r="CR22" t="s">
        <v>316</v>
      </c>
      <c r="CT22">
        <v>5</v>
      </c>
      <c r="CU22">
        <v>23</v>
      </c>
      <c r="CV22">
        <v>107</v>
      </c>
      <c r="CY22" t="s">
        <v>6344</v>
      </c>
    </row>
    <row r="23" spans="1:104" x14ac:dyDescent="0.25">
      <c r="A23" t="s">
        <v>443</v>
      </c>
      <c r="B23" t="s">
        <v>6345</v>
      </c>
      <c r="T23">
        <v>18</v>
      </c>
      <c r="U23" t="str">
        <f>dbZTestTitle</f>
        <v>z-檢定：兩個母體平均數差異檢定</v>
      </c>
      <c r="V23">
        <v>18</v>
      </c>
      <c r="W23" t="str">
        <f>dbZTestTitle</f>
        <v>z-檢定：兩個母體平均數差異檢定</v>
      </c>
      <c r="X23" t="s">
        <v>357</v>
      </c>
      <c r="Y23" s="1" t="s">
        <v>674</v>
      </c>
      <c r="AP23">
        <v>13</v>
      </c>
      <c r="AR23">
        <v>216</v>
      </c>
      <c r="AU23" t="s">
        <v>6346</v>
      </c>
      <c r="AV23" t="b">
        <v>0</v>
      </c>
      <c r="BF23" s="1" t="s">
        <v>666</v>
      </c>
      <c r="BI23">
        <v>523</v>
      </c>
      <c r="BJ23">
        <v>191</v>
      </c>
      <c r="BK23" t="s">
        <v>6347</v>
      </c>
      <c r="BL23">
        <v>5</v>
      </c>
      <c r="BN23">
        <v>5</v>
      </c>
      <c r="BO23">
        <v>320</v>
      </c>
      <c r="BP23">
        <v>209</v>
      </c>
      <c r="BS23" t="s">
        <v>521</v>
      </c>
      <c r="CL23">
        <v>6</v>
      </c>
      <c r="CM23">
        <v>220</v>
      </c>
      <c r="CN23">
        <v>208</v>
      </c>
      <c r="CO23">
        <v>160</v>
      </c>
      <c r="CT23">
        <v>10</v>
      </c>
      <c r="CU23">
        <v>21</v>
      </c>
      <c r="CV23">
        <v>123</v>
      </c>
      <c r="CW23">
        <v>279</v>
      </c>
    </row>
    <row r="24" spans="1:104" x14ac:dyDescent="0.25">
      <c r="A24" t="s">
        <v>360</v>
      </c>
      <c r="B24" t="s">
        <v>6348</v>
      </c>
      <c r="X24" t="s">
        <v>551</v>
      </c>
      <c r="AP24">
        <v>13</v>
      </c>
      <c r="AR24">
        <v>231</v>
      </c>
      <c r="AU24" t="s">
        <v>6349</v>
      </c>
      <c r="AV24" t="b">
        <v>0</v>
      </c>
      <c r="BF24">
        <v>1</v>
      </c>
      <c r="BG24">
        <v>407</v>
      </c>
      <c r="BH24">
        <v>7</v>
      </c>
      <c r="BI24">
        <v>90</v>
      </c>
      <c r="BK24" t="s">
        <v>6299</v>
      </c>
      <c r="BN24">
        <v>113</v>
      </c>
      <c r="BO24">
        <v>18</v>
      </c>
      <c r="BP24">
        <v>228</v>
      </c>
      <c r="BS24" t="s">
        <v>6350</v>
      </c>
      <c r="BT24" t="b">
        <v>0</v>
      </c>
      <c r="CD24" t="s">
        <v>344</v>
      </c>
      <c r="CL24">
        <v>24</v>
      </c>
      <c r="CM24">
        <v>407</v>
      </c>
      <c r="CN24">
        <v>57</v>
      </c>
      <c r="CO24">
        <v>90</v>
      </c>
      <c r="CT24">
        <v>5</v>
      </c>
      <c r="CU24">
        <v>17</v>
      </c>
      <c r="CV24">
        <v>187</v>
      </c>
      <c r="CY24" t="s">
        <v>6351</v>
      </c>
    </row>
    <row r="25" spans="1:104" x14ac:dyDescent="0.25">
      <c r="A25" t="s">
        <v>552</v>
      </c>
      <c r="B25" t="s">
        <v>6352</v>
      </c>
      <c r="X25" t="s">
        <v>554</v>
      </c>
      <c r="AH25" t="s">
        <v>614</v>
      </c>
      <c r="AP25">
        <v>13</v>
      </c>
      <c r="AQ25">
        <v>247</v>
      </c>
      <c r="AR25">
        <v>216</v>
      </c>
      <c r="AU25" t="s">
        <v>6353</v>
      </c>
      <c r="AV25" t="b">
        <v>0</v>
      </c>
      <c r="BF25">
        <v>2</v>
      </c>
      <c r="BG25">
        <v>407</v>
      </c>
      <c r="BH25">
        <v>30</v>
      </c>
      <c r="BI25">
        <v>90</v>
      </c>
      <c r="BK25" t="s">
        <v>6008</v>
      </c>
      <c r="BN25">
        <v>207</v>
      </c>
      <c r="BO25">
        <v>215</v>
      </c>
      <c r="BP25">
        <v>227</v>
      </c>
      <c r="BQ25">
        <v>100</v>
      </c>
      <c r="BT25">
        <v>1</v>
      </c>
      <c r="CD25" s="1" t="s">
        <v>671</v>
      </c>
      <c r="CG25">
        <v>550</v>
      </c>
      <c r="CH25">
        <v>227</v>
      </c>
      <c r="CI25" t="s">
        <v>6354</v>
      </c>
      <c r="CJ25">
        <v>5</v>
      </c>
      <c r="CT25">
        <v>7</v>
      </c>
      <c r="CU25">
        <v>220</v>
      </c>
      <c r="CV25">
        <v>185</v>
      </c>
      <c r="CW25">
        <v>160</v>
      </c>
      <c r="CZ25" t="s">
        <v>316</v>
      </c>
    </row>
    <row r="26" spans="1:104" x14ac:dyDescent="0.25">
      <c r="A26" t="s">
        <v>573</v>
      </c>
      <c r="B26" t="s">
        <v>6355</v>
      </c>
      <c r="X26" t="s">
        <v>376</v>
      </c>
      <c r="AH26" s="1" t="s">
        <v>664</v>
      </c>
      <c r="AK26">
        <v>509</v>
      </c>
      <c r="AL26">
        <v>187</v>
      </c>
      <c r="AM26" t="s">
        <v>6345</v>
      </c>
      <c r="AN26">
        <v>5</v>
      </c>
      <c r="AP26">
        <v>13</v>
      </c>
      <c r="AR26">
        <v>231</v>
      </c>
      <c r="AU26" t="s">
        <v>6356</v>
      </c>
      <c r="AV26" t="b">
        <v>0</v>
      </c>
      <c r="BF26">
        <v>14</v>
      </c>
      <c r="BG26">
        <v>8</v>
      </c>
      <c r="BH26">
        <v>3</v>
      </c>
      <c r="BI26">
        <v>385</v>
      </c>
      <c r="BJ26">
        <v>94</v>
      </c>
      <c r="BK26" t="s">
        <v>6300</v>
      </c>
      <c r="BN26">
        <v>113</v>
      </c>
      <c r="BO26">
        <v>18</v>
      </c>
      <c r="BP26">
        <v>247</v>
      </c>
      <c r="BS26" t="s">
        <v>6357</v>
      </c>
      <c r="BT26" t="b">
        <v>0</v>
      </c>
      <c r="CD26">
        <v>1</v>
      </c>
      <c r="CE26">
        <v>440</v>
      </c>
      <c r="CF26">
        <v>7</v>
      </c>
      <c r="CG26">
        <v>90</v>
      </c>
      <c r="CI26" t="s">
        <v>6299</v>
      </c>
      <c r="CT26">
        <v>14</v>
      </c>
      <c r="CU26">
        <v>9</v>
      </c>
      <c r="CV26">
        <v>209</v>
      </c>
      <c r="CW26">
        <v>385</v>
      </c>
      <c r="CX26">
        <v>81</v>
      </c>
      <c r="CY26" t="s">
        <v>6301</v>
      </c>
    </row>
    <row r="27" spans="1:104" x14ac:dyDescent="0.25">
      <c r="A27" t="s">
        <v>377</v>
      </c>
      <c r="B27" t="s">
        <v>6358</v>
      </c>
      <c r="X27" t="s">
        <v>379</v>
      </c>
      <c r="AH27">
        <v>1</v>
      </c>
      <c r="AI27">
        <v>407</v>
      </c>
      <c r="AJ27">
        <v>7</v>
      </c>
      <c r="AK27">
        <v>90</v>
      </c>
      <c r="AM27" t="s">
        <v>6299</v>
      </c>
      <c r="AP27">
        <v>14</v>
      </c>
      <c r="AQ27">
        <v>15</v>
      </c>
      <c r="AR27">
        <v>258</v>
      </c>
      <c r="AS27">
        <v>384</v>
      </c>
      <c r="AT27">
        <v>35</v>
      </c>
      <c r="AU27" t="s">
        <v>6359</v>
      </c>
      <c r="BF27">
        <v>5</v>
      </c>
      <c r="BG27">
        <v>18</v>
      </c>
      <c r="BH27">
        <v>19</v>
      </c>
      <c r="BK27" t="s">
        <v>6303</v>
      </c>
      <c r="BN27">
        <v>207</v>
      </c>
      <c r="BO27">
        <v>215</v>
      </c>
      <c r="BP27">
        <v>245</v>
      </c>
      <c r="BQ27">
        <v>100</v>
      </c>
      <c r="BT27">
        <v>1</v>
      </c>
      <c r="CD27">
        <v>2</v>
      </c>
      <c r="CE27">
        <v>440</v>
      </c>
      <c r="CF27">
        <v>30</v>
      </c>
      <c r="CG27">
        <v>90</v>
      </c>
      <c r="CI27" t="s">
        <v>6008</v>
      </c>
      <c r="CT27">
        <v>111</v>
      </c>
      <c r="CU27">
        <v>220</v>
      </c>
      <c r="CZ27">
        <v>2</v>
      </c>
    </row>
    <row r="28" spans="1:104" x14ac:dyDescent="0.25">
      <c r="A28" t="s">
        <v>380</v>
      </c>
      <c r="B28" t="s">
        <v>6360</v>
      </c>
      <c r="X28" t="s">
        <v>382</v>
      </c>
      <c r="AH28">
        <v>2</v>
      </c>
      <c r="AI28">
        <v>407</v>
      </c>
      <c r="AJ28">
        <v>30</v>
      </c>
      <c r="AK28">
        <v>90</v>
      </c>
      <c r="AM28" t="s">
        <v>6008</v>
      </c>
      <c r="AP28">
        <v>13</v>
      </c>
      <c r="AR28">
        <v>270</v>
      </c>
      <c r="AU28" t="s">
        <v>6361</v>
      </c>
      <c r="AV28" t="b">
        <v>0</v>
      </c>
      <c r="BF28">
        <v>10</v>
      </c>
      <c r="BG28">
        <v>220</v>
      </c>
      <c r="BH28">
        <v>16</v>
      </c>
      <c r="BI28">
        <v>160</v>
      </c>
      <c r="BL28" t="s">
        <v>316</v>
      </c>
      <c r="BN28">
        <v>24</v>
      </c>
      <c r="BO28">
        <v>407</v>
      </c>
      <c r="BP28">
        <v>57</v>
      </c>
      <c r="BQ28">
        <v>90</v>
      </c>
      <c r="CD28">
        <v>14</v>
      </c>
      <c r="CE28">
        <v>8</v>
      </c>
      <c r="CF28">
        <v>3</v>
      </c>
      <c r="CG28">
        <v>405</v>
      </c>
      <c r="CH28">
        <v>132</v>
      </c>
      <c r="CI28" t="s">
        <v>6300</v>
      </c>
      <c r="CT28">
        <v>12</v>
      </c>
      <c r="CU28">
        <v>17</v>
      </c>
      <c r="CV28">
        <v>225</v>
      </c>
      <c r="CY28" t="s">
        <v>6329</v>
      </c>
    </row>
    <row r="29" spans="1:104" x14ac:dyDescent="0.25">
      <c r="A29" t="s">
        <v>383</v>
      </c>
      <c r="B29" t="s">
        <v>3586</v>
      </c>
      <c r="X29" t="s">
        <v>599</v>
      </c>
      <c r="AH29">
        <v>14</v>
      </c>
      <c r="AI29">
        <v>8</v>
      </c>
      <c r="AJ29">
        <v>3</v>
      </c>
      <c r="AK29">
        <v>382</v>
      </c>
      <c r="AL29">
        <v>89</v>
      </c>
      <c r="AM29" t="s">
        <v>6300</v>
      </c>
      <c r="AP29">
        <v>24</v>
      </c>
      <c r="AQ29">
        <v>443</v>
      </c>
      <c r="AR29">
        <v>64</v>
      </c>
      <c r="AS29">
        <v>90</v>
      </c>
      <c r="BF29">
        <v>5</v>
      </c>
      <c r="BG29">
        <v>18</v>
      </c>
      <c r="BH29">
        <v>44</v>
      </c>
      <c r="BK29" t="s">
        <v>6308</v>
      </c>
      <c r="CD29">
        <v>5</v>
      </c>
      <c r="CE29">
        <v>17</v>
      </c>
      <c r="CF29">
        <v>18</v>
      </c>
      <c r="CI29" t="s">
        <v>6305</v>
      </c>
      <c r="CT29">
        <v>12</v>
      </c>
      <c r="CV29">
        <v>245</v>
      </c>
      <c r="CY29" t="s">
        <v>6314</v>
      </c>
    </row>
    <row r="30" spans="1:104" x14ac:dyDescent="0.25">
      <c r="A30" t="s">
        <v>600</v>
      </c>
      <c r="B30" t="s">
        <v>6362</v>
      </c>
      <c r="X30" t="s">
        <v>332</v>
      </c>
      <c r="AH30">
        <v>5</v>
      </c>
      <c r="AI30">
        <v>20</v>
      </c>
      <c r="AJ30">
        <v>19</v>
      </c>
      <c r="AM30" t="s">
        <v>6303</v>
      </c>
      <c r="BF30">
        <v>111</v>
      </c>
      <c r="BL30">
        <v>1</v>
      </c>
      <c r="CD30">
        <v>10</v>
      </c>
      <c r="CE30">
        <v>220</v>
      </c>
      <c r="CF30">
        <v>16</v>
      </c>
      <c r="CG30">
        <v>178</v>
      </c>
      <c r="CJ30" t="s">
        <v>316</v>
      </c>
      <c r="CT30">
        <v>12</v>
      </c>
      <c r="CV30">
        <v>265</v>
      </c>
      <c r="CY30" t="s">
        <v>6319</v>
      </c>
    </row>
    <row r="31" spans="1:104" x14ac:dyDescent="0.25">
      <c r="A31" t="s">
        <v>602</v>
      </c>
      <c r="B31" t="s">
        <v>603</v>
      </c>
      <c r="X31" t="s">
        <v>263</v>
      </c>
      <c r="AH31">
        <v>10</v>
      </c>
      <c r="AI31">
        <v>218</v>
      </c>
      <c r="AJ31">
        <v>16</v>
      </c>
      <c r="AK31">
        <v>160</v>
      </c>
      <c r="AN31" t="s">
        <v>316</v>
      </c>
      <c r="BF31">
        <v>12</v>
      </c>
      <c r="BG31">
        <v>220</v>
      </c>
      <c r="BH31">
        <v>40</v>
      </c>
      <c r="BK31" t="s">
        <v>6318</v>
      </c>
      <c r="CD31">
        <v>5</v>
      </c>
      <c r="CE31">
        <v>17</v>
      </c>
      <c r="CF31">
        <v>41</v>
      </c>
      <c r="CI31" t="s">
        <v>6312</v>
      </c>
      <c r="CT31">
        <v>210</v>
      </c>
      <c r="CU31">
        <v>220</v>
      </c>
      <c r="CV31">
        <v>223</v>
      </c>
      <c r="CW31">
        <v>160</v>
      </c>
      <c r="CZ31" t="s">
        <v>316</v>
      </c>
    </row>
    <row r="32" spans="1:104" x14ac:dyDescent="0.25">
      <c r="A32" t="s">
        <v>93</v>
      </c>
      <c r="B32" t="s">
        <v>6363</v>
      </c>
      <c r="AH32">
        <v>5</v>
      </c>
      <c r="AI32">
        <v>20</v>
      </c>
      <c r="AJ32">
        <v>45</v>
      </c>
      <c r="AM32" t="s">
        <v>6364</v>
      </c>
      <c r="BF32">
        <v>12</v>
      </c>
      <c r="BK32" t="s">
        <v>6321</v>
      </c>
      <c r="CD32">
        <v>10</v>
      </c>
      <c r="CE32">
        <v>220</v>
      </c>
      <c r="CF32">
        <v>39</v>
      </c>
      <c r="CG32">
        <v>178</v>
      </c>
      <c r="CJ32" t="s">
        <v>316</v>
      </c>
      <c r="CT32">
        <v>6</v>
      </c>
      <c r="CU32">
        <v>220</v>
      </c>
      <c r="CV32">
        <v>243</v>
      </c>
      <c r="CW32">
        <v>160</v>
      </c>
    </row>
    <row r="33" spans="1:104" x14ac:dyDescent="0.25">
      <c r="A33" t="s">
        <v>307</v>
      </c>
      <c r="B33" t="s">
        <v>308</v>
      </c>
      <c r="AH33">
        <v>7</v>
      </c>
      <c r="AI33">
        <v>218</v>
      </c>
      <c r="AJ33">
        <v>42</v>
      </c>
      <c r="AK33">
        <v>69</v>
      </c>
      <c r="BF33">
        <v>13</v>
      </c>
      <c r="BG33">
        <v>18</v>
      </c>
      <c r="BH33">
        <v>75</v>
      </c>
      <c r="BK33" t="s">
        <v>6320</v>
      </c>
      <c r="BL33" t="b">
        <v>0</v>
      </c>
      <c r="CD33">
        <v>5</v>
      </c>
      <c r="CE33">
        <v>17</v>
      </c>
      <c r="CF33">
        <v>70</v>
      </c>
      <c r="CI33" t="s">
        <v>6365</v>
      </c>
      <c r="CT33">
        <v>24</v>
      </c>
      <c r="CU33">
        <v>410</v>
      </c>
      <c r="CV33">
        <v>60</v>
      </c>
      <c r="CW33">
        <v>90</v>
      </c>
    </row>
    <row r="34" spans="1:104" x14ac:dyDescent="0.25">
      <c r="A34" t="s">
        <v>309</v>
      </c>
      <c r="B34" t="s">
        <v>3593</v>
      </c>
      <c r="AH34">
        <v>5</v>
      </c>
      <c r="AI34">
        <v>20</v>
      </c>
      <c r="AJ34">
        <v>68</v>
      </c>
      <c r="AM34" t="s">
        <v>3550</v>
      </c>
      <c r="BF34">
        <v>14</v>
      </c>
      <c r="BG34">
        <v>8</v>
      </c>
      <c r="BH34">
        <v>104</v>
      </c>
      <c r="BI34">
        <v>385</v>
      </c>
      <c r="BJ34">
        <v>81</v>
      </c>
      <c r="BK34" t="s">
        <v>6301</v>
      </c>
      <c r="CD34">
        <v>8</v>
      </c>
      <c r="CE34">
        <v>307</v>
      </c>
      <c r="CF34">
        <v>68</v>
      </c>
      <c r="CG34">
        <v>89</v>
      </c>
    </row>
    <row r="35" spans="1:104" x14ac:dyDescent="0.25">
      <c r="A35" t="s">
        <v>469</v>
      </c>
      <c r="B35" t="s">
        <v>470</v>
      </c>
      <c r="AH35">
        <v>8</v>
      </c>
      <c r="AI35">
        <v>218</v>
      </c>
      <c r="AJ35">
        <v>66</v>
      </c>
      <c r="AK35">
        <v>68</v>
      </c>
      <c r="AN35">
        <v>0.05</v>
      </c>
      <c r="BF35">
        <v>111</v>
      </c>
      <c r="BL35">
        <v>2</v>
      </c>
      <c r="CD35">
        <v>13</v>
      </c>
      <c r="CE35">
        <v>17</v>
      </c>
      <c r="CF35">
        <v>90</v>
      </c>
      <c r="CI35" t="s">
        <v>6313</v>
      </c>
      <c r="CJ35" t="b">
        <v>0</v>
      </c>
      <c r="CT35" t="s">
        <v>551</v>
      </c>
    </row>
    <row r="36" spans="1:104" x14ac:dyDescent="0.25">
      <c r="A36" t="s">
        <v>471</v>
      </c>
      <c r="B36" t="s">
        <v>472</v>
      </c>
      <c r="AH36">
        <v>14</v>
      </c>
      <c r="AI36">
        <v>8</v>
      </c>
      <c r="AJ36">
        <v>97</v>
      </c>
      <c r="AK36">
        <v>382</v>
      </c>
      <c r="AL36">
        <v>82</v>
      </c>
      <c r="AM36" t="s">
        <v>6301</v>
      </c>
      <c r="BF36">
        <v>12</v>
      </c>
      <c r="BG36">
        <v>18</v>
      </c>
      <c r="BH36">
        <v>120</v>
      </c>
      <c r="BK36" t="s">
        <v>6329</v>
      </c>
      <c r="CD36">
        <v>5</v>
      </c>
      <c r="CE36">
        <v>17</v>
      </c>
      <c r="CF36">
        <v>114</v>
      </c>
      <c r="CI36" t="s">
        <v>3550</v>
      </c>
      <c r="CT36">
        <v>5</v>
      </c>
      <c r="CZ36" t="s">
        <v>551</v>
      </c>
    </row>
    <row r="37" spans="1:104" x14ac:dyDescent="0.25">
      <c r="A37" t="s">
        <v>473</v>
      </c>
      <c r="B37" t="s">
        <v>6366</v>
      </c>
      <c r="AH37">
        <v>111</v>
      </c>
      <c r="AN37">
        <v>2</v>
      </c>
      <c r="BF37">
        <v>12</v>
      </c>
      <c r="BH37">
        <v>140</v>
      </c>
      <c r="BK37" t="s">
        <v>6314</v>
      </c>
      <c r="CD37">
        <v>8</v>
      </c>
      <c r="CE37">
        <v>72</v>
      </c>
      <c r="CF37">
        <v>112</v>
      </c>
      <c r="CG37">
        <v>63</v>
      </c>
      <c r="CJ37">
        <v>0.05</v>
      </c>
      <c r="CT37">
        <v>5</v>
      </c>
    </row>
    <row r="38" spans="1:104" x14ac:dyDescent="0.25">
      <c r="A38" t="s">
        <v>413</v>
      </c>
      <c r="B38" t="s">
        <v>6367</v>
      </c>
      <c r="AH38">
        <v>12</v>
      </c>
      <c r="AI38">
        <v>20</v>
      </c>
      <c r="AJ38">
        <v>115</v>
      </c>
      <c r="AM38" t="s">
        <v>6329</v>
      </c>
      <c r="BF38">
        <v>12</v>
      </c>
      <c r="BH38">
        <v>160</v>
      </c>
      <c r="BK38" t="s">
        <v>6319</v>
      </c>
      <c r="CD38">
        <v>14</v>
      </c>
      <c r="CE38">
        <v>8</v>
      </c>
      <c r="CF38">
        <v>140</v>
      </c>
      <c r="CG38">
        <v>405</v>
      </c>
      <c r="CH38">
        <v>81</v>
      </c>
      <c r="CI38" t="s">
        <v>6301</v>
      </c>
      <c r="CT38">
        <v>5</v>
      </c>
    </row>
    <row r="39" spans="1:104" x14ac:dyDescent="0.25">
      <c r="A39" t="s">
        <v>488</v>
      </c>
      <c r="B39" t="s">
        <v>6360</v>
      </c>
      <c r="AH39">
        <v>12</v>
      </c>
      <c r="AJ39">
        <v>135</v>
      </c>
      <c r="AM39" t="s">
        <v>6314</v>
      </c>
      <c r="BF39">
        <v>210</v>
      </c>
      <c r="BG39">
        <v>220</v>
      </c>
      <c r="BH39">
        <v>118</v>
      </c>
      <c r="BI39">
        <v>160</v>
      </c>
      <c r="BL39" t="s">
        <v>316</v>
      </c>
      <c r="CD39">
        <v>111</v>
      </c>
      <c r="CJ39">
        <v>2</v>
      </c>
      <c r="CT39">
        <v>5</v>
      </c>
    </row>
    <row r="40" spans="1:104" x14ac:dyDescent="0.25">
      <c r="A40" t="s">
        <v>490</v>
      </c>
      <c r="B40" t="s">
        <v>6368</v>
      </c>
      <c r="AH40">
        <v>12</v>
      </c>
      <c r="AJ40">
        <v>155</v>
      </c>
      <c r="AM40" t="s">
        <v>6319</v>
      </c>
      <c r="BF40">
        <v>6</v>
      </c>
      <c r="BG40">
        <v>220</v>
      </c>
      <c r="BH40">
        <v>138</v>
      </c>
      <c r="BI40">
        <v>160</v>
      </c>
      <c r="CD40">
        <v>12</v>
      </c>
      <c r="CE40">
        <v>17</v>
      </c>
      <c r="CF40">
        <v>156</v>
      </c>
      <c r="CI40" t="s">
        <v>6329</v>
      </c>
      <c r="CT40">
        <v>5</v>
      </c>
    </row>
    <row r="41" spans="1:104" x14ac:dyDescent="0.25">
      <c r="A41" t="s">
        <v>492</v>
      </c>
      <c r="B41" t="s">
        <v>6369</v>
      </c>
      <c r="AH41">
        <v>210</v>
      </c>
      <c r="AI41">
        <v>218</v>
      </c>
      <c r="AJ41">
        <v>113</v>
      </c>
      <c r="AK41">
        <v>160</v>
      </c>
      <c r="AN41" t="s">
        <v>316</v>
      </c>
      <c r="BF41">
        <v>24</v>
      </c>
      <c r="BG41">
        <v>407</v>
      </c>
      <c r="BH41">
        <v>57</v>
      </c>
      <c r="BI41">
        <v>90</v>
      </c>
      <c r="CD41">
        <v>12</v>
      </c>
      <c r="CF41">
        <v>176</v>
      </c>
      <c r="CI41" t="s">
        <v>6314</v>
      </c>
      <c r="CT41">
        <v>5</v>
      </c>
    </row>
    <row r="42" spans="1:104" x14ac:dyDescent="0.25">
      <c r="A42" t="s">
        <v>494</v>
      </c>
      <c r="B42" t="s">
        <v>6370</v>
      </c>
      <c r="AH42">
        <v>6</v>
      </c>
      <c r="AI42">
        <v>218</v>
      </c>
      <c r="AJ42">
        <v>133</v>
      </c>
      <c r="AK42">
        <v>160</v>
      </c>
      <c r="CD42">
        <v>12</v>
      </c>
      <c r="CF42">
        <v>196</v>
      </c>
      <c r="CI42" t="s">
        <v>6319</v>
      </c>
      <c r="CT42">
        <v>5</v>
      </c>
    </row>
    <row r="43" spans="1:104" x14ac:dyDescent="0.25">
      <c r="A43" t="s">
        <v>496</v>
      </c>
      <c r="B43" t="s">
        <v>6371</v>
      </c>
      <c r="AH43">
        <v>24</v>
      </c>
      <c r="AI43">
        <v>407</v>
      </c>
      <c r="AJ43">
        <v>57</v>
      </c>
      <c r="AK43">
        <v>90</v>
      </c>
      <c r="BF43" t="s">
        <v>530</v>
      </c>
      <c r="CD43">
        <v>210</v>
      </c>
      <c r="CE43">
        <v>220</v>
      </c>
      <c r="CF43">
        <v>154</v>
      </c>
      <c r="CG43">
        <v>177</v>
      </c>
      <c r="CJ43" t="s">
        <v>316</v>
      </c>
      <c r="CT43">
        <v>5</v>
      </c>
    </row>
    <row r="44" spans="1:104" x14ac:dyDescent="0.25">
      <c r="A44" t="s">
        <v>400</v>
      </c>
      <c r="B44" t="s">
        <v>3601</v>
      </c>
      <c r="BF44" s="1" t="s">
        <v>670</v>
      </c>
      <c r="BI44">
        <v>523</v>
      </c>
      <c r="BJ44">
        <v>191</v>
      </c>
      <c r="BK44" t="s">
        <v>6372</v>
      </c>
      <c r="BL44">
        <v>5</v>
      </c>
      <c r="CD44">
        <v>6</v>
      </c>
      <c r="CE44">
        <v>220</v>
      </c>
      <c r="CF44">
        <v>174</v>
      </c>
      <c r="CG44">
        <v>177</v>
      </c>
      <c r="CT44">
        <v>5</v>
      </c>
      <c r="CU44">
        <v>25</v>
      </c>
      <c r="CV44">
        <v>114</v>
      </c>
      <c r="CY44" t="s">
        <v>6373</v>
      </c>
    </row>
    <row r="45" spans="1:104" x14ac:dyDescent="0.25">
      <c r="A45" t="s">
        <v>422</v>
      </c>
      <c r="B45" t="s">
        <v>6369</v>
      </c>
      <c r="BF45">
        <v>1</v>
      </c>
      <c r="BG45">
        <v>407</v>
      </c>
      <c r="BH45">
        <v>7</v>
      </c>
      <c r="BI45">
        <v>90</v>
      </c>
      <c r="BK45" t="s">
        <v>6299</v>
      </c>
      <c r="CD45">
        <v>24</v>
      </c>
      <c r="CE45">
        <v>440</v>
      </c>
      <c r="CF45">
        <v>57</v>
      </c>
      <c r="CG45">
        <v>90</v>
      </c>
      <c r="CT45">
        <v>8</v>
      </c>
      <c r="CU45">
        <v>108</v>
      </c>
      <c r="CV45">
        <v>112</v>
      </c>
      <c r="CW45">
        <v>60</v>
      </c>
      <c r="CZ45">
        <v>0</v>
      </c>
    </row>
    <row r="46" spans="1:104" x14ac:dyDescent="0.25">
      <c r="A46" t="s">
        <v>424</v>
      </c>
      <c r="B46" t="s">
        <v>3600</v>
      </c>
      <c r="BF46">
        <v>2</v>
      </c>
      <c r="BG46">
        <v>407</v>
      </c>
      <c r="BH46">
        <v>30</v>
      </c>
      <c r="BI46">
        <v>90</v>
      </c>
      <c r="BK46" t="s">
        <v>6008</v>
      </c>
      <c r="CT46">
        <v>5</v>
      </c>
      <c r="CU46">
        <v>184</v>
      </c>
      <c r="CV46">
        <v>114</v>
      </c>
      <c r="CY46" t="s">
        <v>6374</v>
      </c>
    </row>
    <row r="47" spans="1:104" x14ac:dyDescent="0.25">
      <c r="A47" t="s">
        <v>427</v>
      </c>
      <c r="B47" t="s">
        <v>6371</v>
      </c>
      <c r="AH47" t="s">
        <v>315</v>
      </c>
      <c r="BF47">
        <v>14</v>
      </c>
      <c r="BG47">
        <v>8</v>
      </c>
      <c r="BH47">
        <v>3</v>
      </c>
      <c r="BI47">
        <v>385</v>
      </c>
      <c r="BJ47">
        <v>94</v>
      </c>
      <c r="BK47" t="s">
        <v>6300</v>
      </c>
      <c r="CT47">
        <v>8</v>
      </c>
      <c r="CU47">
        <v>225</v>
      </c>
      <c r="CV47">
        <v>112</v>
      </c>
      <c r="CW47">
        <v>60</v>
      </c>
      <c r="CZ47">
        <v>1</v>
      </c>
    </row>
    <row r="48" spans="1:104" x14ac:dyDescent="0.25">
      <c r="A48" t="s">
        <v>429</v>
      </c>
      <c r="B48" t="s">
        <v>6375</v>
      </c>
      <c r="AH48" s="1" t="s">
        <v>665</v>
      </c>
      <c r="AK48">
        <v>523</v>
      </c>
      <c r="AL48">
        <v>185</v>
      </c>
      <c r="AM48" t="s">
        <v>6348</v>
      </c>
      <c r="AN48">
        <v>5</v>
      </c>
      <c r="BF48">
        <v>5</v>
      </c>
      <c r="BG48">
        <v>18</v>
      </c>
      <c r="BH48">
        <v>19</v>
      </c>
      <c r="BK48" t="s">
        <v>6303</v>
      </c>
    </row>
    <row r="49" spans="1:104" x14ac:dyDescent="0.25">
      <c r="A49" t="s">
        <v>431</v>
      </c>
      <c r="B49" t="s">
        <v>6294</v>
      </c>
      <c r="AH49">
        <v>1</v>
      </c>
      <c r="AI49">
        <v>407</v>
      </c>
      <c r="AJ49">
        <v>7</v>
      </c>
      <c r="AK49">
        <v>90</v>
      </c>
      <c r="AM49" t="s">
        <v>6299</v>
      </c>
      <c r="BF49">
        <v>10</v>
      </c>
      <c r="BG49">
        <v>220</v>
      </c>
      <c r="BH49">
        <v>16</v>
      </c>
      <c r="BI49">
        <v>160</v>
      </c>
      <c r="BL49" t="s">
        <v>316</v>
      </c>
      <c r="CD49" t="s">
        <v>445</v>
      </c>
      <c r="CT49" t="s">
        <v>599</v>
      </c>
    </row>
    <row r="50" spans="1:104" x14ac:dyDescent="0.25">
      <c r="A50" t="s">
        <v>432</v>
      </c>
      <c r="B50" t="s">
        <v>6376</v>
      </c>
      <c r="AH50">
        <v>2</v>
      </c>
      <c r="AI50">
        <v>407</v>
      </c>
      <c r="AJ50">
        <v>30</v>
      </c>
      <c r="AK50">
        <v>90</v>
      </c>
      <c r="AM50" t="s">
        <v>6008</v>
      </c>
      <c r="BF50">
        <v>5</v>
      </c>
      <c r="BG50">
        <v>18</v>
      </c>
      <c r="BH50">
        <v>44</v>
      </c>
      <c r="BK50" t="s">
        <v>6308</v>
      </c>
      <c r="CD50" s="1" t="s">
        <v>672</v>
      </c>
      <c r="CG50">
        <v>550</v>
      </c>
      <c r="CH50">
        <v>227</v>
      </c>
      <c r="CI50" t="s">
        <v>6377</v>
      </c>
      <c r="CJ50">
        <v>5</v>
      </c>
      <c r="CT50">
        <v>5</v>
      </c>
      <c r="CU50">
        <v>17</v>
      </c>
      <c r="CV50">
        <v>101</v>
      </c>
      <c r="CY50" t="s">
        <v>6378</v>
      </c>
      <c r="CZ50" t="s">
        <v>599</v>
      </c>
    </row>
    <row r="51" spans="1:104" x14ac:dyDescent="0.25">
      <c r="A51" t="s">
        <v>439</v>
      </c>
      <c r="B51" t="s">
        <v>6379</v>
      </c>
      <c r="AH51">
        <v>14</v>
      </c>
      <c r="AI51">
        <v>8</v>
      </c>
      <c r="AJ51">
        <v>3</v>
      </c>
      <c r="AK51">
        <v>385</v>
      </c>
      <c r="AL51">
        <v>83</v>
      </c>
      <c r="AM51" t="s">
        <v>6300</v>
      </c>
      <c r="BF51">
        <v>111</v>
      </c>
      <c r="BL51">
        <v>1</v>
      </c>
      <c r="CD51">
        <v>1</v>
      </c>
      <c r="CE51">
        <v>440</v>
      </c>
      <c r="CF51">
        <v>7</v>
      </c>
      <c r="CG51">
        <v>90</v>
      </c>
      <c r="CI51" t="s">
        <v>6299</v>
      </c>
      <c r="CT51">
        <v>8</v>
      </c>
      <c r="CU51">
        <v>66</v>
      </c>
      <c r="CV51">
        <v>99</v>
      </c>
      <c r="CW51">
        <v>60</v>
      </c>
    </row>
    <row r="52" spans="1:104" x14ac:dyDescent="0.25">
      <c r="A52" t="s">
        <v>419</v>
      </c>
      <c r="B52" t="s">
        <v>6380</v>
      </c>
      <c r="AH52">
        <v>5</v>
      </c>
      <c r="AI52">
        <v>18</v>
      </c>
      <c r="AJ52">
        <v>19</v>
      </c>
      <c r="AM52" t="s">
        <v>6303</v>
      </c>
      <c r="BF52">
        <v>12</v>
      </c>
      <c r="BG52">
        <v>220</v>
      </c>
      <c r="BH52">
        <v>40</v>
      </c>
      <c r="BK52" t="s">
        <v>6318</v>
      </c>
      <c r="CD52">
        <v>2</v>
      </c>
      <c r="CE52">
        <v>440</v>
      </c>
      <c r="CF52">
        <v>30</v>
      </c>
      <c r="CG52">
        <v>90</v>
      </c>
      <c r="CI52" t="s">
        <v>6008</v>
      </c>
      <c r="CT52">
        <v>5</v>
      </c>
      <c r="CU52">
        <v>132</v>
      </c>
      <c r="CV52">
        <v>101</v>
      </c>
      <c r="CY52" t="s">
        <v>6381</v>
      </c>
    </row>
    <row r="53" spans="1:104" x14ac:dyDescent="0.25">
      <c r="A53" t="s">
        <v>338</v>
      </c>
      <c r="B53" t="s">
        <v>6382</v>
      </c>
      <c r="AH53">
        <v>10</v>
      </c>
      <c r="AI53">
        <v>222</v>
      </c>
      <c r="AJ53">
        <v>16</v>
      </c>
      <c r="AK53">
        <v>160</v>
      </c>
      <c r="AN53" t="s">
        <v>316</v>
      </c>
      <c r="BF53">
        <v>12</v>
      </c>
      <c r="BK53" t="s">
        <v>6321</v>
      </c>
      <c r="CD53">
        <v>14</v>
      </c>
      <c r="CE53">
        <v>8</v>
      </c>
      <c r="CF53">
        <v>3</v>
      </c>
      <c r="CG53">
        <v>405</v>
      </c>
      <c r="CH53">
        <v>132</v>
      </c>
      <c r="CI53" t="s">
        <v>6300</v>
      </c>
      <c r="CT53">
        <v>8</v>
      </c>
      <c r="CU53">
        <v>156</v>
      </c>
      <c r="CV53">
        <v>99</v>
      </c>
      <c r="CW53">
        <v>60</v>
      </c>
    </row>
    <row r="54" spans="1:104" x14ac:dyDescent="0.25">
      <c r="A54" t="s">
        <v>340</v>
      </c>
      <c r="B54" t="s">
        <v>6383</v>
      </c>
      <c r="AH54">
        <v>13</v>
      </c>
      <c r="AI54">
        <v>19</v>
      </c>
      <c r="AJ54">
        <v>41</v>
      </c>
      <c r="AM54" t="s">
        <v>6313</v>
      </c>
      <c r="AN54" t="b">
        <v>0</v>
      </c>
      <c r="BF54">
        <v>13</v>
      </c>
      <c r="BG54">
        <v>18</v>
      </c>
      <c r="BH54">
        <v>75</v>
      </c>
      <c r="BK54" t="s">
        <v>6320</v>
      </c>
      <c r="BL54" t="b">
        <v>0</v>
      </c>
      <c r="CD54">
        <v>5</v>
      </c>
      <c r="CE54">
        <v>17</v>
      </c>
      <c r="CF54">
        <v>18</v>
      </c>
      <c r="CI54" t="s">
        <v>6305</v>
      </c>
      <c r="CT54">
        <v>5</v>
      </c>
      <c r="CU54">
        <v>232</v>
      </c>
      <c r="CV54">
        <v>101</v>
      </c>
      <c r="CY54" t="s">
        <v>6384</v>
      </c>
    </row>
    <row r="55" spans="1:104" x14ac:dyDescent="0.25">
      <c r="A55" t="s">
        <v>177</v>
      </c>
      <c r="B55" t="s">
        <v>6362</v>
      </c>
      <c r="AH55">
        <v>5</v>
      </c>
      <c r="AI55">
        <v>20</v>
      </c>
      <c r="AJ55">
        <v>62</v>
      </c>
      <c r="AM55" t="s">
        <v>3550</v>
      </c>
      <c r="BF55">
        <v>14</v>
      </c>
      <c r="BG55">
        <v>8</v>
      </c>
      <c r="BH55">
        <v>104</v>
      </c>
      <c r="BI55">
        <v>385</v>
      </c>
      <c r="BJ55">
        <v>81</v>
      </c>
      <c r="BK55" t="s">
        <v>6301</v>
      </c>
      <c r="CD55">
        <v>10</v>
      </c>
      <c r="CE55">
        <v>220</v>
      </c>
      <c r="CF55">
        <v>16</v>
      </c>
      <c r="CG55">
        <v>178</v>
      </c>
      <c r="CJ55" t="s">
        <v>316</v>
      </c>
      <c r="CT55">
        <v>8</v>
      </c>
      <c r="CU55">
        <v>325</v>
      </c>
      <c r="CV55">
        <v>99</v>
      </c>
      <c r="CW55">
        <v>60</v>
      </c>
    </row>
    <row r="56" spans="1:104" x14ac:dyDescent="0.25">
      <c r="A56" t="s">
        <v>179</v>
      </c>
      <c r="B56" t="s">
        <v>6089</v>
      </c>
      <c r="AH56">
        <v>8</v>
      </c>
      <c r="AI56">
        <v>75</v>
      </c>
      <c r="AJ56">
        <v>60</v>
      </c>
      <c r="AK56">
        <v>68</v>
      </c>
      <c r="AN56">
        <v>0.05</v>
      </c>
      <c r="BF56">
        <v>111</v>
      </c>
      <c r="BL56">
        <v>2</v>
      </c>
      <c r="CD56">
        <v>5</v>
      </c>
      <c r="CE56">
        <v>17</v>
      </c>
      <c r="CF56">
        <v>41</v>
      </c>
      <c r="CI56" t="s">
        <v>6312</v>
      </c>
      <c r="CT56">
        <v>5</v>
      </c>
      <c r="CU56">
        <v>17</v>
      </c>
      <c r="CV56">
        <v>131</v>
      </c>
      <c r="CY56" t="s">
        <v>6385</v>
      </c>
    </row>
    <row r="57" spans="1:104" x14ac:dyDescent="0.25">
      <c r="A57" t="s">
        <v>557</v>
      </c>
      <c r="B57" t="s">
        <v>6386</v>
      </c>
      <c r="AH57">
        <v>14</v>
      </c>
      <c r="AI57">
        <v>8</v>
      </c>
      <c r="AJ57">
        <v>91</v>
      </c>
      <c r="AK57">
        <v>385</v>
      </c>
      <c r="AL57">
        <v>86</v>
      </c>
      <c r="AM57" t="s">
        <v>6301</v>
      </c>
      <c r="BF57">
        <v>12</v>
      </c>
      <c r="BG57">
        <v>18</v>
      </c>
      <c r="BH57">
        <v>120</v>
      </c>
      <c r="BK57" t="s">
        <v>6329</v>
      </c>
      <c r="CD57">
        <v>10</v>
      </c>
      <c r="CE57">
        <v>220</v>
      </c>
      <c r="CF57">
        <v>39</v>
      </c>
      <c r="CG57">
        <v>178</v>
      </c>
      <c r="CJ57" t="s">
        <v>316</v>
      </c>
      <c r="CT57">
        <v>7</v>
      </c>
      <c r="CU57">
        <v>210</v>
      </c>
      <c r="CV57">
        <v>129</v>
      </c>
      <c r="CW57">
        <v>60</v>
      </c>
    </row>
    <row r="58" spans="1:104" x14ac:dyDescent="0.25">
      <c r="A58" t="s">
        <v>559</v>
      </c>
      <c r="B58" t="s">
        <v>6387</v>
      </c>
      <c r="AH58">
        <v>111</v>
      </c>
      <c r="AN58">
        <v>2</v>
      </c>
      <c r="BF58">
        <v>12</v>
      </c>
      <c r="BH58">
        <v>140</v>
      </c>
      <c r="BK58" t="s">
        <v>6314</v>
      </c>
      <c r="CD58">
        <v>5</v>
      </c>
      <c r="CE58">
        <v>17</v>
      </c>
      <c r="CF58">
        <v>70</v>
      </c>
      <c r="CI58" t="s">
        <v>6388</v>
      </c>
      <c r="CT58">
        <v>5</v>
      </c>
      <c r="CU58">
        <v>288</v>
      </c>
      <c r="CV58">
        <v>131</v>
      </c>
      <c r="CY58" t="s">
        <v>6093</v>
      </c>
    </row>
    <row r="59" spans="1:104" x14ac:dyDescent="0.25">
      <c r="A59" t="s">
        <v>188</v>
      </c>
      <c r="B59" t="s">
        <v>6094</v>
      </c>
      <c r="AH59">
        <v>12</v>
      </c>
      <c r="AI59">
        <v>20</v>
      </c>
      <c r="AJ59">
        <v>107</v>
      </c>
      <c r="AM59" t="s">
        <v>6329</v>
      </c>
      <c r="BF59">
        <v>12</v>
      </c>
      <c r="BH59">
        <v>160</v>
      </c>
      <c r="BK59" t="s">
        <v>6319</v>
      </c>
      <c r="CD59">
        <v>8</v>
      </c>
      <c r="CE59">
        <v>307</v>
      </c>
      <c r="CF59">
        <v>68</v>
      </c>
      <c r="CG59">
        <v>89</v>
      </c>
      <c r="CT59">
        <v>5</v>
      </c>
      <c r="CU59">
        <v>17</v>
      </c>
      <c r="CV59">
        <v>153</v>
      </c>
      <c r="CY59" t="s">
        <v>6389</v>
      </c>
    </row>
    <row r="60" spans="1:104" x14ac:dyDescent="0.25">
      <c r="A60" t="s">
        <v>564</v>
      </c>
      <c r="B60" t="s">
        <v>6096</v>
      </c>
      <c r="AH60">
        <v>12</v>
      </c>
      <c r="AJ60">
        <v>127</v>
      </c>
      <c r="AM60" t="s">
        <v>6314</v>
      </c>
      <c r="BF60">
        <v>210</v>
      </c>
      <c r="BG60">
        <v>220</v>
      </c>
      <c r="BH60">
        <v>118</v>
      </c>
      <c r="BI60">
        <v>160</v>
      </c>
      <c r="BL60" t="s">
        <v>316</v>
      </c>
      <c r="CD60">
        <v>13</v>
      </c>
      <c r="CE60">
        <v>17</v>
      </c>
      <c r="CF60">
        <v>90</v>
      </c>
      <c r="CI60" t="s">
        <v>6313</v>
      </c>
      <c r="CJ60" t="b">
        <v>0</v>
      </c>
      <c r="CT60">
        <v>7</v>
      </c>
      <c r="CU60">
        <v>210</v>
      </c>
      <c r="CV60">
        <v>151</v>
      </c>
      <c r="CW60">
        <v>60</v>
      </c>
    </row>
    <row r="61" spans="1:104" x14ac:dyDescent="0.25">
      <c r="A61" t="s">
        <v>566</v>
      </c>
      <c r="B61" t="s">
        <v>6390</v>
      </c>
      <c r="AH61">
        <v>12</v>
      </c>
      <c r="AJ61">
        <v>147</v>
      </c>
      <c r="AM61" t="s">
        <v>6319</v>
      </c>
      <c r="BF61">
        <v>6</v>
      </c>
      <c r="BG61">
        <v>220</v>
      </c>
      <c r="BH61">
        <v>138</v>
      </c>
      <c r="BI61">
        <v>160</v>
      </c>
      <c r="CD61">
        <v>5</v>
      </c>
      <c r="CE61">
        <v>17</v>
      </c>
      <c r="CF61">
        <v>114</v>
      </c>
      <c r="CI61" t="s">
        <v>3550</v>
      </c>
      <c r="CT61">
        <v>5</v>
      </c>
      <c r="CU61">
        <v>288</v>
      </c>
      <c r="CV61">
        <v>153</v>
      </c>
      <c r="CY61" t="s">
        <v>6093</v>
      </c>
    </row>
    <row r="62" spans="1:104" x14ac:dyDescent="0.25">
      <c r="A62" t="s">
        <v>568</v>
      </c>
      <c r="B62" t="s">
        <v>6391</v>
      </c>
      <c r="AH62">
        <v>210</v>
      </c>
      <c r="AI62">
        <v>222</v>
      </c>
      <c r="AJ62">
        <v>105</v>
      </c>
      <c r="AK62">
        <v>160</v>
      </c>
      <c r="AN62" t="s">
        <v>316</v>
      </c>
      <c r="BF62">
        <v>24</v>
      </c>
      <c r="BG62">
        <v>407</v>
      </c>
      <c r="BH62">
        <v>57</v>
      </c>
      <c r="BI62">
        <v>90</v>
      </c>
      <c r="CD62">
        <v>8</v>
      </c>
      <c r="CE62">
        <v>72</v>
      </c>
      <c r="CF62">
        <v>112</v>
      </c>
      <c r="CG62">
        <v>63</v>
      </c>
      <c r="CJ62">
        <v>0.05</v>
      </c>
    </row>
    <row r="63" spans="1:104" x14ac:dyDescent="0.25">
      <c r="A63" t="s">
        <v>570</v>
      </c>
      <c r="B63" t="s">
        <v>6392</v>
      </c>
      <c r="AH63">
        <v>6</v>
      </c>
      <c r="AI63">
        <v>222</v>
      </c>
      <c r="AJ63">
        <v>125</v>
      </c>
      <c r="AK63">
        <v>160</v>
      </c>
      <c r="CD63">
        <v>14</v>
      </c>
      <c r="CE63">
        <v>8</v>
      </c>
      <c r="CF63">
        <v>140</v>
      </c>
      <c r="CG63">
        <v>405</v>
      </c>
      <c r="CH63">
        <v>81</v>
      </c>
      <c r="CI63" t="s">
        <v>6301</v>
      </c>
      <c r="CT63" t="s">
        <v>554</v>
      </c>
    </row>
    <row r="64" spans="1:104" x14ac:dyDescent="0.25">
      <c r="A64" t="s">
        <v>572</v>
      </c>
      <c r="B64" t="s">
        <v>6293</v>
      </c>
      <c r="AH64">
        <v>24</v>
      </c>
      <c r="AI64">
        <v>407</v>
      </c>
      <c r="AJ64">
        <v>57</v>
      </c>
      <c r="AK64">
        <v>90</v>
      </c>
      <c r="CD64">
        <v>111</v>
      </c>
      <c r="CJ64">
        <v>2</v>
      </c>
      <c r="CT64">
        <v>5</v>
      </c>
      <c r="CZ64" t="s">
        <v>554</v>
      </c>
    </row>
    <row r="65" spans="1:104" x14ac:dyDescent="0.25">
      <c r="A65" t="s">
        <v>193</v>
      </c>
      <c r="B65" t="s">
        <v>6347</v>
      </c>
      <c r="CD65">
        <v>12</v>
      </c>
      <c r="CE65">
        <v>17</v>
      </c>
      <c r="CF65">
        <v>156</v>
      </c>
      <c r="CI65" t="s">
        <v>6329</v>
      </c>
      <c r="CT65">
        <v>5</v>
      </c>
    </row>
    <row r="66" spans="1:104" x14ac:dyDescent="0.25">
      <c r="A66" t="s">
        <v>194</v>
      </c>
      <c r="B66" t="s">
        <v>6295</v>
      </c>
      <c r="BF66" t="s">
        <v>334</v>
      </c>
      <c r="CD66">
        <v>12</v>
      </c>
      <c r="CF66">
        <v>176</v>
      </c>
      <c r="CI66" t="s">
        <v>6314</v>
      </c>
      <c r="CT66">
        <v>5</v>
      </c>
    </row>
    <row r="67" spans="1:104" x14ac:dyDescent="0.25">
      <c r="A67" t="s">
        <v>195</v>
      </c>
      <c r="B67" t="s">
        <v>6393</v>
      </c>
      <c r="BF67" s="1" t="s">
        <v>667</v>
      </c>
      <c r="BI67">
        <v>523</v>
      </c>
      <c r="BJ67">
        <v>181</v>
      </c>
      <c r="BK67" t="s">
        <v>6394</v>
      </c>
      <c r="BL67">
        <v>5</v>
      </c>
      <c r="CD67">
        <v>12</v>
      </c>
      <c r="CF67">
        <v>196</v>
      </c>
      <c r="CI67" t="s">
        <v>6319</v>
      </c>
      <c r="CT67">
        <v>5</v>
      </c>
    </row>
    <row r="68" spans="1:104" x14ac:dyDescent="0.25">
      <c r="A68" t="s">
        <v>576</v>
      </c>
      <c r="B68" t="s">
        <v>6395</v>
      </c>
      <c r="AH68" t="s">
        <v>524</v>
      </c>
      <c r="BF68">
        <v>1</v>
      </c>
      <c r="BG68">
        <v>407</v>
      </c>
      <c r="BH68">
        <v>7</v>
      </c>
      <c r="BI68">
        <v>90</v>
      </c>
      <c r="BK68" t="s">
        <v>6299</v>
      </c>
      <c r="CD68">
        <v>210</v>
      </c>
      <c r="CE68">
        <v>220</v>
      </c>
      <c r="CF68">
        <v>154</v>
      </c>
      <c r="CG68">
        <v>177</v>
      </c>
      <c r="CJ68" t="s">
        <v>316</v>
      </c>
      <c r="CT68">
        <v>5</v>
      </c>
    </row>
    <row r="69" spans="1:104" x14ac:dyDescent="0.25">
      <c r="A69" t="s">
        <v>578</v>
      </c>
      <c r="B69" t="s">
        <v>6396</v>
      </c>
      <c r="AH69" s="1" t="s">
        <v>669</v>
      </c>
      <c r="AK69">
        <v>523</v>
      </c>
      <c r="AL69">
        <v>205</v>
      </c>
      <c r="AM69" t="s">
        <v>6393</v>
      </c>
      <c r="AN69">
        <v>5</v>
      </c>
      <c r="BF69">
        <v>2</v>
      </c>
      <c r="BG69">
        <v>407</v>
      </c>
      <c r="BH69">
        <v>30</v>
      </c>
      <c r="BI69">
        <v>90</v>
      </c>
      <c r="BK69" t="s">
        <v>6008</v>
      </c>
      <c r="CD69">
        <v>6</v>
      </c>
      <c r="CE69">
        <v>220</v>
      </c>
      <c r="CF69">
        <v>174</v>
      </c>
      <c r="CG69">
        <v>177</v>
      </c>
      <c r="CT69">
        <v>5</v>
      </c>
    </row>
    <row r="70" spans="1:104" x14ac:dyDescent="0.25">
      <c r="A70" t="s">
        <v>580</v>
      </c>
      <c r="B70" t="s">
        <v>6397</v>
      </c>
      <c r="AH70">
        <v>1</v>
      </c>
      <c r="AI70">
        <v>407</v>
      </c>
      <c r="AJ70">
        <v>7</v>
      </c>
      <c r="AK70">
        <v>90</v>
      </c>
      <c r="AM70" t="s">
        <v>6299</v>
      </c>
      <c r="BF70">
        <v>14</v>
      </c>
      <c r="BG70">
        <v>8</v>
      </c>
      <c r="BH70">
        <v>4</v>
      </c>
      <c r="BI70">
        <v>385</v>
      </c>
      <c r="BJ70">
        <v>59</v>
      </c>
      <c r="BK70" t="s">
        <v>6300</v>
      </c>
      <c r="CD70">
        <v>24</v>
      </c>
      <c r="CE70">
        <v>440</v>
      </c>
      <c r="CF70">
        <v>57</v>
      </c>
      <c r="CG70">
        <v>90</v>
      </c>
      <c r="CT70">
        <v>5</v>
      </c>
    </row>
    <row r="71" spans="1:104" x14ac:dyDescent="0.25">
      <c r="A71" t="s">
        <v>582</v>
      </c>
      <c r="B71" t="s">
        <v>6103</v>
      </c>
      <c r="AH71">
        <v>2</v>
      </c>
      <c r="AI71">
        <v>407</v>
      </c>
      <c r="AJ71">
        <v>30</v>
      </c>
      <c r="AK71">
        <v>90</v>
      </c>
      <c r="AM71" t="s">
        <v>6008</v>
      </c>
      <c r="BF71">
        <v>5</v>
      </c>
      <c r="BG71">
        <v>18</v>
      </c>
      <c r="BH71">
        <v>19</v>
      </c>
      <c r="BK71" t="s">
        <v>6303</v>
      </c>
      <c r="CT71">
        <v>5</v>
      </c>
    </row>
    <row r="72" spans="1:104" x14ac:dyDescent="0.25">
      <c r="A72" t="s">
        <v>200</v>
      </c>
      <c r="B72" t="s">
        <v>6398</v>
      </c>
      <c r="AH72">
        <v>14</v>
      </c>
      <c r="AI72">
        <v>8</v>
      </c>
      <c r="AJ72">
        <v>3</v>
      </c>
      <c r="AK72">
        <v>385</v>
      </c>
      <c r="AL72">
        <v>93</v>
      </c>
      <c r="AM72" t="s">
        <v>6300</v>
      </c>
      <c r="BF72">
        <v>10</v>
      </c>
      <c r="BG72">
        <v>220</v>
      </c>
      <c r="BH72">
        <v>16</v>
      </c>
      <c r="BI72">
        <v>160</v>
      </c>
      <c r="BL72" t="s">
        <v>316</v>
      </c>
      <c r="CT72">
        <v>5</v>
      </c>
      <c r="CU72">
        <v>24</v>
      </c>
      <c r="CV72">
        <v>111</v>
      </c>
      <c r="CY72" t="s">
        <v>6399</v>
      </c>
    </row>
    <row r="73" spans="1:104" x14ac:dyDescent="0.25">
      <c r="A73" t="s">
        <v>203</v>
      </c>
      <c r="B73" t="s">
        <v>6400</v>
      </c>
      <c r="AH73">
        <v>5</v>
      </c>
      <c r="AI73">
        <v>18</v>
      </c>
      <c r="AJ73">
        <v>19</v>
      </c>
      <c r="AM73" t="s">
        <v>6303</v>
      </c>
      <c r="BF73">
        <v>13</v>
      </c>
      <c r="BG73">
        <v>18</v>
      </c>
      <c r="BH73">
        <v>40</v>
      </c>
      <c r="BK73" t="s">
        <v>6320</v>
      </c>
      <c r="BL73" t="b">
        <v>0</v>
      </c>
      <c r="CT73">
        <v>8</v>
      </c>
      <c r="CU73">
        <v>194</v>
      </c>
      <c r="CV73">
        <v>109</v>
      </c>
      <c r="CW73">
        <v>60</v>
      </c>
      <c r="CZ73">
        <v>0</v>
      </c>
    </row>
    <row r="74" spans="1:104" x14ac:dyDescent="0.25">
      <c r="A74" t="s">
        <v>205</v>
      </c>
      <c r="B74" t="s">
        <v>6401</v>
      </c>
      <c r="AH74">
        <v>10</v>
      </c>
      <c r="AI74">
        <v>222</v>
      </c>
      <c r="AJ74">
        <v>16</v>
      </c>
      <c r="AK74">
        <v>160</v>
      </c>
      <c r="AN74" t="s">
        <v>316</v>
      </c>
      <c r="BF74">
        <v>14</v>
      </c>
      <c r="BG74">
        <v>8</v>
      </c>
      <c r="BH74">
        <v>70</v>
      </c>
      <c r="BI74">
        <v>385</v>
      </c>
      <c r="BJ74">
        <v>104</v>
      </c>
      <c r="BK74" t="s">
        <v>6301</v>
      </c>
      <c r="CD74" t="s">
        <v>441</v>
      </c>
      <c r="CT74">
        <v>5</v>
      </c>
      <c r="CU74">
        <v>24</v>
      </c>
      <c r="CV74">
        <v>134</v>
      </c>
      <c r="CY74" t="s">
        <v>6402</v>
      </c>
    </row>
    <row r="75" spans="1:104" x14ac:dyDescent="0.25">
      <c r="A75" t="s">
        <v>207</v>
      </c>
      <c r="B75" t="s">
        <v>3635</v>
      </c>
      <c r="AH75">
        <v>13</v>
      </c>
      <c r="AI75">
        <v>18</v>
      </c>
      <c r="AJ75">
        <v>41</v>
      </c>
      <c r="AM75" t="s">
        <v>6326</v>
      </c>
      <c r="AN75" t="b">
        <v>0</v>
      </c>
      <c r="BF75">
        <v>111</v>
      </c>
      <c r="BL75">
        <v>2</v>
      </c>
      <c r="CD75" s="1" t="s">
        <v>673</v>
      </c>
      <c r="CG75">
        <v>550</v>
      </c>
      <c r="CH75">
        <v>223</v>
      </c>
      <c r="CI75" t="s">
        <v>6403</v>
      </c>
      <c r="CJ75">
        <v>5</v>
      </c>
      <c r="CT75">
        <v>8</v>
      </c>
      <c r="CU75">
        <v>194</v>
      </c>
      <c r="CV75">
        <v>132</v>
      </c>
      <c r="CW75">
        <v>60</v>
      </c>
      <c r="CZ75">
        <v>1</v>
      </c>
    </row>
    <row r="76" spans="1:104" x14ac:dyDescent="0.25">
      <c r="A76" t="s">
        <v>210</v>
      </c>
      <c r="B76" t="s">
        <v>6111</v>
      </c>
      <c r="AH76">
        <v>5</v>
      </c>
      <c r="AI76">
        <v>18</v>
      </c>
      <c r="AJ76">
        <v>69</v>
      </c>
      <c r="AM76" t="s">
        <v>6404</v>
      </c>
      <c r="BF76">
        <v>12</v>
      </c>
      <c r="BG76">
        <v>18</v>
      </c>
      <c r="BH76">
        <v>86</v>
      </c>
      <c r="BK76" t="s">
        <v>6329</v>
      </c>
      <c r="CD76">
        <v>1</v>
      </c>
      <c r="CE76">
        <v>440</v>
      </c>
      <c r="CF76">
        <v>7</v>
      </c>
      <c r="CG76">
        <v>90</v>
      </c>
      <c r="CI76" t="s">
        <v>6299</v>
      </c>
    </row>
    <row r="77" spans="1:104" x14ac:dyDescent="0.25">
      <c r="A77" t="s">
        <v>501</v>
      </c>
      <c r="B77" t="s">
        <v>6394</v>
      </c>
      <c r="AH77">
        <v>7</v>
      </c>
      <c r="AI77">
        <v>222</v>
      </c>
      <c r="AJ77">
        <v>66</v>
      </c>
      <c r="AK77">
        <v>69</v>
      </c>
      <c r="BF77">
        <v>12</v>
      </c>
      <c r="BH77">
        <v>106</v>
      </c>
      <c r="BK77" t="s">
        <v>6314</v>
      </c>
      <c r="CD77">
        <v>2</v>
      </c>
      <c r="CE77">
        <v>440</v>
      </c>
      <c r="CF77">
        <v>30</v>
      </c>
      <c r="CG77">
        <v>90</v>
      </c>
      <c r="CI77" t="s">
        <v>6008</v>
      </c>
      <c r="CT77" t="s">
        <v>376</v>
      </c>
    </row>
    <row r="78" spans="1:104" x14ac:dyDescent="0.25">
      <c r="A78" t="s">
        <v>219</v>
      </c>
      <c r="B78" t="s">
        <v>6405</v>
      </c>
      <c r="AH78">
        <v>14</v>
      </c>
      <c r="AI78">
        <v>8</v>
      </c>
      <c r="AJ78">
        <v>96</v>
      </c>
      <c r="AK78">
        <v>385</v>
      </c>
      <c r="AL78">
        <v>105</v>
      </c>
      <c r="AM78" t="s">
        <v>6301</v>
      </c>
      <c r="BF78">
        <v>12</v>
      </c>
      <c r="BH78">
        <v>126</v>
      </c>
      <c r="BK78" t="s">
        <v>6319</v>
      </c>
      <c r="CD78">
        <v>14</v>
      </c>
      <c r="CE78">
        <v>8</v>
      </c>
      <c r="CF78">
        <v>3</v>
      </c>
      <c r="CG78">
        <v>405</v>
      </c>
      <c r="CH78">
        <v>128</v>
      </c>
      <c r="CI78" t="s">
        <v>6300</v>
      </c>
      <c r="CT78">
        <v>5</v>
      </c>
      <c r="CZ78" t="s">
        <v>376</v>
      </c>
    </row>
    <row r="79" spans="1:104" x14ac:dyDescent="0.25">
      <c r="A79" t="s">
        <v>220</v>
      </c>
      <c r="B79" t="s">
        <v>6377</v>
      </c>
      <c r="AH79">
        <v>5</v>
      </c>
      <c r="AN79">
        <v>1</v>
      </c>
      <c r="BF79">
        <v>210</v>
      </c>
      <c r="BG79">
        <v>220</v>
      </c>
      <c r="BH79">
        <v>84</v>
      </c>
      <c r="BI79">
        <v>160</v>
      </c>
      <c r="BL79" t="s">
        <v>316</v>
      </c>
      <c r="CD79">
        <v>5</v>
      </c>
      <c r="CE79">
        <v>17</v>
      </c>
      <c r="CF79">
        <v>18</v>
      </c>
      <c r="CI79" t="s">
        <v>6305</v>
      </c>
      <c r="CT79">
        <v>5</v>
      </c>
    </row>
    <row r="80" spans="1:104" x14ac:dyDescent="0.25">
      <c r="A80" t="s">
        <v>221</v>
      </c>
      <c r="B80" t="s">
        <v>6354</v>
      </c>
      <c r="AH80">
        <v>5</v>
      </c>
      <c r="AI80">
        <v>18</v>
      </c>
      <c r="AJ80">
        <v>112</v>
      </c>
      <c r="AM80" t="s">
        <v>6329</v>
      </c>
      <c r="BF80">
        <v>6</v>
      </c>
      <c r="BG80">
        <v>220</v>
      </c>
      <c r="BH80">
        <v>104</v>
      </c>
      <c r="BI80">
        <v>160</v>
      </c>
      <c r="CD80">
        <v>10</v>
      </c>
      <c r="CE80">
        <v>220</v>
      </c>
      <c r="CF80">
        <v>16</v>
      </c>
      <c r="CG80">
        <v>178</v>
      </c>
      <c r="CT80">
        <v>5</v>
      </c>
    </row>
    <row r="81" spans="1:104" x14ac:dyDescent="0.25">
      <c r="A81" t="s">
        <v>604</v>
      </c>
      <c r="B81" t="s">
        <v>6403</v>
      </c>
      <c r="AH81">
        <v>10</v>
      </c>
      <c r="AI81">
        <v>222</v>
      </c>
      <c r="AJ81">
        <v>110</v>
      </c>
      <c r="AK81">
        <v>160</v>
      </c>
      <c r="AN81" t="s">
        <v>316</v>
      </c>
      <c r="BF81">
        <v>13</v>
      </c>
      <c r="BG81">
        <v>18</v>
      </c>
      <c r="BH81">
        <v>151</v>
      </c>
      <c r="BK81" t="s">
        <v>6406</v>
      </c>
      <c r="BL81" t="b">
        <v>0</v>
      </c>
      <c r="CD81">
        <v>5</v>
      </c>
      <c r="CE81">
        <v>17</v>
      </c>
      <c r="CF81">
        <v>41</v>
      </c>
      <c r="CI81" t="s">
        <v>6312</v>
      </c>
      <c r="CT81">
        <v>5</v>
      </c>
    </row>
    <row r="82" spans="1:104" x14ac:dyDescent="0.25">
      <c r="A82" t="s">
        <v>606</v>
      </c>
      <c r="B82" t="s">
        <v>6407</v>
      </c>
      <c r="AH82">
        <v>205</v>
      </c>
      <c r="AI82">
        <v>18</v>
      </c>
      <c r="AJ82">
        <v>132</v>
      </c>
      <c r="AM82" t="s">
        <v>6314</v>
      </c>
      <c r="BF82">
        <v>24</v>
      </c>
      <c r="BG82">
        <v>407</v>
      </c>
      <c r="BH82">
        <v>57</v>
      </c>
      <c r="BI82">
        <v>90</v>
      </c>
      <c r="CD82">
        <v>10</v>
      </c>
      <c r="CE82">
        <v>220</v>
      </c>
      <c r="CF82">
        <v>39</v>
      </c>
      <c r="CG82">
        <v>178</v>
      </c>
      <c r="CT82">
        <v>5</v>
      </c>
    </row>
    <row r="83" spans="1:104" x14ac:dyDescent="0.25">
      <c r="A83" t="s">
        <v>608</v>
      </c>
      <c r="B83" t="s">
        <v>6408</v>
      </c>
      <c r="AH83">
        <v>206</v>
      </c>
      <c r="AI83">
        <v>222</v>
      </c>
      <c r="AJ83">
        <v>130</v>
      </c>
      <c r="AK83">
        <v>160</v>
      </c>
      <c r="CD83">
        <v>5</v>
      </c>
      <c r="CE83">
        <v>17</v>
      </c>
      <c r="CF83">
        <v>68</v>
      </c>
      <c r="CI83" t="s">
        <v>6388</v>
      </c>
      <c r="CT83">
        <v>5</v>
      </c>
    </row>
    <row r="84" spans="1:104" x14ac:dyDescent="0.25">
      <c r="A84" t="s">
        <v>303</v>
      </c>
      <c r="B84" t="s">
        <v>6409</v>
      </c>
      <c r="AH84">
        <v>205</v>
      </c>
      <c r="AI84">
        <v>18</v>
      </c>
      <c r="AJ84">
        <v>152</v>
      </c>
      <c r="AM84" t="s">
        <v>6319</v>
      </c>
      <c r="CD84">
        <v>8</v>
      </c>
      <c r="CE84">
        <v>307</v>
      </c>
      <c r="CF84">
        <v>66</v>
      </c>
      <c r="CG84">
        <v>89</v>
      </c>
      <c r="CT84">
        <v>5</v>
      </c>
    </row>
    <row r="85" spans="1:104" x14ac:dyDescent="0.25">
      <c r="A85" t="s">
        <v>467</v>
      </c>
      <c r="B85" t="s">
        <v>6410</v>
      </c>
      <c r="AH85">
        <v>13</v>
      </c>
      <c r="AI85">
        <v>18</v>
      </c>
      <c r="AJ85">
        <v>175</v>
      </c>
      <c r="AM85" t="s">
        <v>6338</v>
      </c>
      <c r="AN85" t="b">
        <v>0</v>
      </c>
      <c r="CD85">
        <v>13</v>
      </c>
      <c r="CE85">
        <v>18</v>
      </c>
      <c r="CF85">
        <v>87</v>
      </c>
      <c r="CI85" t="s">
        <v>6313</v>
      </c>
      <c r="CJ85" t="b">
        <v>0</v>
      </c>
      <c r="CT85">
        <v>5</v>
      </c>
    </row>
    <row r="86" spans="1:104" x14ac:dyDescent="0.25">
      <c r="A86" t="s">
        <v>228</v>
      </c>
      <c r="B86" t="s">
        <v>6411</v>
      </c>
      <c r="AH86">
        <v>13</v>
      </c>
      <c r="AI86">
        <v>222</v>
      </c>
      <c r="AJ86">
        <v>175</v>
      </c>
      <c r="AM86" t="s">
        <v>6412</v>
      </c>
      <c r="AN86" t="b">
        <v>0</v>
      </c>
      <c r="BF86" t="s">
        <v>230</v>
      </c>
      <c r="BL86">
        <v>5</v>
      </c>
      <c r="CD86">
        <v>5</v>
      </c>
      <c r="CE86">
        <v>18</v>
      </c>
      <c r="CF86">
        <v>108</v>
      </c>
      <c r="CI86" t="s">
        <v>3550</v>
      </c>
      <c r="CT86">
        <v>5</v>
      </c>
    </row>
    <row r="87" spans="1:104" x14ac:dyDescent="0.25">
      <c r="A87" t="s">
        <v>231</v>
      </c>
      <c r="B87" t="s">
        <v>6413</v>
      </c>
      <c r="AH87">
        <v>24</v>
      </c>
      <c r="AI87">
        <v>407</v>
      </c>
      <c r="AJ87">
        <v>57</v>
      </c>
      <c r="AK87">
        <v>90</v>
      </c>
      <c r="BF87" s="1" t="s">
        <v>668</v>
      </c>
      <c r="BI87">
        <v>523</v>
      </c>
      <c r="BJ87">
        <v>241</v>
      </c>
      <c r="BK87" t="s">
        <v>6398</v>
      </c>
      <c r="BL87">
        <v>5</v>
      </c>
      <c r="CD87">
        <v>8</v>
      </c>
      <c r="CE87">
        <v>73</v>
      </c>
      <c r="CF87">
        <v>105</v>
      </c>
      <c r="CG87">
        <v>63</v>
      </c>
      <c r="CJ87">
        <v>0.05</v>
      </c>
      <c r="CT87">
        <v>5</v>
      </c>
    </row>
    <row r="88" spans="1:104" x14ac:dyDescent="0.25">
      <c r="A88" t="s">
        <v>616</v>
      </c>
      <c r="B88" t="s">
        <v>6414</v>
      </c>
      <c r="BF88">
        <v>1</v>
      </c>
      <c r="BG88">
        <v>407</v>
      </c>
      <c r="BH88">
        <v>7</v>
      </c>
      <c r="BI88">
        <v>90</v>
      </c>
      <c r="BK88" t="s">
        <v>6299</v>
      </c>
      <c r="CD88">
        <v>14</v>
      </c>
      <c r="CE88">
        <v>8</v>
      </c>
      <c r="CF88">
        <v>136</v>
      </c>
      <c r="CG88">
        <v>405</v>
      </c>
      <c r="CH88">
        <v>81</v>
      </c>
      <c r="CI88" t="s">
        <v>6301</v>
      </c>
      <c r="CT88">
        <v>5</v>
      </c>
      <c r="CU88">
        <v>26</v>
      </c>
      <c r="CV88">
        <v>108</v>
      </c>
      <c r="CY88" t="s">
        <v>6415</v>
      </c>
    </row>
    <row r="89" spans="1:104" x14ac:dyDescent="0.25">
      <c r="A89" t="s">
        <v>299</v>
      </c>
      <c r="B89" t="s">
        <v>6416</v>
      </c>
      <c r="BF89">
        <v>2</v>
      </c>
      <c r="BG89">
        <v>407</v>
      </c>
      <c r="BH89">
        <v>30</v>
      </c>
      <c r="BI89">
        <v>90</v>
      </c>
      <c r="BK89" t="s">
        <v>6008</v>
      </c>
      <c r="CD89">
        <v>111</v>
      </c>
      <c r="CJ89">
        <v>2</v>
      </c>
      <c r="CT89">
        <v>8</v>
      </c>
      <c r="CU89">
        <v>109</v>
      </c>
      <c r="CV89">
        <v>106</v>
      </c>
      <c r="CW89">
        <v>60</v>
      </c>
    </row>
    <row r="90" spans="1:104" x14ac:dyDescent="0.25">
      <c r="A90" t="s">
        <v>235</v>
      </c>
      <c r="B90" t="s">
        <v>6417</v>
      </c>
      <c r="BF90">
        <v>14</v>
      </c>
      <c r="BG90">
        <v>8</v>
      </c>
      <c r="BH90">
        <v>3</v>
      </c>
      <c r="BI90">
        <v>385</v>
      </c>
      <c r="BJ90">
        <v>86</v>
      </c>
      <c r="BK90" t="s">
        <v>6300</v>
      </c>
      <c r="CD90">
        <v>12</v>
      </c>
      <c r="CE90">
        <v>17</v>
      </c>
      <c r="CF90">
        <v>152</v>
      </c>
      <c r="CI90" t="s">
        <v>6329</v>
      </c>
    </row>
    <row r="91" spans="1:104" x14ac:dyDescent="0.25">
      <c r="A91" t="s">
        <v>237</v>
      </c>
      <c r="B91" t="s">
        <v>6409</v>
      </c>
      <c r="BF91">
        <v>5</v>
      </c>
      <c r="BG91">
        <v>18</v>
      </c>
      <c r="BH91">
        <v>19</v>
      </c>
      <c r="BK91" t="s">
        <v>6303</v>
      </c>
      <c r="CD91">
        <v>12</v>
      </c>
      <c r="CF91">
        <v>172</v>
      </c>
      <c r="CI91" t="s">
        <v>6314</v>
      </c>
      <c r="CT91" t="s">
        <v>379</v>
      </c>
    </row>
    <row r="92" spans="1:104" x14ac:dyDescent="0.25">
      <c r="A92" t="s">
        <v>239</v>
      </c>
      <c r="B92" t="s">
        <v>6418</v>
      </c>
      <c r="BF92">
        <v>10</v>
      </c>
      <c r="BG92">
        <v>220</v>
      </c>
      <c r="BH92">
        <v>16</v>
      </c>
      <c r="BI92">
        <v>160</v>
      </c>
      <c r="BL92" t="s">
        <v>316</v>
      </c>
      <c r="CD92">
        <v>12</v>
      </c>
      <c r="CF92">
        <v>192</v>
      </c>
      <c r="CI92" t="s">
        <v>6319</v>
      </c>
      <c r="CT92">
        <v>5</v>
      </c>
      <c r="CZ92" t="s">
        <v>379</v>
      </c>
    </row>
    <row r="93" spans="1:104" x14ac:dyDescent="0.25">
      <c r="A93" t="s">
        <v>485</v>
      </c>
      <c r="B93" t="s">
        <v>6419</v>
      </c>
      <c r="BF93">
        <v>5</v>
      </c>
      <c r="BG93">
        <v>18</v>
      </c>
      <c r="BH93">
        <v>43</v>
      </c>
      <c r="BK93" t="s">
        <v>6420</v>
      </c>
      <c r="CD93">
        <v>210</v>
      </c>
      <c r="CE93">
        <v>220</v>
      </c>
      <c r="CF93">
        <v>150</v>
      </c>
      <c r="CG93">
        <v>177</v>
      </c>
      <c r="CT93">
        <v>5</v>
      </c>
    </row>
    <row r="94" spans="1:104" x14ac:dyDescent="0.25">
      <c r="A94" t="s">
        <v>242</v>
      </c>
      <c r="B94" t="s">
        <v>6421</v>
      </c>
      <c r="BF94">
        <v>10</v>
      </c>
      <c r="BG94">
        <v>220</v>
      </c>
      <c r="BH94">
        <v>40</v>
      </c>
      <c r="BI94">
        <v>160</v>
      </c>
      <c r="BL94" t="s">
        <v>316</v>
      </c>
      <c r="CD94">
        <v>6</v>
      </c>
      <c r="CE94">
        <v>220</v>
      </c>
      <c r="CF94">
        <v>172</v>
      </c>
      <c r="CG94">
        <v>177</v>
      </c>
      <c r="CT94">
        <v>5</v>
      </c>
    </row>
    <row r="95" spans="1:104" x14ac:dyDescent="0.25">
      <c r="A95" t="s">
        <v>244</v>
      </c>
      <c r="B95" t="s">
        <v>6422</v>
      </c>
      <c r="BF95">
        <v>13</v>
      </c>
      <c r="BG95">
        <v>18</v>
      </c>
      <c r="BH95">
        <v>66</v>
      </c>
      <c r="BK95" t="s">
        <v>6313</v>
      </c>
      <c r="BL95" t="b">
        <v>0</v>
      </c>
      <c r="CD95">
        <v>24</v>
      </c>
      <c r="CE95">
        <v>440</v>
      </c>
      <c r="CF95">
        <v>57</v>
      </c>
      <c r="CG95">
        <v>90</v>
      </c>
      <c r="CT95">
        <v>5</v>
      </c>
    </row>
    <row r="96" spans="1:104" x14ac:dyDescent="0.25">
      <c r="A96" t="s">
        <v>246</v>
      </c>
      <c r="B96" t="s">
        <v>6423</v>
      </c>
      <c r="BF96">
        <v>14</v>
      </c>
      <c r="BG96">
        <v>8</v>
      </c>
      <c r="BH96">
        <v>96</v>
      </c>
      <c r="BI96">
        <v>385</v>
      </c>
      <c r="BJ96">
        <v>135</v>
      </c>
      <c r="BK96" t="s">
        <v>6301</v>
      </c>
      <c r="CT96">
        <v>5</v>
      </c>
    </row>
    <row r="97" spans="1:104" x14ac:dyDescent="0.25">
      <c r="A97" t="s">
        <v>248</v>
      </c>
      <c r="B97" t="s">
        <v>249</v>
      </c>
      <c r="BF97">
        <v>111</v>
      </c>
      <c r="BL97">
        <v>2</v>
      </c>
      <c r="CT97">
        <v>5</v>
      </c>
    </row>
    <row r="98" spans="1:104" x14ac:dyDescent="0.25">
      <c r="A98" t="s">
        <v>250</v>
      </c>
      <c r="B98" t="s">
        <v>6424</v>
      </c>
      <c r="BF98">
        <v>12</v>
      </c>
      <c r="BG98">
        <v>18</v>
      </c>
      <c r="BH98">
        <v>112</v>
      </c>
      <c r="BK98" t="s">
        <v>6329</v>
      </c>
      <c r="CT98">
        <v>5</v>
      </c>
    </row>
    <row r="99" spans="1:104" x14ac:dyDescent="0.25">
      <c r="A99" t="s">
        <v>252</v>
      </c>
      <c r="B99" t="s">
        <v>6409</v>
      </c>
      <c r="BF99">
        <v>12</v>
      </c>
      <c r="BH99">
        <v>132</v>
      </c>
      <c r="BK99" t="s">
        <v>6314</v>
      </c>
      <c r="CD99" t="s">
        <v>357</v>
      </c>
      <c r="CT99">
        <v>5</v>
      </c>
    </row>
    <row r="100" spans="1:104" x14ac:dyDescent="0.25">
      <c r="A100" t="s">
        <v>511</v>
      </c>
      <c r="B100" t="s">
        <v>6425</v>
      </c>
      <c r="BF100">
        <v>12</v>
      </c>
      <c r="BH100">
        <v>152</v>
      </c>
      <c r="BK100" t="s">
        <v>6319</v>
      </c>
      <c r="CD100" s="1" t="s">
        <v>674</v>
      </c>
      <c r="CG100">
        <v>577</v>
      </c>
      <c r="CH100">
        <v>281</v>
      </c>
      <c r="CI100" t="s">
        <v>6426</v>
      </c>
      <c r="CJ100">
        <v>5</v>
      </c>
      <c r="CT100">
        <v>5</v>
      </c>
      <c r="CU100">
        <v>23</v>
      </c>
      <c r="CV100">
        <v>131</v>
      </c>
      <c r="CY100" t="s">
        <v>6427</v>
      </c>
    </row>
    <row r="101" spans="1:104" x14ac:dyDescent="0.25">
      <c r="A101" t="s">
        <v>513</v>
      </c>
      <c r="B101" t="s">
        <v>6418</v>
      </c>
      <c r="BF101">
        <v>210</v>
      </c>
      <c r="BG101">
        <v>220</v>
      </c>
      <c r="BH101">
        <v>110</v>
      </c>
      <c r="BI101">
        <v>160</v>
      </c>
      <c r="BL101" t="s">
        <v>316</v>
      </c>
      <c r="CD101">
        <v>1</v>
      </c>
      <c r="CE101">
        <v>474</v>
      </c>
      <c r="CF101">
        <v>7</v>
      </c>
      <c r="CG101">
        <v>90</v>
      </c>
      <c r="CI101" t="s">
        <v>6299</v>
      </c>
      <c r="CT101">
        <v>7</v>
      </c>
      <c r="CU101">
        <v>175</v>
      </c>
      <c r="CV101">
        <v>128</v>
      </c>
      <c r="CW101">
        <v>60</v>
      </c>
    </row>
    <row r="102" spans="1:104" x14ac:dyDescent="0.25">
      <c r="A102" t="s">
        <v>515</v>
      </c>
      <c r="B102" t="s">
        <v>6372</v>
      </c>
      <c r="BF102">
        <v>6</v>
      </c>
      <c r="BG102">
        <v>220</v>
      </c>
      <c r="BH102">
        <v>130</v>
      </c>
      <c r="BI102">
        <v>160</v>
      </c>
      <c r="CD102">
        <v>2</v>
      </c>
      <c r="CE102">
        <v>474</v>
      </c>
      <c r="CF102">
        <v>30</v>
      </c>
      <c r="CG102">
        <v>90</v>
      </c>
      <c r="CI102" t="s">
        <v>6008</v>
      </c>
      <c r="CT102">
        <v>5</v>
      </c>
      <c r="CU102">
        <v>25</v>
      </c>
      <c r="CV102">
        <v>108</v>
      </c>
      <c r="CY102" t="s">
        <v>6415</v>
      </c>
    </row>
    <row r="103" spans="1:104" x14ac:dyDescent="0.25">
      <c r="A103" t="s">
        <v>516</v>
      </c>
      <c r="B103" t="s">
        <v>6428</v>
      </c>
      <c r="BF103">
        <v>13</v>
      </c>
      <c r="BG103">
        <v>18</v>
      </c>
      <c r="BH103">
        <v>174</v>
      </c>
      <c r="BK103" t="s">
        <v>6429</v>
      </c>
      <c r="BL103" t="b">
        <v>0</v>
      </c>
      <c r="CD103">
        <v>14</v>
      </c>
      <c r="CE103">
        <v>8</v>
      </c>
      <c r="CF103">
        <v>3</v>
      </c>
      <c r="CG103">
        <v>422</v>
      </c>
      <c r="CH103">
        <v>186</v>
      </c>
      <c r="CI103" t="s">
        <v>6300</v>
      </c>
      <c r="CT103">
        <v>8</v>
      </c>
      <c r="CU103">
        <v>175</v>
      </c>
      <c r="CV103">
        <v>105</v>
      </c>
      <c r="CW103">
        <v>60</v>
      </c>
    </row>
    <row r="104" spans="1:104" x14ac:dyDescent="0.25">
      <c r="A104" t="s">
        <v>519</v>
      </c>
      <c r="B104" t="s">
        <v>6142</v>
      </c>
      <c r="BF104">
        <v>13</v>
      </c>
      <c r="BK104" t="s">
        <v>6430</v>
      </c>
      <c r="BL104" t="b">
        <v>0</v>
      </c>
      <c r="CD104">
        <v>5</v>
      </c>
      <c r="CE104">
        <v>17</v>
      </c>
      <c r="CF104">
        <v>18</v>
      </c>
      <c r="CI104" t="s">
        <v>6305</v>
      </c>
    </row>
    <row r="105" spans="1:104" x14ac:dyDescent="0.25">
      <c r="A105" t="s">
        <v>534</v>
      </c>
      <c r="B105" t="s">
        <v>6431</v>
      </c>
      <c r="BF105">
        <v>13</v>
      </c>
      <c r="BK105" t="s">
        <v>6338</v>
      </c>
      <c r="BL105" t="b">
        <v>0</v>
      </c>
      <c r="CD105">
        <v>10</v>
      </c>
      <c r="CE105">
        <v>222</v>
      </c>
      <c r="CF105">
        <v>16</v>
      </c>
      <c r="CG105">
        <v>192</v>
      </c>
      <c r="CJ105" t="s">
        <v>316</v>
      </c>
      <c r="CT105" t="s">
        <v>382</v>
      </c>
    </row>
    <row r="106" spans="1:104" x14ac:dyDescent="0.25">
      <c r="A106" t="s">
        <v>536</v>
      </c>
      <c r="B106" t="s">
        <v>3600</v>
      </c>
      <c r="BF106">
        <v>24</v>
      </c>
      <c r="BG106">
        <v>407</v>
      </c>
      <c r="BH106">
        <v>57</v>
      </c>
      <c r="BI106">
        <v>90</v>
      </c>
      <c r="CD106">
        <v>5</v>
      </c>
      <c r="CE106">
        <v>17</v>
      </c>
      <c r="CF106">
        <v>41</v>
      </c>
      <c r="CI106" t="s">
        <v>6312</v>
      </c>
      <c r="CT106">
        <v>5</v>
      </c>
      <c r="CZ106" t="s">
        <v>382</v>
      </c>
    </row>
    <row r="107" spans="1:104" x14ac:dyDescent="0.25">
      <c r="A107" t="s">
        <v>538</v>
      </c>
      <c r="B107" t="s">
        <v>6298</v>
      </c>
      <c r="CD107">
        <v>10</v>
      </c>
      <c r="CE107">
        <v>222</v>
      </c>
      <c r="CF107">
        <v>39</v>
      </c>
      <c r="CG107">
        <v>192</v>
      </c>
      <c r="CJ107" t="s">
        <v>316</v>
      </c>
      <c r="CT107">
        <v>5</v>
      </c>
    </row>
    <row r="108" spans="1:104" x14ac:dyDescent="0.25">
      <c r="A108" t="s">
        <v>259</v>
      </c>
      <c r="B108" t="s">
        <v>6432</v>
      </c>
      <c r="CD108">
        <v>5</v>
      </c>
      <c r="CE108">
        <v>17</v>
      </c>
      <c r="CF108">
        <v>68</v>
      </c>
      <c r="CI108" t="s">
        <v>6388</v>
      </c>
      <c r="CT108">
        <v>5</v>
      </c>
    </row>
    <row r="109" spans="1:104" x14ac:dyDescent="0.25">
      <c r="A109" t="s">
        <v>60</v>
      </c>
      <c r="B109" t="s">
        <v>6433</v>
      </c>
      <c r="CD109">
        <v>8</v>
      </c>
      <c r="CE109">
        <v>260</v>
      </c>
      <c r="CF109">
        <v>66</v>
      </c>
      <c r="CG109">
        <v>153</v>
      </c>
      <c r="CT109">
        <v>5</v>
      </c>
    </row>
    <row r="110" spans="1:104" x14ac:dyDescent="0.25">
      <c r="A110" t="s">
        <v>62</v>
      </c>
      <c r="B110" t="s">
        <v>6434</v>
      </c>
      <c r="CD110">
        <v>5</v>
      </c>
      <c r="CE110">
        <v>20</v>
      </c>
      <c r="CF110">
        <v>95</v>
      </c>
      <c r="CI110" t="s">
        <v>6435</v>
      </c>
      <c r="CT110">
        <v>5</v>
      </c>
    </row>
    <row r="111" spans="1:104" x14ac:dyDescent="0.25">
      <c r="A111" t="s">
        <v>434</v>
      </c>
      <c r="B111" t="s">
        <v>6436</v>
      </c>
      <c r="CD111">
        <v>8</v>
      </c>
      <c r="CE111">
        <v>260</v>
      </c>
      <c r="CF111">
        <v>93</v>
      </c>
      <c r="CG111">
        <v>153</v>
      </c>
      <c r="CT111">
        <v>5</v>
      </c>
    </row>
    <row r="112" spans="1:104" x14ac:dyDescent="0.25">
      <c r="A112" t="s">
        <v>436</v>
      </c>
      <c r="B112" t="s">
        <v>6437</v>
      </c>
      <c r="CD112">
        <v>5</v>
      </c>
      <c r="CE112">
        <v>17</v>
      </c>
      <c r="CF112">
        <v>119</v>
      </c>
      <c r="CI112" t="s">
        <v>6438</v>
      </c>
      <c r="CT112">
        <v>5</v>
      </c>
    </row>
    <row r="113" spans="1:104" x14ac:dyDescent="0.25">
      <c r="A113" t="s">
        <v>539</v>
      </c>
      <c r="B113" t="s">
        <v>6439</v>
      </c>
      <c r="CD113">
        <v>8</v>
      </c>
      <c r="CE113">
        <v>259</v>
      </c>
      <c r="CF113">
        <v>117</v>
      </c>
      <c r="CG113">
        <v>153</v>
      </c>
      <c r="CT113">
        <v>5</v>
      </c>
    </row>
    <row r="114" spans="1:104" x14ac:dyDescent="0.25">
      <c r="A114" t="s">
        <v>541</v>
      </c>
      <c r="B114" t="s">
        <v>6440</v>
      </c>
      <c r="CD114">
        <v>13</v>
      </c>
      <c r="CE114">
        <v>17</v>
      </c>
      <c r="CF114">
        <v>143</v>
      </c>
      <c r="CI114" t="s">
        <v>6313</v>
      </c>
      <c r="CJ114" t="b">
        <v>0</v>
      </c>
      <c r="CT114">
        <v>5</v>
      </c>
    </row>
    <row r="115" spans="1:104" x14ac:dyDescent="0.25">
      <c r="A115" t="s">
        <v>543</v>
      </c>
      <c r="B115" t="s">
        <v>6292</v>
      </c>
      <c r="CD115">
        <v>5</v>
      </c>
      <c r="CE115">
        <v>17</v>
      </c>
      <c r="CF115">
        <v>168</v>
      </c>
      <c r="CI115" t="s">
        <v>3550</v>
      </c>
      <c r="CT115">
        <v>5</v>
      </c>
    </row>
    <row r="116" spans="1:104" x14ac:dyDescent="0.25">
      <c r="A116" t="s">
        <v>544</v>
      </c>
      <c r="B116" t="s">
        <v>6441</v>
      </c>
      <c r="CD116">
        <v>8</v>
      </c>
      <c r="CE116">
        <v>72</v>
      </c>
      <c r="CF116">
        <v>166</v>
      </c>
      <c r="CG116">
        <v>63</v>
      </c>
      <c r="CJ116">
        <v>0.05</v>
      </c>
      <c r="CT116">
        <v>5</v>
      </c>
      <c r="CU116">
        <v>25</v>
      </c>
      <c r="CV116">
        <v>107</v>
      </c>
      <c r="CY116" t="s">
        <v>3685</v>
      </c>
    </row>
    <row r="117" spans="1:104" x14ac:dyDescent="0.25">
      <c r="A117" t="s">
        <v>547</v>
      </c>
      <c r="B117" t="s">
        <v>6442</v>
      </c>
      <c r="CD117">
        <v>14</v>
      </c>
      <c r="CE117">
        <v>8</v>
      </c>
      <c r="CF117">
        <v>195</v>
      </c>
      <c r="CG117">
        <v>422</v>
      </c>
      <c r="CH117">
        <v>81</v>
      </c>
      <c r="CI117" t="s">
        <v>6301</v>
      </c>
      <c r="CT117">
        <v>8</v>
      </c>
      <c r="CU117">
        <v>142</v>
      </c>
      <c r="CV117">
        <v>102</v>
      </c>
      <c r="CW117">
        <v>60</v>
      </c>
      <c r="CX117">
        <v>18</v>
      </c>
    </row>
    <row r="118" spans="1:104" x14ac:dyDescent="0.25">
      <c r="A118" t="s">
        <v>560</v>
      </c>
      <c r="B118" t="s">
        <v>6443</v>
      </c>
      <c r="CD118">
        <v>111</v>
      </c>
      <c r="CJ118">
        <v>2</v>
      </c>
    </row>
    <row r="119" spans="1:104" x14ac:dyDescent="0.25">
      <c r="A119" t="s">
        <v>562</v>
      </c>
      <c r="B119" t="s">
        <v>6444</v>
      </c>
      <c r="CD119">
        <v>12</v>
      </c>
      <c r="CE119">
        <v>17</v>
      </c>
      <c r="CF119">
        <v>211</v>
      </c>
      <c r="CI119" t="s">
        <v>6329</v>
      </c>
      <c r="CT119" t="s">
        <v>332</v>
      </c>
    </row>
    <row r="120" spans="1:104" x14ac:dyDescent="0.25">
      <c r="A120" t="s">
        <v>366</v>
      </c>
      <c r="B120" t="s">
        <v>6445</v>
      </c>
      <c r="CD120">
        <v>12</v>
      </c>
      <c r="CF120">
        <v>231</v>
      </c>
      <c r="CI120" t="s">
        <v>6314</v>
      </c>
      <c r="CT120">
        <v>5</v>
      </c>
      <c r="CZ120" t="s">
        <v>332</v>
      </c>
    </row>
    <row r="121" spans="1:104" x14ac:dyDescent="0.25">
      <c r="A121" t="s">
        <v>368</v>
      </c>
      <c r="B121" t="s">
        <v>6446</v>
      </c>
      <c r="CD121">
        <v>12</v>
      </c>
      <c r="CF121">
        <v>251</v>
      </c>
      <c r="CI121" t="s">
        <v>6319</v>
      </c>
      <c r="CT121">
        <v>5</v>
      </c>
    </row>
    <row r="122" spans="1:104" x14ac:dyDescent="0.25">
      <c r="A122" t="s">
        <v>370</v>
      </c>
      <c r="B122" t="s">
        <v>6142</v>
      </c>
      <c r="CD122">
        <v>210</v>
      </c>
      <c r="CE122">
        <v>222</v>
      </c>
      <c r="CF122">
        <v>209</v>
      </c>
      <c r="CG122">
        <v>192</v>
      </c>
      <c r="CJ122" t="s">
        <v>316</v>
      </c>
      <c r="CT122">
        <v>5</v>
      </c>
    </row>
    <row r="123" spans="1:104" x14ac:dyDescent="0.25">
      <c r="A123" t="s">
        <v>454</v>
      </c>
      <c r="B123" t="s">
        <v>293</v>
      </c>
      <c r="CD123">
        <v>6</v>
      </c>
      <c r="CE123">
        <v>222</v>
      </c>
      <c r="CF123">
        <v>229</v>
      </c>
      <c r="CG123">
        <v>192</v>
      </c>
      <c r="CT123">
        <v>5</v>
      </c>
    </row>
    <row r="124" spans="1:104" x14ac:dyDescent="0.25">
      <c r="A124" t="s">
        <v>294</v>
      </c>
      <c r="B124" t="s">
        <v>6447</v>
      </c>
      <c r="CD124">
        <v>24</v>
      </c>
      <c r="CE124">
        <v>474</v>
      </c>
      <c r="CF124">
        <v>57</v>
      </c>
      <c r="CG124">
        <v>90</v>
      </c>
      <c r="CT124">
        <v>5</v>
      </c>
    </row>
    <row r="125" spans="1:104" x14ac:dyDescent="0.25">
      <c r="A125" t="s">
        <v>296</v>
      </c>
      <c r="B125" t="s">
        <v>6448</v>
      </c>
      <c r="CT125">
        <v>5</v>
      </c>
    </row>
    <row r="126" spans="1:104" x14ac:dyDescent="0.25">
      <c r="A126" t="s">
        <v>590</v>
      </c>
      <c r="B126" t="s">
        <v>6449</v>
      </c>
      <c r="CT126">
        <v>5</v>
      </c>
    </row>
    <row r="127" spans="1:104" x14ac:dyDescent="0.25">
      <c r="A127" t="s">
        <v>592</v>
      </c>
      <c r="B127" t="s">
        <v>6450</v>
      </c>
      <c r="CT127">
        <v>5</v>
      </c>
    </row>
    <row r="128" spans="1:104" x14ac:dyDescent="0.25">
      <c r="A128" t="s">
        <v>594</v>
      </c>
      <c r="B128" t="s">
        <v>6451</v>
      </c>
      <c r="CT128">
        <v>5</v>
      </c>
    </row>
    <row r="129" spans="1:104" x14ac:dyDescent="0.25">
      <c r="A129" t="s">
        <v>596</v>
      </c>
      <c r="B129" t="s">
        <v>6343</v>
      </c>
      <c r="CT129">
        <v>5</v>
      </c>
    </row>
    <row r="130" spans="1:104" x14ac:dyDescent="0.25">
      <c r="A130" t="s">
        <v>277</v>
      </c>
      <c r="B130" t="s">
        <v>6452</v>
      </c>
      <c r="CT130">
        <v>5</v>
      </c>
      <c r="CU130">
        <v>23</v>
      </c>
      <c r="CV130">
        <v>107</v>
      </c>
      <c r="CY130" t="s">
        <v>6453</v>
      </c>
    </row>
    <row r="131" spans="1:104" x14ac:dyDescent="0.25">
      <c r="A131" t="s">
        <v>279</v>
      </c>
      <c r="B131" t="s">
        <v>6454</v>
      </c>
      <c r="CT131">
        <v>10</v>
      </c>
      <c r="CU131">
        <v>21</v>
      </c>
      <c r="CV131">
        <v>123</v>
      </c>
      <c r="CW131">
        <v>279</v>
      </c>
      <c r="CZ131" t="s">
        <v>316</v>
      </c>
    </row>
    <row r="132" spans="1:104" x14ac:dyDescent="0.25">
      <c r="A132" t="s">
        <v>281</v>
      </c>
      <c r="B132" t="s">
        <v>3698</v>
      </c>
    </row>
    <row r="133" spans="1:104" x14ac:dyDescent="0.25">
      <c r="A133" t="s">
        <v>283</v>
      </c>
      <c r="B133" t="s">
        <v>3699</v>
      </c>
    </row>
    <row r="134" spans="1:104" x14ac:dyDescent="0.25">
      <c r="A134" t="s">
        <v>285</v>
      </c>
      <c r="B134" t="s">
        <v>3700</v>
      </c>
      <c r="CT134" t="s">
        <v>287</v>
      </c>
    </row>
    <row r="135" spans="1:104" x14ac:dyDescent="0.25">
      <c r="A135" t="s">
        <v>288</v>
      </c>
      <c r="B135" t="s">
        <v>3701</v>
      </c>
      <c r="CT135" t="s">
        <v>507</v>
      </c>
    </row>
    <row r="136" spans="1:104" x14ac:dyDescent="0.25">
      <c r="A136" t="s">
        <v>290</v>
      </c>
      <c r="B136" t="s">
        <v>6455</v>
      </c>
      <c r="CT136" t="str">
        <f>mg01s.RandUniform</f>
        <v>均等分配</v>
      </c>
      <c r="CU136" t="s">
        <v>551</v>
      </c>
    </row>
    <row r="137" spans="1:104" x14ac:dyDescent="0.25">
      <c r="A137" t="s">
        <v>292</v>
      </c>
      <c r="B137" t="s">
        <v>6456</v>
      </c>
      <c r="CT137" t="str">
        <f>mg01s.RandNormal</f>
        <v>常態分配</v>
      </c>
      <c r="CU137" t="s">
        <v>554</v>
      </c>
    </row>
    <row r="138" spans="1:104" x14ac:dyDescent="0.25">
      <c r="A138" t="s">
        <v>609</v>
      </c>
      <c r="B138" t="s">
        <v>6457</v>
      </c>
      <c r="CT138" t="str">
        <f>mg01s.RandBernoulli</f>
        <v>白努力分配</v>
      </c>
      <c r="CU138" t="s">
        <v>376</v>
      </c>
    </row>
    <row r="139" spans="1:104" x14ac:dyDescent="0.25">
      <c r="A139" t="s">
        <v>611</v>
      </c>
      <c r="B139" t="s">
        <v>6458</v>
      </c>
      <c r="CT139" t="str">
        <f>mg01s.RandBinomial</f>
        <v>二項分配</v>
      </c>
      <c r="CU139" t="s">
        <v>379</v>
      </c>
    </row>
    <row r="140" spans="1:104" x14ac:dyDescent="0.25">
      <c r="A140" t="s">
        <v>613</v>
      </c>
      <c r="B140" t="s">
        <v>6459</v>
      </c>
      <c r="CT140" t="str">
        <f>mg01s.RandPoisson</f>
        <v>波氏分配</v>
      </c>
      <c r="CU140" t="s">
        <v>382</v>
      </c>
    </row>
    <row r="141" spans="1:104" x14ac:dyDescent="0.25">
      <c r="A141" t="s">
        <v>298</v>
      </c>
      <c r="B141" t="s">
        <v>6460</v>
      </c>
      <c r="CT141" t="str">
        <f>mg01s.RandPatterned</f>
        <v>複製數列</v>
      </c>
      <c r="CU141" t="s">
        <v>599</v>
      </c>
    </row>
    <row r="142" spans="1:104" x14ac:dyDescent="0.25">
      <c r="A142" t="s">
        <v>92</v>
      </c>
      <c r="B142" t="s">
        <v>6297</v>
      </c>
      <c r="CT142" t="str">
        <f>mg01s.RandDiscrete</f>
        <v>離散分配</v>
      </c>
      <c r="CU142" t="s">
        <v>332</v>
      </c>
    </row>
    <row r="143" spans="1:104" x14ac:dyDescent="0.25">
      <c r="A143" t="s">
        <v>304</v>
      </c>
      <c r="B143" t="s">
        <v>3708</v>
      </c>
    </row>
    <row r="144" spans="1:104" x14ac:dyDescent="0.25">
      <c r="A144" t="s">
        <v>306</v>
      </c>
      <c r="B144" t="s">
        <v>97</v>
      </c>
    </row>
    <row r="145" spans="1:2" x14ac:dyDescent="0.25">
      <c r="A145" t="s">
        <v>98</v>
      </c>
      <c r="B145" t="s">
        <v>99</v>
      </c>
    </row>
    <row r="146" spans="1:2" x14ac:dyDescent="0.25">
      <c r="A146" t="s">
        <v>311</v>
      </c>
      <c r="B146" t="s">
        <v>6461</v>
      </c>
    </row>
    <row r="147" spans="1:2" x14ac:dyDescent="0.25">
      <c r="A147" t="s">
        <v>313</v>
      </c>
      <c r="B147" t="s">
        <v>6462</v>
      </c>
    </row>
    <row r="148" spans="1:2" x14ac:dyDescent="0.25">
      <c r="A148" t="s">
        <v>102</v>
      </c>
      <c r="B148" t="s">
        <v>6463</v>
      </c>
    </row>
    <row r="149" spans="1:2" x14ac:dyDescent="0.25">
      <c r="A149" t="s">
        <v>319</v>
      </c>
      <c r="B149" t="s">
        <v>6464</v>
      </c>
    </row>
    <row r="150" spans="1:2" x14ac:dyDescent="0.25">
      <c r="A150" t="s">
        <v>105</v>
      </c>
      <c r="B150" t="s">
        <v>6465</v>
      </c>
    </row>
    <row r="151" spans="1:2" x14ac:dyDescent="0.25">
      <c r="A151" t="s">
        <v>323</v>
      </c>
      <c r="B151" t="s">
        <v>6466</v>
      </c>
    </row>
    <row r="152" spans="1:2" x14ac:dyDescent="0.25">
      <c r="A152" t="s">
        <v>108</v>
      </c>
      <c r="B152" t="s">
        <v>6467</v>
      </c>
    </row>
    <row r="153" spans="1:2" x14ac:dyDescent="0.25">
      <c r="A153" t="s">
        <v>110</v>
      </c>
      <c r="B153" t="s">
        <v>6468</v>
      </c>
    </row>
    <row r="154" spans="1:2" x14ac:dyDescent="0.25">
      <c r="A154" t="s">
        <v>112</v>
      </c>
      <c r="B154" t="s">
        <v>6469</v>
      </c>
    </row>
    <row r="155" spans="1:2" x14ac:dyDescent="0.25">
      <c r="A155" t="s">
        <v>336</v>
      </c>
      <c r="B155" t="s">
        <v>6470</v>
      </c>
    </row>
    <row r="156" spans="1:2" x14ac:dyDescent="0.25">
      <c r="A156" t="s">
        <v>120</v>
      </c>
      <c r="B156" t="s">
        <v>6471</v>
      </c>
    </row>
    <row r="157" spans="1:2" x14ac:dyDescent="0.25">
      <c r="A157" t="s">
        <v>349</v>
      </c>
      <c r="B157" t="s">
        <v>6472</v>
      </c>
    </row>
    <row r="158" spans="1:2" x14ac:dyDescent="0.25">
      <c r="A158" t="s">
        <v>350</v>
      </c>
      <c r="B158" t="s">
        <v>6473</v>
      </c>
    </row>
    <row r="159" spans="1:2" x14ac:dyDescent="0.25">
      <c r="A159" t="s">
        <v>438</v>
      </c>
      <c r="B159" t="s">
        <v>6474</v>
      </c>
    </row>
    <row r="160" spans="1:2" x14ac:dyDescent="0.25">
      <c r="A160" t="s">
        <v>353</v>
      </c>
      <c r="B160" t="s">
        <v>6475</v>
      </c>
    </row>
    <row r="161" spans="1:2" x14ac:dyDescent="0.25">
      <c r="A161" t="s">
        <v>355</v>
      </c>
      <c r="B161" t="s">
        <v>6476</v>
      </c>
    </row>
    <row r="162" spans="1:2" x14ac:dyDescent="0.25">
      <c r="A162" t="s">
        <v>129</v>
      </c>
      <c r="B162" t="s">
        <v>6477</v>
      </c>
    </row>
    <row r="163" spans="1:2" x14ac:dyDescent="0.25">
      <c r="A163" t="s">
        <v>363</v>
      </c>
      <c r="B163" t="s">
        <v>6478</v>
      </c>
    </row>
    <row r="164" spans="1:2" x14ac:dyDescent="0.25">
      <c r="A164" t="s">
        <v>365</v>
      </c>
      <c r="B164" t="s">
        <v>6479</v>
      </c>
    </row>
    <row r="165" spans="1:2" x14ac:dyDescent="0.25">
      <c r="A165" t="s">
        <v>374</v>
      </c>
      <c r="B165" t="s">
        <v>6480</v>
      </c>
    </row>
    <row r="166" spans="1:2" x14ac:dyDescent="0.25">
      <c r="A166" t="s">
        <v>135</v>
      </c>
      <c r="B166" t="s">
        <v>6481</v>
      </c>
    </row>
    <row r="167" spans="1:2" x14ac:dyDescent="0.25">
      <c r="A167" t="s">
        <v>137</v>
      </c>
      <c r="B167" t="s">
        <v>6482</v>
      </c>
    </row>
    <row r="168" spans="1:2" x14ac:dyDescent="0.25">
      <c r="A168" t="s">
        <v>139</v>
      </c>
      <c r="B168" t="s">
        <v>6483</v>
      </c>
    </row>
    <row r="169" spans="1:2" x14ac:dyDescent="0.25">
      <c r="A169" t="s">
        <v>384</v>
      </c>
      <c r="B169" t="s">
        <v>6484</v>
      </c>
    </row>
    <row r="170" spans="1:2" x14ac:dyDescent="0.25">
      <c r="A170" t="s">
        <v>462</v>
      </c>
      <c r="B170" t="s">
        <v>6485</v>
      </c>
    </row>
    <row r="171" spans="1:2" x14ac:dyDescent="0.25">
      <c r="A171" t="s">
        <v>464</v>
      </c>
      <c r="B171" t="s">
        <v>6486</v>
      </c>
    </row>
    <row r="172" spans="1:2" x14ac:dyDescent="0.25">
      <c r="A172" t="s">
        <v>388</v>
      </c>
      <c r="B172" t="s">
        <v>6487</v>
      </c>
    </row>
    <row r="173" spans="1:2" x14ac:dyDescent="0.25">
      <c r="A173" t="s">
        <v>147</v>
      </c>
      <c r="B173" t="s">
        <v>6488</v>
      </c>
    </row>
    <row r="174" spans="1:2" x14ac:dyDescent="0.25">
      <c r="A174" t="s">
        <v>385</v>
      </c>
      <c r="B174" t="s">
        <v>6489</v>
      </c>
    </row>
    <row r="175" spans="1:2" x14ac:dyDescent="0.25">
      <c r="A175" t="s">
        <v>151</v>
      </c>
      <c r="B175" t="s">
        <v>6490</v>
      </c>
    </row>
    <row r="176" spans="1:2" x14ac:dyDescent="0.25">
      <c r="A176" t="s">
        <v>406</v>
      </c>
      <c r="B176" t="s">
        <v>6491</v>
      </c>
    </row>
    <row r="177" spans="1:2" x14ac:dyDescent="0.25">
      <c r="A177" t="s">
        <v>408</v>
      </c>
      <c r="B177" t="s">
        <v>6492</v>
      </c>
    </row>
    <row r="178" spans="1:2" x14ac:dyDescent="0.25">
      <c r="A178" t="s">
        <v>503</v>
      </c>
      <c r="B178" t="s">
        <v>6493</v>
      </c>
    </row>
    <row r="179" spans="1:2" x14ac:dyDescent="0.25">
      <c r="A179" t="s">
        <v>410</v>
      </c>
      <c r="B179" t="s">
        <v>6494</v>
      </c>
    </row>
    <row r="180" spans="1:2" x14ac:dyDescent="0.25">
      <c r="A180" t="s">
        <v>412</v>
      </c>
      <c r="B180" t="s">
        <v>6495</v>
      </c>
    </row>
    <row r="181" spans="1:2" x14ac:dyDescent="0.25">
      <c r="A181" t="s">
        <v>161</v>
      </c>
      <c r="B181" t="s">
        <v>6496</v>
      </c>
    </row>
    <row r="182" spans="1:2" x14ac:dyDescent="0.25">
      <c r="A182" t="s">
        <v>415</v>
      </c>
      <c r="B182" t="s">
        <v>6497</v>
      </c>
    </row>
    <row r="183" spans="1:2" x14ac:dyDescent="0.25">
      <c r="A183" t="s">
        <v>173</v>
      </c>
      <c r="B183" t="s">
        <v>6498</v>
      </c>
    </row>
    <row r="184" spans="1:2" x14ac:dyDescent="0.25">
      <c r="A184" t="s">
        <v>167</v>
      </c>
      <c r="B184" t="s">
        <v>6499</v>
      </c>
    </row>
    <row r="185" spans="1:2" x14ac:dyDescent="0.25">
      <c r="A185" t="s">
        <v>169</v>
      </c>
      <c r="B185" t="s">
        <v>6500</v>
      </c>
    </row>
    <row r="186" spans="1:2" x14ac:dyDescent="0.25">
      <c r="A186" t="s">
        <v>444</v>
      </c>
      <c r="B186" t="s">
        <v>6501</v>
      </c>
    </row>
    <row r="187" spans="1:2" x14ac:dyDescent="0.25">
      <c r="A187" t="s">
        <v>18</v>
      </c>
      <c r="B187" t="s">
        <v>6502</v>
      </c>
    </row>
    <row r="188" spans="1:2" x14ac:dyDescent="0.25">
      <c r="A188" t="s">
        <v>175</v>
      </c>
      <c r="B188" t="s">
        <v>6503</v>
      </c>
    </row>
    <row r="189" spans="1:2" x14ac:dyDescent="0.25">
      <c r="A189" t="s">
        <v>181</v>
      </c>
      <c r="B189" t="s">
        <v>6504</v>
      </c>
    </row>
    <row r="190" spans="1:2" x14ac:dyDescent="0.25">
      <c r="A190" t="s">
        <v>64</v>
      </c>
      <c r="B190" t="s">
        <v>6505</v>
      </c>
    </row>
    <row r="191" spans="1:2" x14ac:dyDescent="0.25">
      <c r="A191" t="s">
        <v>185</v>
      </c>
      <c r="B191" t="s">
        <v>6506</v>
      </c>
    </row>
    <row r="192" spans="1:2" x14ac:dyDescent="0.25">
      <c r="A192" t="s">
        <v>192</v>
      </c>
      <c r="B192" t="s">
        <v>6507</v>
      </c>
    </row>
    <row r="193" spans="1:2" x14ac:dyDescent="0.25">
      <c r="A193" t="s">
        <v>67</v>
      </c>
      <c r="B193" t="s">
        <v>6508</v>
      </c>
    </row>
    <row r="194" spans="1:2" x14ac:dyDescent="0.25">
      <c r="A194" t="s">
        <v>197</v>
      </c>
      <c r="B194" t="s">
        <v>6509</v>
      </c>
    </row>
    <row r="195" spans="1:2" x14ac:dyDescent="0.25">
      <c r="A195" t="s">
        <v>199</v>
      </c>
      <c r="B195" t="s">
        <v>6510</v>
      </c>
    </row>
    <row r="196" spans="1:2" x14ac:dyDescent="0.25">
      <c r="A196" t="s">
        <v>44</v>
      </c>
      <c r="B196" t="s">
        <v>6511</v>
      </c>
    </row>
    <row r="197" spans="1:2" x14ac:dyDescent="0.25">
      <c r="A197" t="s">
        <v>46</v>
      </c>
      <c r="B197" t="s">
        <v>6512</v>
      </c>
    </row>
    <row r="198" spans="1:2" x14ac:dyDescent="0.25">
      <c r="A198" t="s">
        <v>212</v>
      </c>
      <c r="B198" t="s">
        <v>6513</v>
      </c>
    </row>
    <row r="199" spans="1:2" x14ac:dyDescent="0.25">
      <c r="A199" t="s">
        <v>215</v>
      </c>
      <c r="B199" t="s">
        <v>6514</v>
      </c>
    </row>
    <row r="200" spans="1:2" x14ac:dyDescent="0.25">
      <c r="A200" t="s">
        <v>77</v>
      </c>
      <c r="B200" t="s">
        <v>6515</v>
      </c>
    </row>
    <row r="201" spans="1:2" x14ac:dyDescent="0.25">
      <c r="A201" t="s">
        <v>223</v>
      </c>
      <c r="B201" t="s">
        <v>6516</v>
      </c>
    </row>
    <row r="202" spans="1:2" x14ac:dyDescent="0.25">
      <c r="A202" t="s">
        <v>1</v>
      </c>
      <c r="B202" t="s">
        <v>6517</v>
      </c>
    </row>
    <row r="203" spans="1:2" x14ac:dyDescent="0.25">
      <c r="A203" t="s">
        <v>225</v>
      </c>
      <c r="B203" t="s">
        <v>6518</v>
      </c>
    </row>
    <row r="204" spans="1:2" x14ac:dyDescent="0.25">
      <c r="A204" t="s">
        <v>4</v>
      </c>
      <c r="B204" t="s">
        <v>6519</v>
      </c>
    </row>
    <row r="205" spans="1:2" x14ac:dyDescent="0.25">
      <c r="A205" t="s">
        <v>233</v>
      </c>
      <c r="B205" t="s">
        <v>6520</v>
      </c>
    </row>
    <row r="206" spans="1:2" x14ac:dyDescent="0.25">
      <c r="A206" t="s">
        <v>6</v>
      </c>
      <c r="B206" t="s">
        <v>6521</v>
      </c>
    </row>
    <row r="207" spans="1:2" x14ac:dyDescent="0.25">
      <c r="A207" t="s">
        <v>241</v>
      </c>
      <c r="B207" t="s">
        <v>6522</v>
      </c>
    </row>
    <row r="208" spans="1:2" x14ac:dyDescent="0.25">
      <c r="A208" t="s">
        <v>11</v>
      </c>
      <c r="B208" t="s">
        <v>6523</v>
      </c>
    </row>
    <row r="209" spans="1:103" x14ac:dyDescent="0.25">
      <c r="A209" t="s">
        <v>13</v>
      </c>
      <c r="B209" t="s">
        <v>6524</v>
      </c>
    </row>
    <row r="210" spans="1:103" x14ac:dyDescent="0.25">
      <c r="A210" t="s">
        <v>254</v>
      </c>
      <c r="B210" t="s">
        <v>255</v>
      </c>
    </row>
    <row r="211" spans="1:103" x14ac:dyDescent="0.25">
      <c r="A211" t="s">
        <v>256</v>
      </c>
      <c r="B211" t="s">
        <v>6525</v>
      </c>
    </row>
    <row r="212" spans="1:103" x14ac:dyDescent="0.25">
      <c r="A212" t="s">
        <v>258</v>
      </c>
      <c r="B212" t="s">
        <v>6526</v>
      </c>
    </row>
    <row r="213" spans="1:103" x14ac:dyDescent="0.25">
      <c r="A213" t="s">
        <v>533</v>
      </c>
      <c r="B213" t="s">
        <v>6527</v>
      </c>
      <c r="BS213" t="b">
        <v>1</v>
      </c>
    </row>
    <row r="214" spans="1:103" x14ac:dyDescent="0.25">
      <c r="A214" t="s">
        <v>17</v>
      </c>
      <c r="B214" t="s">
        <v>6528</v>
      </c>
    </row>
    <row r="215" spans="1:103" x14ac:dyDescent="0.25">
      <c r="A215" t="s">
        <v>265</v>
      </c>
      <c r="B215" t="s">
        <v>6529</v>
      </c>
    </row>
    <row r="216" spans="1:103" x14ac:dyDescent="0.25">
      <c r="A216" t="s">
        <v>550</v>
      </c>
      <c r="B216" t="s">
        <v>6530</v>
      </c>
    </row>
    <row r="217" spans="1:103" x14ac:dyDescent="0.25">
      <c r="A217" t="s">
        <v>267</v>
      </c>
      <c r="B217" t="s">
        <v>6531</v>
      </c>
    </row>
    <row r="218" spans="1:103" x14ac:dyDescent="0.25">
      <c r="A218" t="s">
        <v>262</v>
      </c>
      <c r="B218" t="s">
        <v>6532</v>
      </c>
    </row>
    <row r="219" spans="1:103" x14ac:dyDescent="0.25">
      <c r="A219" t="s">
        <v>272</v>
      </c>
      <c r="B219" t="s">
        <v>6533</v>
      </c>
    </row>
    <row r="220" spans="1:103" x14ac:dyDescent="0.25">
      <c r="A220" t="s">
        <v>36</v>
      </c>
      <c r="B220" t="s">
        <v>6534</v>
      </c>
      <c r="AM220" t="b">
        <v>1</v>
      </c>
      <c r="AU220" t="b">
        <v>1</v>
      </c>
      <c r="BC220" t="b">
        <v>1</v>
      </c>
      <c r="BK220" t="b">
        <v>1</v>
      </c>
      <c r="CA220" t="b">
        <v>1</v>
      </c>
      <c r="CQ220" t="b">
        <v>1</v>
      </c>
    </row>
    <row r="221" spans="1:103" x14ac:dyDescent="0.25">
      <c r="A221" t="s">
        <v>65</v>
      </c>
      <c r="B221" t="s">
        <v>6535</v>
      </c>
      <c r="AE221" t="b">
        <v>1</v>
      </c>
    </row>
    <row r="222" spans="1:103" x14ac:dyDescent="0.25">
      <c r="A222" t="s">
        <v>269</v>
      </c>
      <c r="B222" t="s">
        <v>6536</v>
      </c>
      <c r="CY222" t="b">
        <v>1</v>
      </c>
    </row>
    <row r="223" spans="1:103" x14ac:dyDescent="0.25">
      <c r="A223" t="s">
        <v>40</v>
      </c>
      <c r="B223" t="s">
        <v>6537</v>
      </c>
    </row>
    <row r="224" spans="1:103" x14ac:dyDescent="0.25">
      <c r="A224" t="s">
        <v>42</v>
      </c>
      <c r="B224" t="s">
        <v>6538</v>
      </c>
      <c r="CI224" t="b">
        <v>1</v>
      </c>
    </row>
    <row r="225" spans="1:2" x14ac:dyDescent="0.25">
      <c r="A225" t="s">
        <v>275</v>
      </c>
      <c r="B225" t="s">
        <v>6539</v>
      </c>
    </row>
    <row r="226" spans="1:2" x14ac:dyDescent="0.25">
      <c r="A226" t="s">
        <v>73</v>
      </c>
      <c r="B226" t="s">
        <v>6540</v>
      </c>
    </row>
    <row r="227" spans="1:2" x14ac:dyDescent="0.25">
      <c r="A227" t="s">
        <v>75</v>
      </c>
      <c r="B227" t="s">
        <v>6541</v>
      </c>
    </row>
    <row r="228" spans="1:2" x14ac:dyDescent="0.25">
      <c r="A228" t="s">
        <v>88</v>
      </c>
      <c r="B228" t="s">
        <v>6542</v>
      </c>
    </row>
    <row r="229" spans="1:2" x14ac:dyDescent="0.25">
      <c r="A229" t="s">
        <v>49</v>
      </c>
      <c r="B229" t="s">
        <v>6543</v>
      </c>
    </row>
    <row r="230" spans="1:2" x14ac:dyDescent="0.25">
      <c r="A230" t="s">
        <v>51</v>
      </c>
      <c r="B230" t="s">
        <v>6544</v>
      </c>
    </row>
    <row r="231" spans="1:2" x14ac:dyDescent="0.25">
      <c r="A231" t="s">
        <v>53</v>
      </c>
      <c r="B231" t="s">
        <v>6545</v>
      </c>
    </row>
    <row r="232" spans="1:2" x14ac:dyDescent="0.25">
      <c r="A232" t="s">
        <v>55</v>
      </c>
      <c r="B232" t="s">
        <v>6546</v>
      </c>
    </row>
    <row r="233" spans="1:2" x14ac:dyDescent="0.25">
      <c r="A233" t="s">
        <v>57</v>
      </c>
      <c r="B233" t="s">
        <v>6547</v>
      </c>
    </row>
    <row r="234" spans="1:2" x14ac:dyDescent="0.25">
      <c r="A234" t="s">
        <v>59</v>
      </c>
      <c r="B234" t="s">
        <v>6548</v>
      </c>
    </row>
    <row r="235" spans="1:2" x14ac:dyDescent="0.25">
      <c r="A235" t="s">
        <v>24</v>
      </c>
      <c r="B235" t="s">
        <v>6549</v>
      </c>
    </row>
    <row r="236" spans="1:2" x14ac:dyDescent="0.25">
      <c r="A236" t="s">
        <v>32</v>
      </c>
      <c r="B236" t="s">
        <v>6550</v>
      </c>
    </row>
    <row r="237" spans="1:2" x14ac:dyDescent="0.25">
      <c r="A237" t="s">
        <v>101</v>
      </c>
      <c r="B237" t="s">
        <v>6551</v>
      </c>
    </row>
    <row r="238" spans="1:2" x14ac:dyDescent="0.25">
      <c r="A238" t="s">
        <v>159</v>
      </c>
      <c r="B238" t="s">
        <v>6552</v>
      </c>
    </row>
    <row r="239" spans="1:2" x14ac:dyDescent="0.25">
      <c r="A239" t="s">
        <v>107</v>
      </c>
      <c r="B239" t="s">
        <v>6553</v>
      </c>
    </row>
    <row r="240" spans="1:2" x14ac:dyDescent="0.25">
      <c r="A240" t="s">
        <v>15</v>
      </c>
      <c r="B240" t="s">
        <v>6554</v>
      </c>
    </row>
    <row r="241" spans="1:2" x14ac:dyDescent="0.25">
      <c r="A241" t="s">
        <v>171</v>
      </c>
      <c r="B241" t="s">
        <v>6555</v>
      </c>
    </row>
    <row r="242" spans="1:2" x14ac:dyDescent="0.25">
      <c r="A242" t="s">
        <v>117</v>
      </c>
      <c r="B242" t="s">
        <v>6556</v>
      </c>
    </row>
    <row r="243" spans="1:2" x14ac:dyDescent="0.25">
      <c r="A243" t="s">
        <v>119</v>
      </c>
      <c r="B243" t="s">
        <v>6557</v>
      </c>
    </row>
    <row r="244" spans="1:2" x14ac:dyDescent="0.25">
      <c r="A244" t="s">
        <v>122</v>
      </c>
      <c r="B244" t="s">
        <v>6558</v>
      </c>
    </row>
    <row r="245" spans="1:2" x14ac:dyDescent="0.25">
      <c r="A245" t="s">
        <v>176</v>
      </c>
      <c r="B245" t="s">
        <v>6559</v>
      </c>
    </row>
    <row r="246" spans="1:2" x14ac:dyDescent="0.25">
      <c r="A246" t="s">
        <v>126</v>
      </c>
      <c r="B246" t="s">
        <v>6560</v>
      </c>
    </row>
    <row r="247" spans="1:2" x14ac:dyDescent="0.25">
      <c r="A247" t="s">
        <v>130</v>
      </c>
      <c r="B247" t="s">
        <v>6561</v>
      </c>
    </row>
    <row r="248" spans="1:2" x14ac:dyDescent="0.25">
      <c r="A248" t="s">
        <v>39</v>
      </c>
      <c r="B248" t="s">
        <v>6562</v>
      </c>
    </row>
    <row r="249" spans="1:2" x14ac:dyDescent="0.25">
      <c r="A249" t="s">
        <v>133</v>
      </c>
      <c r="B249" t="s">
        <v>6563</v>
      </c>
    </row>
    <row r="250" spans="1:2" x14ac:dyDescent="0.25">
      <c r="A250" t="s">
        <v>69</v>
      </c>
      <c r="B250" t="s">
        <v>6564</v>
      </c>
    </row>
    <row r="251" spans="1:2" x14ac:dyDescent="0.25">
      <c r="A251" t="s">
        <v>71</v>
      </c>
      <c r="B251" t="s">
        <v>6565</v>
      </c>
    </row>
    <row r="252" spans="1:2" x14ac:dyDescent="0.25">
      <c r="A252" t="s">
        <v>141</v>
      </c>
      <c r="B252" t="s">
        <v>6566</v>
      </c>
    </row>
    <row r="253" spans="1:2" x14ac:dyDescent="0.25">
      <c r="A253" t="s">
        <v>143</v>
      </c>
      <c r="B253" t="s">
        <v>6567</v>
      </c>
    </row>
    <row r="254" spans="1:2" x14ac:dyDescent="0.25">
      <c r="A254" t="s">
        <v>145</v>
      </c>
      <c r="B254" t="s">
        <v>6568</v>
      </c>
    </row>
    <row r="255" spans="1:2" x14ac:dyDescent="0.25">
      <c r="A255" t="s">
        <v>386</v>
      </c>
      <c r="B255" t="s">
        <v>6569</v>
      </c>
    </row>
    <row r="256" spans="1:2" x14ac:dyDescent="0.25">
      <c r="A256" t="s">
        <v>30</v>
      </c>
      <c r="B256" t="s">
        <v>6570</v>
      </c>
    </row>
    <row r="257" spans="1:2" x14ac:dyDescent="0.25">
      <c r="A257" t="s">
        <v>33</v>
      </c>
      <c r="B257" t="s">
        <v>6571</v>
      </c>
    </row>
    <row r="258" spans="1:2" x14ac:dyDescent="0.25">
      <c r="A258" t="s">
        <v>153</v>
      </c>
      <c r="B258" t="s">
        <v>6572</v>
      </c>
    </row>
    <row r="259" spans="1:2" x14ac:dyDescent="0.25">
      <c r="A259" t="s">
        <v>155</v>
      </c>
      <c r="B259" t="s">
        <v>6573</v>
      </c>
    </row>
    <row r="260" spans="1:2" x14ac:dyDescent="0.25">
      <c r="A260" t="s">
        <v>157</v>
      </c>
      <c r="B260" t="s">
        <v>6574</v>
      </c>
    </row>
    <row r="261" spans="1:2" x14ac:dyDescent="0.25">
      <c r="A261" t="s">
        <v>3</v>
      </c>
      <c r="B261" t="s">
        <v>6575</v>
      </c>
    </row>
    <row r="262" spans="1:2" x14ac:dyDescent="0.25">
      <c r="A262" t="s">
        <v>78</v>
      </c>
      <c r="B262" t="s">
        <v>6576</v>
      </c>
    </row>
    <row r="263" spans="1:2" x14ac:dyDescent="0.25">
      <c r="A263" t="s">
        <v>80</v>
      </c>
      <c r="B263" t="s">
        <v>6577</v>
      </c>
    </row>
    <row r="264" spans="1:2" x14ac:dyDescent="0.25">
      <c r="A264" t="s">
        <v>82</v>
      </c>
      <c r="B264" t="s">
        <v>6578</v>
      </c>
    </row>
    <row r="265" spans="1:2" x14ac:dyDescent="0.25">
      <c r="A265" t="s">
        <v>84</v>
      </c>
      <c r="B265" t="s">
        <v>6579</v>
      </c>
    </row>
    <row r="266" spans="1:2" x14ac:dyDescent="0.25">
      <c r="A266" t="s">
        <v>86</v>
      </c>
      <c r="B266" t="s">
        <v>6580</v>
      </c>
    </row>
    <row r="267" spans="1:2" x14ac:dyDescent="0.25">
      <c r="A267" t="s">
        <v>29</v>
      </c>
      <c r="B267" t="s">
        <v>6581</v>
      </c>
    </row>
    <row r="268" spans="1:2" x14ac:dyDescent="0.25">
      <c r="A268" t="s">
        <v>90</v>
      </c>
      <c r="B268" t="s">
        <v>6582</v>
      </c>
    </row>
    <row r="269" spans="1:2" x14ac:dyDescent="0.25">
      <c r="A269" t="s">
        <v>95</v>
      </c>
      <c r="B269" t="s">
        <v>6583</v>
      </c>
    </row>
    <row r="270" spans="1:2" x14ac:dyDescent="0.25">
      <c r="A270" t="s">
        <v>2</v>
      </c>
      <c r="B270" t="s">
        <v>6584</v>
      </c>
    </row>
    <row r="271" spans="1:2" x14ac:dyDescent="0.25">
      <c r="A271" t="s">
        <v>7</v>
      </c>
      <c r="B271" t="s">
        <v>6585</v>
      </c>
    </row>
    <row r="273" spans="1:2" x14ac:dyDescent="0.25">
      <c r="A273" t="s">
        <v>9</v>
      </c>
      <c r="B273" t="s">
        <v>162</v>
      </c>
    </row>
    <row r="274" spans="1:2" x14ac:dyDescent="0.25">
      <c r="A274" t="s">
        <v>163</v>
      </c>
      <c r="B274" t="s">
        <v>6586</v>
      </c>
    </row>
    <row r="275" spans="1:2" x14ac:dyDescent="0.25">
      <c r="A275" t="s">
        <v>164</v>
      </c>
      <c r="B275" t="s">
        <v>521</v>
      </c>
    </row>
    <row r="276" spans="1:2" x14ac:dyDescent="0.25">
      <c r="A276" t="s">
        <v>165</v>
      </c>
      <c r="B276" t="s">
        <v>6343</v>
      </c>
    </row>
    <row r="278" spans="1:2" x14ac:dyDescent="0.25">
      <c r="A278" t="s">
        <v>114</v>
      </c>
      <c r="B278" s="1" t="s">
        <v>675</v>
      </c>
    </row>
  </sheetData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15002</vt:i4>
      </vt:variant>
    </vt:vector>
  </HeadingPairs>
  <TitlesOfParts>
    <vt:vector size="15029" baseType="lpstr">
      <vt:lpstr>CODE</vt:lpstr>
      <vt:lpstr>RES_fr-FR</vt:lpstr>
      <vt:lpstr>RES_en-US</vt:lpstr>
      <vt:lpstr>RES_cs-CZ</vt:lpstr>
      <vt:lpstr>RES_da-DK</vt:lpstr>
      <vt:lpstr>RES_de-DE</vt:lpstr>
      <vt:lpstr>RES_el-GR</vt:lpstr>
      <vt:lpstr>RES_es-ES</vt:lpstr>
      <vt:lpstr>RES_fi-FI</vt:lpstr>
      <vt:lpstr>RES_hr-HR</vt:lpstr>
      <vt:lpstr>RES_hu-HU</vt:lpstr>
      <vt:lpstr>RES_it-IT</vt:lpstr>
      <vt:lpstr>RES_ja-JP</vt:lpstr>
      <vt:lpstr>RES_ko-KR</vt:lpstr>
      <vt:lpstr>RES_lv-LV</vt:lpstr>
      <vt:lpstr>RES_nb-NO</vt:lpstr>
      <vt:lpstr>RES_nl-NL</vt:lpstr>
      <vt:lpstr>RES_pl-PL</vt:lpstr>
      <vt:lpstr>RES_pt-BR</vt:lpstr>
      <vt:lpstr>RES_pt-PT</vt:lpstr>
      <vt:lpstr>RES_ro-RO</vt:lpstr>
      <vt:lpstr>RES_ru-RU</vt:lpstr>
      <vt:lpstr>RES_sl-SI</vt:lpstr>
      <vt:lpstr>RES_sv-SE</vt:lpstr>
      <vt:lpstr>RES_tr-TR</vt:lpstr>
      <vt:lpstr>RES_zh-CN</vt:lpstr>
      <vt:lpstr>RES_zh-TW</vt:lpstr>
      <vt:lpstr>'RES_cs-CZ'!__Longname</vt:lpstr>
      <vt:lpstr>'RES_da-DK'!__Longname</vt:lpstr>
      <vt:lpstr>'RES_de-DE'!__Longname</vt:lpstr>
      <vt:lpstr>'RES_el-GR'!__Longname</vt:lpstr>
      <vt:lpstr>'RES_en-US'!__Longname</vt:lpstr>
      <vt:lpstr>'RES_es-ES'!__Longname</vt:lpstr>
      <vt:lpstr>'RES_fi-FI'!__Longname</vt:lpstr>
      <vt:lpstr>'RES_fr-FR'!__Longname</vt:lpstr>
      <vt:lpstr>'RES_hr-HR'!__Longname</vt:lpstr>
      <vt:lpstr>'RES_hu-HU'!__Longname</vt:lpstr>
      <vt:lpstr>'RES_it-IT'!__Longname</vt:lpstr>
      <vt:lpstr>'RES_ja-JP'!__Longname</vt:lpstr>
      <vt:lpstr>'RES_ko-KR'!__Longname</vt:lpstr>
      <vt:lpstr>'RES_lv-LV'!__Longname</vt:lpstr>
      <vt:lpstr>'RES_nb-NO'!__Longname</vt:lpstr>
      <vt:lpstr>'RES_nl-NL'!__Longname</vt:lpstr>
      <vt:lpstr>'RES_pl-PL'!__Longname</vt:lpstr>
      <vt:lpstr>'RES_pt-BR'!__Longname</vt:lpstr>
      <vt:lpstr>'RES_pt-PT'!__Longname</vt:lpstr>
      <vt:lpstr>'RES_ro-RO'!__Longname</vt:lpstr>
      <vt:lpstr>'RES_ru-RU'!__Longname</vt:lpstr>
      <vt:lpstr>'RES_sl-SI'!__Longname</vt:lpstr>
      <vt:lpstr>'RES_sv-SE'!__Longname</vt:lpstr>
      <vt:lpstr>'RES_tr-TR'!__Longname</vt:lpstr>
      <vt:lpstr>'RES_zh-CN'!__Longname</vt:lpstr>
      <vt:lpstr>'RES_zh-TW'!__Longname</vt:lpstr>
      <vt:lpstr>'RES_cs-CZ'!ca.Dialogs.</vt:lpstr>
      <vt:lpstr>'RES_da-DK'!ca.Dialogs.</vt:lpstr>
      <vt:lpstr>'RES_de-DE'!ca.Dialogs.</vt:lpstr>
      <vt:lpstr>'RES_el-GR'!ca.Dialogs.</vt:lpstr>
      <vt:lpstr>'RES_en-US'!ca.Dialogs.</vt:lpstr>
      <vt:lpstr>'RES_es-ES'!ca.Dialogs.</vt:lpstr>
      <vt:lpstr>'RES_fi-FI'!ca.Dialogs.</vt:lpstr>
      <vt:lpstr>'RES_fr-FR'!ca.Dialogs.</vt:lpstr>
      <vt:lpstr>'RES_hr-HR'!ca.Dialogs.</vt:lpstr>
      <vt:lpstr>'RES_hu-HU'!ca.Dialogs.</vt:lpstr>
      <vt:lpstr>'RES_it-IT'!ca.Dialogs.</vt:lpstr>
      <vt:lpstr>'RES_ja-JP'!ca.Dialogs.</vt:lpstr>
      <vt:lpstr>'RES_ko-KR'!ca.Dialogs.</vt:lpstr>
      <vt:lpstr>'RES_lv-LV'!ca.Dialogs.</vt:lpstr>
      <vt:lpstr>'RES_nb-NO'!ca.Dialogs.</vt:lpstr>
      <vt:lpstr>'RES_nl-NL'!ca.Dialogs.</vt:lpstr>
      <vt:lpstr>'RES_pl-PL'!ca.Dialogs.</vt:lpstr>
      <vt:lpstr>'RES_pt-BR'!ca.Dialogs.</vt:lpstr>
      <vt:lpstr>'RES_pt-PT'!ca.Dialogs.</vt:lpstr>
      <vt:lpstr>'RES_ro-RO'!ca.Dialogs.</vt:lpstr>
      <vt:lpstr>'RES_ru-RU'!ca.Dialogs.</vt:lpstr>
      <vt:lpstr>'RES_sl-SI'!ca.Dialogs.</vt:lpstr>
      <vt:lpstr>'RES_sv-SE'!ca.Dialogs.</vt:lpstr>
      <vt:lpstr>'RES_tr-TR'!ca.Dialogs.</vt:lpstr>
      <vt:lpstr>'RES_zh-CN'!ca.Dialogs.</vt:lpstr>
      <vt:lpstr>'RES_zh-TW'!ca.Dialogs.</vt:lpstr>
      <vt:lpstr>'RES_cs-CZ'!ca.StringTable.</vt:lpstr>
      <vt:lpstr>'RES_da-DK'!ca.StringTable.</vt:lpstr>
      <vt:lpstr>'RES_de-DE'!ca.StringTable.</vt:lpstr>
      <vt:lpstr>'RES_el-GR'!ca.StringTable.</vt:lpstr>
      <vt:lpstr>'RES_en-US'!ca.StringTable.</vt:lpstr>
      <vt:lpstr>'RES_es-ES'!ca.StringTable.</vt:lpstr>
      <vt:lpstr>'RES_fi-FI'!ca.StringTable.</vt:lpstr>
      <vt:lpstr>'RES_fr-FR'!ca.StringTable.</vt:lpstr>
      <vt:lpstr>'RES_hr-HR'!ca.StringTable.</vt:lpstr>
      <vt:lpstr>'RES_hu-HU'!ca.StringTable.</vt:lpstr>
      <vt:lpstr>'RES_it-IT'!ca.StringTable.</vt:lpstr>
      <vt:lpstr>'RES_ja-JP'!ca.StringTable.</vt:lpstr>
      <vt:lpstr>'RES_ko-KR'!ca.StringTable.</vt:lpstr>
      <vt:lpstr>'RES_lv-LV'!ca.StringTable.</vt:lpstr>
      <vt:lpstr>'RES_nb-NO'!ca.StringTable.</vt:lpstr>
      <vt:lpstr>'RES_nl-NL'!ca.StringTable.</vt:lpstr>
      <vt:lpstr>'RES_pl-PL'!ca.StringTable.</vt:lpstr>
      <vt:lpstr>'RES_pt-BR'!ca.StringTable.</vt:lpstr>
      <vt:lpstr>'RES_pt-PT'!ca.StringTable.</vt:lpstr>
      <vt:lpstr>'RES_ro-RO'!ca.StringTable.</vt:lpstr>
      <vt:lpstr>'RES_ru-RU'!ca.StringTable.</vt:lpstr>
      <vt:lpstr>'RES_sl-SI'!ca.StringTable.</vt:lpstr>
      <vt:lpstr>'RES_sv-SE'!ca.StringTable.</vt:lpstr>
      <vt:lpstr>'RES_tr-TR'!ca.StringTable.</vt:lpstr>
      <vt:lpstr>'RES_zh-CN'!ca.StringTable.</vt:lpstr>
      <vt:lpstr>'RES_zh-TW'!ca.StringTable.</vt:lpstr>
      <vt:lpstr>'RES_cs-CZ'!dbAnalysis</vt:lpstr>
      <vt:lpstr>'RES_da-DK'!dbAnalysis</vt:lpstr>
      <vt:lpstr>'RES_de-DE'!dbAnalysis</vt:lpstr>
      <vt:lpstr>'RES_el-GR'!dbAnalysis</vt:lpstr>
      <vt:lpstr>'RES_en-US'!dbAnalysis</vt:lpstr>
      <vt:lpstr>'RES_es-ES'!dbAnalysis</vt:lpstr>
      <vt:lpstr>'RES_fi-FI'!dbAnalysis</vt:lpstr>
      <vt:lpstr>'RES_fr-FR'!dbAnalysis</vt:lpstr>
      <vt:lpstr>'RES_hr-HR'!dbAnalysis</vt:lpstr>
      <vt:lpstr>'RES_hu-HU'!dbAnalysis</vt:lpstr>
      <vt:lpstr>'RES_it-IT'!dbAnalysis</vt:lpstr>
      <vt:lpstr>'RES_ja-JP'!dbAnalysis</vt:lpstr>
      <vt:lpstr>'RES_ko-KR'!dbAnalysis</vt:lpstr>
      <vt:lpstr>'RES_lv-LV'!dbAnalysis</vt:lpstr>
      <vt:lpstr>'RES_nb-NO'!dbAnalysis</vt:lpstr>
      <vt:lpstr>'RES_nl-NL'!dbAnalysis</vt:lpstr>
      <vt:lpstr>'RES_pl-PL'!dbAnalysis</vt:lpstr>
      <vt:lpstr>'RES_pt-BR'!dbAnalysis</vt:lpstr>
      <vt:lpstr>'RES_pt-PT'!dbAnalysis</vt:lpstr>
      <vt:lpstr>'RES_ro-RO'!dbAnalysis</vt:lpstr>
      <vt:lpstr>'RES_ru-RU'!dbAnalysis</vt:lpstr>
      <vt:lpstr>'RES_sl-SI'!dbAnalysis</vt:lpstr>
      <vt:lpstr>'RES_sv-SE'!dbAnalysis</vt:lpstr>
      <vt:lpstr>'RES_tr-TR'!dbAnalysis</vt:lpstr>
      <vt:lpstr>'RES_zh-CN'!dbAnalysis</vt:lpstr>
      <vt:lpstr>'RES_zh-TW'!dbAnalysis</vt:lpstr>
      <vt:lpstr>'RES_cs-CZ'!dbAnalysis_ListSelect</vt:lpstr>
      <vt:lpstr>'RES_da-DK'!dbAnalysis_ListSelect</vt:lpstr>
      <vt:lpstr>'RES_de-DE'!dbAnalysis_ListSelect</vt:lpstr>
      <vt:lpstr>'RES_el-GR'!dbAnalysis_ListSelect</vt:lpstr>
      <vt:lpstr>'RES_en-US'!dbAnalysis_ListSelect</vt:lpstr>
      <vt:lpstr>'RES_es-ES'!dbAnalysis_ListSelect</vt:lpstr>
      <vt:lpstr>'RES_fi-FI'!dbAnalysis_ListSelect</vt:lpstr>
      <vt:lpstr>'RES_fr-FR'!dbAnalysis_ListSelect</vt:lpstr>
      <vt:lpstr>'RES_hr-HR'!dbAnalysis_ListSelect</vt:lpstr>
      <vt:lpstr>'RES_hu-HU'!dbAnalysis_ListSelect</vt:lpstr>
      <vt:lpstr>'RES_it-IT'!dbAnalysis_ListSelect</vt:lpstr>
      <vt:lpstr>'RES_ja-JP'!dbAnalysis_ListSelect</vt:lpstr>
      <vt:lpstr>'RES_ko-KR'!dbAnalysis_ListSelect</vt:lpstr>
      <vt:lpstr>'RES_lv-LV'!dbAnalysis_ListSelect</vt:lpstr>
      <vt:lpstr>'RES_nb-NO'!dbAnalysis_ListSelect</vt:lpstr>
      <vt:lpstr>'RES_nl-NL'!dbAnalysis_ListSelect</vt:lpstr>
      <vt:lpstr>'RES_pl-PL'!dbAnalysis_ListSelect</vt:lpstr>
      <vt:lpstr>'RES_pt-BR'!dbAnalysis_ListSelect</vt:lpstr>
      <vt:lpstr>'RES_pt-PT'!dbAnalysis_ListSelect</vt:lpstr>
      <vt:lpstr>'RES_ro-RO'!dbAnalysis_ListSelect</vt:lpstr>
      <vt:lpstr>'RES_ru-RU'!dbAnalysis_ListSelect</vt:lpstr>
      <vt:lpstr>'RES_sl-SI'!dbAnalysis_ListSelect</vt:lpstr>
      <vt:lpstr>'RES_sv-SE'!dbAnalysis_ListSelect</vt:lpstr>
      <vt:lpstr>'RES_tr-TR'!dbAnalysis_ListSelect</vt:lpstr>
      <vt:lpstr>'RES_zh-CN'!dbAnalysis_ListSelect</vt:lpstr>
      <vt:lpstr>'RES_zh-TW'!dbAnalysis_ListSelect</vt:lpstr>
      <vt:lpstr>'RES_cs-CZ'!dbAnova1</vt:lpstr>
      <vt:lpstr>'RES_da-DK'!dbAnova1</vt:lpstr>
      <vt:lpstr>'RES_de-DE'!dbAnova1</vt:lpstr>
      <vt:lpstr>'RES_el-GR'!dbAnova1</vt:lpstr>
      <vt:lpstr>'RES_en-US'!dbAnova1</vt:lpstr>
      <vt:lpstr>'RES_es-ES'!dbAnova1</vt:lpstr>
      <vt:lpstr>'RES_fi-FI'!dbAnova1</vt:lpstr>
      <vt:lpstr>'RES_fr-FR'!dbAnova1</vt:lpstr>
      <vt:lpstr>'RES_hr-HR'!dbAnova1</vt:lpstr>
      <vt:lpstr>'RES_hu-HU'!dbAnova1</vt:lpstr>
      <vt:lpstr>'RES_it-IT'!dbAnova1</vt:lpstr>
      <vt:lpstr>'RES_ja-JP'!dbAnova1</vt:lpstr>
      <vt:lpstr>'RES_ko-KR'!dbAnova1</vt:lpstr>
      <vt:lpstr>'RES_lv-LV'!dbAnova1</vt:lpstr>
      <vt:lpstr>'RES_nb-NO'!dbAnova1</vt:lpstr>
      <vt:lpstr>'RES_nl-NL'!dbAnova1</vt:lpstr>
      <vt:lpstr>'RES_pl-PL'!dbAnova1</vt:lpstr>
      <vt:lpstr>'RES_pt-BR'!dbAnova1</vt:lpstr>
      <vt:lpstr>'RES_pt-PT'!dbAnova1</vt:lpstr>
      <vt:lpstr>'RES_ro-RO'!dbAnova1</vt:lpstr>
      <vt:lpstr>'RES_ru-RU'!dbAnova1</vt:lpstr>
      <vt:lpstr>'RES_sl-SI'!dbAnova1</vt:lpstr>
      <vt:lpstr>'RES_sv-SE'!dbAnova1</vt:lpstr>
      <vt:lpstr>'RES_tr-TR'!dbAnova1</vt:lpstr>
      <vt:lpstr>'RES_zh-CN'!dbAnova1</vt:lpstr>
      <vt:lpstr>'RES_zh-TW'!dbAnova1</vt:lpstr>
      <vt:lpstr>'RES_cs-CZ'!dbAnova1_AlphaValue</vt:lpstr>
      <vt:lpstr>'RES_da-DK'!dbAnova1_AlphaValue</vt:lpstr>
      <vt:lpstr>'RES_de-DE'!dbAnova1_AlphaValue</vt:lpstr>
      <vt:lpstr>'RES_el-GR'!dbAnova1_AlphaValue</vt:lpstr>
      <vt:lpstr>'RES_en-US'!dbAnova1_AlphaValue</vt:lpstr>
      <vt:lpstr>'RES_es-ES'!dbAnova1_AlphaValue</vt:lpstr>
      <vt:lpstr>'RES_fi-FI'!dbAnova1_AlphaValue</vt:lpstr>
      <vt:lpstr>'RES_fr-FR'!dbAnova1_AlphaValue</vt:lpstr>
      <vt:lpstr>'RES_hr-HR'!dbAnova1_AlphaValue</vt:lpstr>
      <vt:lpstr>'RES_hu-HU'!dbAnova1_AlphaValue</vt:lpstr>
      <vt:lpstr>'RES_it-IT'!dbAnova1_AlphaValue</vt:lpstr>
      <vt:lpstr>'RES_ja-JP'!dbAnova1_AlphaValue</vt:lpstr>
      <vt:lpstr>'RES_ko-KR'!dbAnova1_AlphaValue</vt:lpstr>
      <vt:lpstr>'RES_lv-LV'!dbAnova1_AlphaValue</vt:lpstr>
      <vt:lpstr>'RES_nb-NO'!dbAnova1_AlphaValue</vt:lpstr>
      <vt:lpstr>'RES_nl-NL'!dbAnova1_AlphaValue</vt:lpstr>
      <vt:lpstr>'RES_pl-PL'!dbAnova1_AlphaValue</vt:lpstr>
      <vt:lpstr>'RES_pt-BR'!dbAnova1_AlphaValue</vt:lpstr>
      <vt:lpstr>'RES_pt-PT'!dbAnova1_AlphaValue</vt:lpstr>
      <vt:lpstr>'RES_ro-RO'!dbAnova1_AlphaValue</vt:lpstr>
      <vt:lpstr>'RES_ru-RU'!dbAnova1_AlphaValue</vt:lpstr>
      <vt:lpstr>'RES_sl-SI'!dbAnova1_AlphaValue</vt:lpstr>
      <vt:lpstr>'RES_sv-SE'!dbAnova1_AlphaValue</vt:lpstr>
      <vt:lpstr>'RES_tr-TR'!dbAnova1_AlphaValue</vt:lpstr>
      <vt:lpstr>'RES_zh-CN'!dbAnova1_AlphaValue</vt:lpstr>
      <vt:lpstr>'RES_zh-TW'!dbAnova1_AlphaValue</vt:lpstr>
      <vt:lpstr>'RES_cs-CZ'!dbAnova1_InRange</vt:lpstr>
      <vt:lpstr>'RES_da-DK'!dbAnova1_InRange</vt:lpstr>
      <vt:lpstr>'RES_de-DE'!dbAnova1_InRange</vt:lpstr>
      <vt:lpstr>'RES_el-GR'!dbAnova1_InRange</vt:lpstr>
      <vt:lpstr>'RES_en-US'!dbAnova1_InRange</vt:lpstr>
      <vt:lpstr>'RES_es-ES'!dbAnova1_InRange</vt:lpstr>
      <vt:lpstr>'RES_fi-FI'!dbAnova1_InRange</vt:lpstr>
      <vt:lpstr>'RES_fr-FR'!dbAnova1_InRange</vt:lpstr>
      <vt:lpstr>'RES_hr-HR'!dbAnova1_InRange</vt:lpstr>
      <vt:lpstr>'RES_hu-HU'!dbAnova1_InRange</vt:lpstr>
      <vt:lpstr>'RES_it-IT'!dbAnova1_InRange</vt:lpstr>
      <vt:lpstr>'RES_ja-JP'!dbAnova1_InRange</vt:lpstr>
      <vt:lpstr>'RES_ko-KR'!dbAnova1_InRange</vt:lpstr>
      <vt:lpstr>'RES_lv-LV'!dbAnova1_InRange</vt:lpstr>
      <vt:lpstr>'RES_nb-NO'!dbAnova1_InRange</vt:lpstr>
      <vt:lpstr>'RES_nl-NL'!dbAnova1_InRange</vt:lpstr>
      <vt:lpstr>'RES_pl-PL'!dbAnova1_InRange</vt:lpstr>
      <vt:lpstr>'RES_pt-BR'!dbAnova1_InRange</vt:lpstr>
      <vt:lpstr>'RES_pt-PT'!dbAnova1_InRange</vt:lpstr>
      <vt:lpstr>'RES_ro-RO'!dbAnova1_InRange</vt:lpstr>
      <vt:lpstr>'RES_ru-RU'!dbAnova1_InRange</vt:lpstr>
      <vt:lpstr>'RES_sl-SI'!dbAnova1_InRange</vt:lpstr>
      <vt:lpstr>'RES_sv-SE'!dbAnova1_InRange</vt:lpstr>
      <vt:lpstr>'RES_tr-TR'!dbAnova1_InRange</vt:lpstr>
      <vt:lpstr>'RES_zh-CN'!dbAnova1_InRange</vt:lpstr>
      <vt:lpstr>'RES_zh-TW'!dbAnova1_InRange</vt:lpstr>
      <vt:lpstr>'RES_cs-CZ'!dbAnova1_LabelText</vt:lpstr>
      <vt:lpstr>'RES_da-DK'!dbAnova1_LabelText</vt:lpstr>
      <vt:lpstr>'RES_de-DE'!dbAnova1_LabelText</vt:lpstr>
      <vt:lpstr>'RES_el-GR'!dbAnova1_LabelText</vt:lpstr>
      <vt:lpstr>'RES_en-US'!dbAnova1_LabelText</vt:lpstr>
      <vt:lpstr>'RES_es-ES'!dbAnova1_LabelText</vt:lpstr>
      <vt:lpstr>'RES_fi-FI'!dbAnova1_LabelText</vt:lpstr>
      <vt:lpstr>'RES_fr-FR'!dbAnova1_LabelText</vt:lpstr>
      <vt:lpstr>'RES_hr-HR'!dbAnova1_LabelText</vt:lpstr>
      <vt:lpstr>'RES_hu-HU'!dbAnova1_LabelText</vt:lpstr>
      <vt:lpstr>'RES_it-IT'!dbAnova1_LabelText</vt:lpstr>
      <vt:lpstr>'RES_ja-JP'!dbAnova1_LabelText</vt:lpstr>
      <vt:lpstr>'RES_ko-KR'!dbAnova1_LabelText</vt:lpstr>
      <vt:lpstr>'RES_lv-LV'!dbAnova1_LabelText</vt:lpstr>
      <vt:lpstr>'RES_nb-NO'!dbAnova1_LabelText</vt:lpstr>
      <vt:lpstr>'RES_nl-NL'!dbAnova1_LabelText</vt:lpstr>
      <vt:lpstr>'RES_pl-PL'!dbAnova1_LabelText</vt:lpstr>
      <vt:lpstr>'RES_pt-BR'!dbAnova1_LabelText</vt:lpstr>
      <vt:lpstr>'RES_pt-PT'!dbAnova1_LabelText</vt:lpstr>
      <vt:lpstr>'RES_ro-RO'!dbAnova1_LabelText</vt:lpstr>
      <vt:lpstr>'RES_ru-RU'!dbAnova1_LabelText</vt:lpstr>
      <vt:lpstr>'RES_sl-SI'!dbAnova1_LabelText</vt:lpstr>
      <vt:lpstr>'RES_sv-SE'!dbAnova1_LabelText</vt:lpstr>
      <vt:lpstr>'RES_tr-TR'!dbAnova1_LabelText</vt:lpstr>
      <vt:lpstr>'RES_zh-CN'!dbAnova1_LabelText</vt:lpstr>
      <vt:lpstr>'RES_zh-TW'!dbAnova1_LabelText</vt:lpstr>
      <vt:lpstr>'RES_cs-CZ'!dbAnova1_LblChkBox</vt:lpstr>
      <vt:lpstr>'RES_da-DK'!dbAnova1_LblChkBox</vt:lpstr>
      <vt:lpstr>'RES_de-DE'!dbAnova1_LblChkBox</vt:lpstr>
      <vt:lpstr>'RES_el-GR'!dbAnova1_LblChkBox</vt:lpstr>
      <vt:lpstr>'RES_en-US'!dbAnova1_LblChkBox</vt:lpstr>
      <vt:lpstr>'RES_es-ES'!dbAnova1_LblChkBox</vt:lpstr>
      <vt:lpstr>'RES_fi-FI'!dbAnova1_LblChkBox</vt:lpstr>
      <vt:lpstr>'RES_fr-FR'!dbAnova1_LblChkBox</vt:lpstr>
      <vt:lpstr>'RES_hr-HR'!dbAnova1_LblChkBox</vt:lpstr>
      <vt:lpstr>'RES_hu-HU'!dbAnova1_LblChkBox</vt:lpstr>
      <vt:lpstr>'RES_it-IT'!dbAnova1_LblChkBox</vt:lpstr>
      <vt:lpstr>'RES_ja-JP'!dbAnova1_LblChkBox</vt:lpstr>
      <vt:lpstr>'RES_ko-KR'!dbAnova1_LblChkBox</vt:lpstr>
      <vt:lpstr>'RES_lv-LV'!dbAnova1_LblChkBox</vt:lpstr>
      <vt:lpstr>'RES_nb-NO'!dbAnova1_LblChkBox</vt:lpstr>
      <vt:lpstr>'RES_nl-NL'!dbAnova1_LblChkBox</vt:lpstr>
      <vt:lpstr>'RES_pl-PL'!dbAnova1_LblChkBox</vt:lpstr>
      <vt:lpstr>'RES_pt-BR'!dbAnova1_LblChkBox</vt:lpstr>
      <vt:lpstr>'RES_pt-PT'!dbAnova1_LblChkBox</vt:lpstr>
      <vt:lpstr>'RES_ro-RO'!dbAnova1_LblChkBox</vt:lpstr>
      <vt:lpstr>'RES_ru-RU'!dbAnova1_LblChkBox</vt:lpstr>
      <vt:lpstr>'RES_sl-SI'!dbAnova1_LblChkBox</vt:lpstr>
      <vt:lpstr>'RES_sv-SE'!dbAnova1_LblChkBox</vt:lpstr>
      <vt:lpstr>'RES_tr-TR'!dbAnova1_LblChkBox</vt:lpstr>
      <vt:lpstr>'RES_zh-CN'!dbAnova1_LblChkBox</vt:lpstr>
      <vt:lpstr>'RES_zh-TW'!dbAnova1_LblChkBox</vt:lpstr>
      <vt:lpstr>'RES_cs-CZ'!dbAnova1_OutOption</vt:lpstr>
      <vt:lpstr>'RES_da-DK'!dbAnova1_OutOption</vt:lpstr>
      <vt:lpstr>'RES_de-DE'!dbAnova1_OutOption</vt:lpstr>
      <vt:lpstr>'RES_el-GR'!dbAnova1_OutOption</vt:lpstr>
      <vt:lpstr>'RES_en-US'!dbAnova1_OutOption</vt:lpstr>
      <vt:lpstr>'RES_es-ES'!dbAnova1_OutOption</vt:lpstr>
      <vt:lpstr>'RES_fi-FI'!dbAnova1_OutOption</vt:lpstr>
      <vt:lpstr>'RES_fr-FR'!dbAnova1_OutOption</vt:lpstr>
      <vt:lpstr>'RES_hr-HR'!dbAnova1_OutOption</vt:lpstr>
      <vt:lpstr>'RES_hu-HU'!dbAnova1_OutOption</vt:lpstr>
      <vt:lpstr>'RES_it-IT'!dbAnova1_OutOption</vt:lpstr>
      <vt:lpstr>'RES_ja-JP'!dbAnova1_OutOption</vt:lpstr>
      <vt:lpstr>'RES_ko-KR'!dbAnova1_OutOption</vt:lpstr>
      <vt:lpstr>'RES_lv-LV'!dbAnova1_OutOption</vt:lpstr>
      <vt:lpstr>'RES_nb-NO'!dbAnova1_OutOption</vt:lpstr>
      <vt:lpstr>'RES_nl-NL'!dbAnova1_OutOption</vt:lpstr>
      <vt:lpstr>'RES_pl-PL'!dbAnova1_OutOption</vt:lpstr>
      <vt:lpstr>'RES_pt-BR'!dbAnova1_OutOption</vt:lpstr>
      <vt:lpstr>'RES_pt-PT'!dbAnova1_OutOption</vt:lpstr>
      <vt:lpstr>'RES_ro-RO'!dbAnova1_OutOption</vt:lpstr>
      <vt:lpstr>'RES_ru-RU'!dbAnova1_OutOption</vt:lpstr>
      <vt:lpstr>'RES_sl-SI'!dbAnova1_OutOption</vt:lpstr>
      <vt:lpstr>'RES_sv-SE'!dbAnova1_OutOption</vt:lpstr>
      <vt:lpstr>'RES_tr-TR'!dbAnova1_OutOption</vt:lpstr>
      <vt:lpstr>'RES_zh-CN'!dbAnova1_OutOption</vt:lpstr>
      <vt:lpstr>'RES_zh-TW'!dbAnova1_OutOption</vt:lpstr>
      <vt:lpstr>'RES_cs-CZ'!dbAnova1_PlyInpFld</vt:lpstr>
      <vt:lpstr>'RES_da-DK'!dbAnova1_PlyInpFld</vt:lpstr>
      <vt:lpstr>'RES_de-DE'!dbAnova1_PlyInpFld</vt:lpstr>
      <vt:lpstr>'RES_el-GR'!dbAnova1_PlyInpFld</vt:lpstr>
      <vt:lpstr>'RES_en-US'!dbAnova1_PlyInpFld</vt:lpstr>
      <vt:lpstr>'RES_es-ES'!dbAnova1_PlyInpFld</vt:lpstr>
      <vt:lpstr>'RES_fi-FI'!dbAnova1_PlyInpFld</vt:lpstr>
      <vt:lpstr>'RES_fr-FR'!dbAnova1_PlyInpFld</vt:lpstr>
      <vt:lpstr>'RES_hr-HR'!dbAnova1_PlyInpFld</vt:lpstr>
      <vt:lpstr>'RES_hu-HU'!dbAnova1_PlyInpFld</vt:lpstr>
      <vt:lpstr>'RES_it-IT'!dbAnova1_PlyInpFld</vt:lpstr>
      <vt:lpstr>'RES_ja-JP'!dbAnova1_PlyInpFld</vt:lpstr>
      <vt:lpstr>'RES_ko-KR'!dbAnova1_PlyInpFld</vt:lpstr>
      <vt:lpstr>'RES_lv-LV'!dbAnova1_PlyInpFld</vt:lpstr>
      <vt:lpstr>'RES_nb-NO'!dbAnova1_PlyInpFld</vt:lpstr>
      <vt:lpstr>'RES_nl-NL'!dbAnova1_PlyInpFld</vt:lpstr>
      <vt:lpstr>'RES_pl-PL'!dbAnova1_PlyInpFld</vt:lpstr>
      <vt:lpstr>'RES_pt-BR'!dbAnova1_PlyInpFld</vt:lpstr>
      <vt:lpstr>'RES_pt-PT'!dbAnova1_PlyInpFld</vt:lpstr>
      <vt:lpstr>'RES_ro-RO'!dbAnova1_PlyInpFld</vt:lpstr>
      <vt:lpstr>'RES_ru-RU'!dbAnova1_PlyInpFld</vt:lpstr>
      <vt:lpstr>'RES_sl-SI'!dbAnova1_PlyInpFld</vt:lpstr>
      <vt:lpstr>'RES_sv-SE'!dbAnova1_PlyInpFld</vt:lpstr>
      <vt:lpstr>'RES_tr-TR'!dbAnova1_PlyInpFld</vt:lpstr>
      <vt:lpstr>'RES_zh-CN'!dbAnova1_PlyInpFld</vt:lpstr>
      <vt:lpstr>'RES_zh-TW'!dbAnova1_PlyInpFld</vt:lpstr>
      <vt:lpstr>'RES_cs-CZ'!dbAnova1_PlyName</vt:lpstr>
      <vt:lpstr>'RES_da-DK'!dbAnova1_PlyName</vt:lpstr>
      <vt:lpstr>'RES_de-DE'!dbAnova1_PlyName</vt:lpstr>
      <vt:lpstr>'RES_el-GR'!dbAnova1_PlyName</vt:lpstr>
      <vt:lpstr>'RES_en-US'!dbAnova1_PlyName</vt:lpstr>
      <vt:lpstr>'RES_es-ES'!dbAnova1_PlyName</vt:lpstr>
      <vt:lpstr>'RES_fi-FI'!dbAnova1_PlyName</vt:lpstr>
      <vt:lpstr>'RES_fr-FR'!dbAnova1_PlyName</vt:lpstr>
      <vt:lpstr>'RES_hr-HR'!dbAnova1_PlyName</vt:lpstr>
      <vt:lpstr>'RES_hu-HU'!dbAnova1_PlyName</vt:lpstr>
      <vt:lpstr>'RES_it-IT'!dbAnova1_PlyName</vt:lpstr>
      <vt:lpstr>'RES_ja-JP'!dbAnova1_PlyName</vt:lpstr>
      <vt:lpstr>'RES_ko-KR'!dbAnova1_PlyName</vt:lpstr>
      <vt:lpstr>'RES_lv-LV'!dbAnova1_PlyName</vt:lpstr>
      <vt:lpstr>'RES_nb-NO'!dbAnova1_PlyName</vt:lpstr>
      <vt:lpstr>'RES_nl-NL'!dbAnova1_PlyName</vt:lpstr>
      <vt:lpstr>'RES_pl-PL'!dbAnova1_PlyName</vt:lpstr>
      <vt:lpstr>'RES_pt-BR'!dbAnova1_PlyName</vt:lpstr>
      <vt:lpstr>'RES_pt-PT'!dbAnova1_PlyName</vt:lpstr>
      <vt:lpstr>'RES_ro-RO'!dbAnova1_PlyName</vt:lpstr>
      <vt:lpstr>'RES_ru-RU'!dbAnova1_PlyName</vt:lpstr>
      <vt:lpstr>'RES_sl-SI'!dbAnova1_PlyName</vt:lpstr>
      <vt:lpstr>'RES_sv-SE'!dbAnova1_PlyName</vt:lpstr>
      <vt:lpstr>'RES_tr-TR'!dbAnova1_PlyName</vt:lpstr>
      <vt:lpstr>'RES_zh-CN'!dbAnova1_PlyName</vt:lpstr>
      <vt:lpstr>'RES_zh-TW'!dbAnova1_PlyName</vt:lpstr>
      <vt:lpstr>'RES_cs-CZ'!dbAnova1_RangeInpFld</vt:lpstr>
      <vt:lpstr>'RES_da-DK'!dbAnova1_RangeInpFld</vt:lpstr>
      <vt:lpstr>'RES_de-DE'!dbAnova1_RangeInpFld</vt:lpstr>
      <vt:lpstr>'RES_el-GR'!dbAnova1_RangeInpFld</vt:lpstr>
      <vt:lpstr>'RES_en-US'!dbAnova1_RangeInpFld</vt:lpstr>
      <vt:lpstr>'RES_es-ES'!dbAnova1_RangeInpFld</vt:lpstr>
      <vt:lpstr>'RES_fi-FI'!dbAnova1_RangeInpFld</vt:lpstr>
      <vt:lpstr>'RES_fr-FR'!dbAnova1_RangeInpFld</vt:lpstr>
      <vt:lpstr>'RES_hr-HR'!dbAnova1_RangeInpFld</vt:lpstr>
      <vt:lpstr>'RES_hu-HU'!dbAnova1_RangeInpFld</vt:lpstr>
      <vt:lpstr>'RES_it-IT'!dbAnova1_RangeInpFld</vt:lpstr>
      <vt:lpstr>'RES_ja-JP'!dbAnova1_RangeInpFld</vt:lpstr>
      <vt:lpstr>'RES_ko-KR'!dbAnova1_RangeInpFld</vt:lpstr>
      <vt:lpstr>'RES_lv-LV'!dbAnova1_RangeInpFld</vt:lpstr>
      <vt:lpstr>'RES_nb-NO'!dbAnova1_RangeInpFld</vt:lpstr>
      <vt:lpstr>'RES_nl-NL'!dbAnova1_RangeInpFld</vt:lpstr>
      <vt:lpstr>'RES_pl-PL'!dbAnova1_RangeInpFld</vt:lpstr>
      <vt:lpstr>'RES_pt-BR'!dbAnova1_RangeInpFld</vt:lpstr>
      <vt:lpstr>'RES_pt-PT'!dbAnova1_RangeInpFld</vt:lpstr>
      <vt:lpstr>'RES_ro-RO'!dbAnova1_RangeInpFld</vt:lpstr>
      <vt:lpstr>'RES_ru-RU'!dbAnova1_RangeInpFld</vt:lpstr>
      <vt:lpstr>'RES_sl-SI'!dbAnova1_RangeInpFld</vt:lpstr>
      <vt:lpstr>'RES_sv-SE'!dbAnova1_RangeInpFld</vt:lpstr>
      <vt:lpstr>'RES_tr-TR'!dbAnova1_RangeInpFld</vt:lpstr>
      <vt:lpstr>'RES_zh-CN'!dbAnova1_RangeInpFld</vt:lpstr>
      <vt:lpstr>'RES_zh-TW'!dbAnova1_RangeInpFld</vt:lpstr>
      <vt:lpstr>'RES_cs-CZ'!dbAnova1_RangeRef</vt:lpstr>
      <vt:lpstr>'RES_da-DK'!dbAnova1_RangeRef</vt:lpstr>
      <vt:lpstr>'RES_de-DE'!dbAnova1_RangeRef</vt:lpstr>
      <vt:lpstr>'RES_el-GR'!dbAnova1_RangeRef</vt:lpstr>
      <vt:lpstr>'RES_en-US'!dbAnova1_RangeRef</vt:lpstr>
      <vt:lpstr>'RES_es-ES'!dbAnova1_RangeRef</vt:lpstr>
      <vt:lpstr>'RES_fi-FI'!dbAnova1_RangeRef</vt:lpstr>
      <vt:lpstr>'RES_fr-FR'!dbAnova1_RangeRef</vt:lpstr>
      <vt:lpstr>'RES_hr-HR'!dbAnova1_RangeRef</vt:lpstr>
      <vt:lpstr>'RES_hu-HU'!dbAnova1_RangeRef</vt:lpstr>
      <vt:lpstr>'RES_it-IT'!dbAnova1_RangeRef</vt:lpstr>
      <vt:lpstr>'RES_ja-JP'!dbAnova1_RangeRef</vt:lpstr>
      <vt:lpstr>'RES_ko-KR'!dbAnova1_RangeRef</vt:lpstr>
      <vt:lpstr>'RES_lv-LV'!dbAnova1_RangeRef</vt:lpstr>
      <vt:lpstr>'RES_nb-NO'!dbAnova1_RangeRef</vt:lpstr>
      <vt:lpstr>'RES_nl-NL'!dbAnova1_RangeRef</vt:lpstr>
      <vt:lpstr>'RES_pl-PL'!dbAnova1_RangeRef</vt:lpstr>
      <vt:lpstr>'RES_pt-BR'!dbAnova1_RangeRef</vt:lpstr>
      <vt:lpstr>'RES_pt-PT'!dbAnova1_RangeRef</vt:lpstr>
      <vt:lpstr>'RES_ro-RO'!dbAnova1_RangeRef</vt:lpstr>
      <vt:lpstr>'RES_ru-RU'!dbAnova1_RangeRef</vt:lpstr>
      <vt:lpstr>'RES_sl-SI'!dbAnova1_RangeRef</vt:lpstr>
      <vt:lpstr>'RES_sv-SE'!dbAnova1_RangeRef</vt:lpstr>
      <vt:lpstr>'RES_tr-TR'!dbAnova1_RangeRef</vt:lpstr>
      <vt:lpstr>'RES_zh-CN'!dbAnova1_RangeRef</vt:lpstr>
      <vt:lpstr>'RES_zh-TW'!dbAnova1_RangeRef</vt:lpstr>
      <vt:lpstr>'RES_cs-CZ'!dbAnova1_RCSelect</vt:lpstr>
      <vt:lpstr>'RES_da-DK'!dbAnova1_RCSelect</vt:lpstr>
      <vt:lpstr>'RES_de-DE'!dbAnova1_RCSelect</vt:lpstr>
      <vt:lpstr>'RES_el-GR'!dbAnova1_RCSelect</vt:lpstr>
      <vt:lpstr>'RES_en-US'!dbAnova1_RCSelect</vt:lpstr>
      <vt:lpstr>'RES_es-ES'!dbAnova1_RCSelect</vt:lpstr>
      <vt:lpstr>'RES_fi-FI'!dbAnova1_RCSelect</vt:lpstr>
      <vt:lpstr>'RES_fr-FR'!dbAnova1_RCSelect</vt:lpstr>
      <vt:lpstr>'RES_hr-HR'!dbAnova1_RCSelect</vt:lpstr>
      <vt:lpstr>'RES_hu-HU'!dbAnova1_RCSelect</vt:lpstr>
      <vt:lpstr>'RES_it-IT'!dbAnova1_RCSelect</vt:lpstr>
      <vt:lpstr>'RES_ja-JP'!dbAnova1_RCSelect</vt:lpstr>
      <vt:lpstr>'RES_ko-KR'!dbAnova1_RCSelect</vt:lpstr>
      <vt:lpstr>'RES_lv-LV'!dbAnova1_RCSelect</vt:lpstr>
      <vt:lpstr>'RES_nb-NO'!dbAnova1_RCSelect</vt:lpstr>
      <vt:lpstr>'RES_nl-NL'!dbAnova1_RCSelect</vt:lpstr>
      <vt:lpstr>'RES_pl-PL'!dbAnova1_RCSelect</vt:lpstr>
      <vt:lpstr>'RES_pt-BR'!dbAnova1_RCSelect</vt:lpstr>
      <vt:lpstr>'RES_pt-PT'!dbAnova1_RCSelect</vt:lpstr>
      <vt:lpstr>'RES_ro-RO'!dbAnova1_RCSelect</vt:lpstr>
      <vt:lpstr>'RES_ru-RU'!dbAnova1_RCSelect</vt:lpstr>
      <vt:lpstr>'RES_sl-SI'!dbAnova1_RCSelect</vt:lpstr>
      <vt:lpstr>'RES_sv-SE'!dbAnova1_RCSelect</vt:lpstr>
      <vt:lpstr>'RES_tr-TR'!dbAnova1_RCSelect</vt:lpstr>
      <vt:lpstr>'RES_zh-CN'!dbAnova1_RCSelect</vt:lpstr>
      <vt:lpstr>'RES_zh-TW'!dbAnova1_RCSelect</vt:lpstr>
      <vt:lpstr>'RES_cs-CZ'!dbAnova1Title</vt:lpstr>
      <vt:lpstr>'RES_da-DK'!dbAnova1Title</vt:lpstr>
      <vt:lpstr>'RES_de-DE'!dbAnova1Title</vt:lpstr>
      <vt:lpstr>'RES_el-GR'!dbAnova1Title</vt:lpstr>
      <vt:lpstr>'RES_en-US'!dbAnova1Title</vt:lpstr>
      <vt:lpstr>'RES_es-ES'!dbAnova1Title</vt:lpstr>
      <vt:lpstr>'RES_fi-FI'!dbAnova1Title</vt:lpstr>
      <vt:lpstr>'RES_fr-FR'!dbAnova1Title</vt:lpstr>
      <vt:lpstr>'RES_hr-HR'!dbAnova1Title</vt:lpstr>
      <vt:lpstr>'RES_hu-HU'!dbAnova1Title</vt:lpstr>
      <vt:lpstr>'RES_it-IT'!dbAnova1Title</vt:lpstr>
      <vt:lpstr>'RES_ja-JP'!dbAnova1Title</vt:lpstr>
      <vt:lpstr>'RES_ko-KR'!dbAnova1Title</vt:lpstr>
      <vt:lpstr>'RES_lv-LV'!dbAnova1Title</vt:lpstr>
      <vt:lpstr>'RES_nb-NO'!dbAnova1Title</vt:lpstr>
      <vt:lpstr>'RES_nl-NL'!dbAnova1Title</vt:lpstr>
      <vt:lpstr>'RES_pl-PL'!dbAnova1Title</vt:lpstr>
      <vt:lpstr>'RES_pt-BR'!dbAnova1Title</vt:lpstr>
      <vt:lpstr>'RES_pt-PT'!dbAnova1Title</vt:lpstr>
      <vt:lpstr>'RES_ro-RO'!dbAnova1Title</vt:lpstr>
      <vt:lpstr>'RES_ru-RU'!dbAnova1Title</vt:lpstr>
      <vt:lpstr>'RES_sl-SI'!dbAnova1Title</vt:lpstr>
      <vt:lpstr>'RES_sv-SE'!dbAnova1Title</vt:lpstr>
      <vt:lpstr>'RES_tr-TR'!dbAnova1Title</vt:lpstr>
      <vt:lpstr>'RES_zh-CN'!dbAnova1Title</vt:lpstr>
      <vt:lpstr>'RES_zh-TW'!dbAnova1Title</vt:lpstr>
      <vt:lpstr>'RES_cs-CZ'!dbAnova2</vt:lpstr>
      <vt:lpstr>'RES_da-DK'!dbAnova2</vt:lpstr>
      <vt:lpstr>'RES_de-DE'!dbAnova2</vt:lpstr>
      <vt:lpstr>'RES_el-GR'!dbAnova2</vt:lpstr>
      <vt:lpstr>'RES_en-US'!dbAnova2</vt:lpstr>
      <vt:lpstr>'RES_es-ES'!dbAnova2</vt:lpstr>
      <vt:lpstr>'RES_fi-FI'!dbAnova2</vt:lpstr>
      <vt:lpstr>'RES_fr-FR'!dbAnova2</vt:lpstr>
      <vt:lpstr>'RES_hr-HR'!dbAnova2</vt:lpstr>
      <vt:lpstr>'RES_hu-HU'!dbAnova2</vt:lpstr>
      <vt:lpstr>'RES_it-IT'!dbAnova2</vt:lpstr>
      <vt:lpstr>'RES_ja-JP'!dbAnova2</vt:lpstr>
      <vt:lpstr>'RES_ko-KR'!dbAnova2</vt:lpstr>
      <vt:lpstr>'RES_lv-LV'!dbAnova2</vt:lpstr>
      <vt:lpstr>'RES_nb-NO'!dbAnova2</vt:lpstr>
      <vt:lpstr>'RES_nl-NL'!dbAnova2</vt:lpstr>
      <vt:lpstr>'RES_pl-PL'!dbAnova2</vt:lpstr>
      <vt:lpstr>'RES_pt-BR'!dbAnova2</vt:lpstr>
      <vt:lpstr>'RES_pt-PT'!dbAnova2</vt:lpstr>
      <vt:lpstr>'RES_ro-RO'!dbAnova2</vt:lpstr>
      <vt:lpstr>'RES_ru-RU'!dbAnova2</vt:lpstr>
      <vt:lpstr>'RES_sl-SI'!dbAnova2</vt:lpstr>
      <vt:lpstr>'RES_sv-SE'!dbAnova2</vt:lpstr>
      <vt:lpstr>'RES_tr-TR'!dbAnova2</vt:lpstr>
      <vt:lpstr>'RES_zh-CN'!dbAnova2</vt:lpstr>
      <vt:lpstr>'RES_zh-TW'!dbAnova2</vt:lpstr>
      <vt:lpstr>'RES_cs-CZ'!dbAnova2_AlphaValue</vt:lpstr>
      <vt:lpstr>'RES_da-DK'!dbAnova2_AlphaValue</vt:lpstr>
      <vt:lpstr>'RES_de-DE'!dbAnova2_AlphaValue</vt:lpstr>
      <vt:lpstr>'RES_el-GR'!dbAnova2_AlphaValue</vt:lpstr>
      <vt:lpstr>'RES_en-US'!dbAnova2_AlphaValue</vt:lpstr>
      <vt:lpstr>'RES_es-ES'!dbAnova2_AlphaValue</vt:lpstr>
      <vt:lpstr>'RES_fi-FI'!dbAnova2_AlphaValue</vt:lpstr>
      <vt:lpstr>'RES_fr-FR'!dbAnova2_AlphaValue</vt:lpstr>
      <vt:lpstr>'RES_hr-HR'!dbAnova2_AlphaValue</vt:lpstr>
      <vt:lpstr>'RES_hu-HU'!dbAnova2_AlphaValue</vt:lpstr>
      <vt:lpstr>'RES_it-IT'!dbAnova2_AlphaValue</vt:lpstr>
      <vt:lpstr>'RES_ja-JP'!dbAnova2_AlphaValue</vt:lpstr>
      <vt:lpstr>'RES_ko-KR'!dbAnova2_AlphaValue</vt:lpstr>
      <vt:lpstr>'RES_lv-LV'!dbAnova2_AlphaValue</vt:lpstr>
      <vt:lpstr>'RES_nb-NO'!dbAnova2_AlphaValue</vt:lpstr>
      <vt:lpstr>'RES_nl-NL'!dbAnova2_AlphaValue</vt:lpstr>
      <vt:lpstr>'RES_pl-PL'!dbAnova2_AlphaValue</vt:lpstr>
      <vt:lpstr>'RES_pt-BR'!dbAnova2_AlphaValue</vt:lpstr>
      <vt:lpstr>'RES_pt-PT'!dbAnova2_AlphaValue</vt:lpstr>
      <vt:lpstr>'RES_ro-RO'!dbAnova2_AlphaValue</vt:lpstr>
      <vt:lpstr>'RES_ru-RU'!dbAnova2_AlphaValue</vt:lpstr>
      <vt:lpstr>'RES_sl-SI'!dbAnova2_AlphaValue</vt:lpstr>
      <vt:lpstr>'RES_sv-SE'!dbAnova2_AlphaValue</vt:lpstr>
      <vt:lpstr>'RES_tr-TR'!dbAnova2_AlphaValue</vt:lpstr>
      <vt:lpstr>'RES_zh-CN'!dbAnova2_AlphaValue</vt:lpstr>
      <vt:lpstr>'RES_zh-TW'!dbAnova2_AlphaValue</vt:lpstr>
      <vt:lpstr>'RES_cs-CZ'!dbAnova2_InRange</vt:lpstr>
      <vt:lpstr>'RES_da-DK'!dbAnova2_InRange</vt:lpstr>
      <vt:lpstr>'RES_de-DE'!dbAnova2_InRange</vt:lpstr>
      <vt:lpstr>'RES_el-GR'!dbAnova2_InRange</vt:lpstr>
      <vt:lpstr>'RES_en-US'!dbAnova2_InRange</vt:lpstr>
      <vt:lpstr>'RES_es-ES'!dbAnova2_InRange</vt:lpstr>
      <vt:lpstr>'RES_fi-FI'!dbAnova2_InRange</vt:lpstr>
      <vt:lpstr>'RES_fr-FR'!dbAnova2_InRange</vt:lpstr>
      <vt:lpstr>'RES_hr-HR'!dbAnova2_InRange</vt:lpstr>
      <vt:lpstr>'RES_hu-HU'!dbAnova2_InRange</vt:lpstr>
      <vt:lpstr>'RES_it-IT'!dbAnova2_InRange</vt:lpstr>
      <vt:lpstr>'RES_ja-JP'!dbAnova2_InRange</vt:lpstr>
      <vt:lpstr>'RES_ko-KR'!dbAnova2_InRange</vt:lpstr>
      <vt:lpstr>'RES_lv-LV'!dbAnova2_InRange</vt:lpstr>
      <vt:lpstr>'RES_nb-NO'!dbAnova2_InRange</vt:lpstr>
      <vt:lpstr>'RES_nl-NL'!dbAnova2_InRange</vt:lpstr>
      <vt:lpstr>'RES_pl-PL'!dbAnova2_InRange</vt:lpstr>
      <vt:lpstr>'RES_pt-BR'!dbAnova2_InRange</vt:lpstr>
      <vt:lpstr>'RES_pt-PT'!dbAnova2_InRange</vt:lpstr>
      <vt:lpstr>'RES_ro-RO'!dbAnova2_InRange</vt:lpstr>
      <vt:lpstr>'RES_ru-RU'!dbAnova2_InRange</vt:lpstr>
      <vt:lpstr>'RES_sl-SI'!dbAnova2_InRange</vt:lpstr>
      <vt:lpstr>'RES_sv-SE'!dbAnova2_InRange</vt:lpstr>
      <vt:lpstr>'RES_tr-TR'!dbAnova2_InRange</vt:lpstr>
      <vt:lpstr>'RES_zh-CN'!dbAnova2_InRange</vt:lpstr>
      <vt:lpstr>'RES_zh-TW'!dbAnova2_InRange</vt:lpstr>
      <vt:lpstr>'RES_cs-CZ'!dbAnova2_OutOption</vt:lpstr>
      <vt:lpstr>'RES_da-DK'!dbAnova2_OutOption</vt:lpstr>
      <vt:lpstr>'RES_de-DE'!dbAnova2_OutOption</vt:lpstr>
      <vt:lpstr>'RES_el-GR'!dbAnova2_OutOption</vt:lpstr>
      <vt:lpstr>'RES_en-US'!dbAnova2_OutOption</vt:lpstr>
      <vt:lpstr>'RES_es-ES'!dbAnova2_OutOption</vt:lpstr>
      <vt:lpstr>'RES_fi-FI'!dbAnova2_OutOption</vt:lpstr>
      <vt:lpstr>'RES_fr-FR'!dbAnova2_OutOption</vt:lpstr>
      <vt:lpstr>'RES_hr-HR'!dbAnova2_OutOption</vt:lpstr>
      <vt:lpstr>'RES_hu-HU'!dbAnova2_OutOption</vt:lpstr>
      <vt:lpstr>'RES_it-IT'!dbAnova2_OutOption</vt:lpstr>
      <vt:lpstr>'RES_ja-JP'!dbAnova2_OutOption</vt:lpstr>
      <vt:lpstr>'RES_ko-KR'!dbAnova2_OutOption</vt:lpstr>
      <vt:lpstr>'RES_lv-LV'!dbAnova2_OutOption</vt:lpstr>
      <vt:lpstr>'RES_nb-NO'!dbAnova2_OutOption</vt:lpstr>
      <vt:lpstr>'RES_nl-NL'!dbAnova2_OutOption</vt:lpstr>
      <vt:lpstr>'RES_pl-PL'!dbAnova2_OutOption</vt:lpstr>
      <vt:lpstr>'RES_pt-BR'!dbAnova2_OutOption</vt:lpstr>
      <vt:lpstr>'RES_pt-PT'!dbAnova2_OutOption</vt:lpstr>
      <vt:lpstr>'RES_ro-RO'!dbAnova2_OutOption</vt:lpstr>
      <vt:lpstr>'RES_ru-RU'!dbAnova2_OutOption</vt:lpstr>
      <vt:lpstr>'RES_sl-SI'!dbAnova2_OutOption</vt:lpstr>
      <vt:lpstr>'RES_sv-SE'!dbAnova2_OutOption</vt:lpstr>
      <vt:lpstr>'RES_tr-TR'!dbAnova2_OutOption</vt:lpstr>
      <vt:lpstr>'RES_zh-CN'!dbAnova2_OutOption</vt:lpstr>
      <vt:lpstr>'RES_zh-TW'!dbAnova2_OutOption</vt:lpstr>
      <vt:lpstr>'RES_cs-CZ'!dbAnova2_PlyInpFld</vt:lpstr>
      <vt:lpstr>'RES_da-DK'!dbAnova2_PlyInpFld</vt:lpstr>
      <vt:lpstr>'RES_de-DE'!dbAnova2_PlyInpFld</vt:lpstr>
      <vt:lpstr>'RES_el-GR'!dbAnova2_PlyInpFld</vt:lpstr>
      <vt:lpstr>'RES_en-US'!dbAnova2_PlyInpFld</vt:lpstr>
      <vt:lpstr>'RES_es-ES'!dbAnova2_PlyInpFld</vt:lpstr>
      <vt:lpstr>'RES_fi-FI'!dbAnova2_PlyInpFld</vt:lpstr>
      <vt:lpstr>'RES_fr-FR'!dbAnova2_PlyInpFld</vt:lpstr>
      <vt:lpstr>'RES_hr-HR'!dbAnova2_PlyInpFld</vt:lpstr>
      <vt:lpstr>'RES_hu-HU'!dbAnova2_PlyInpFld</vt:lpstr>
      <vt:lpstr>'RES_it-IT'!dbAnova2_PlyInpFld</vt:lpstr>
      <vt:lpstr>'RES_ja-JP'!dbAnova2_PlyInpFld</vt:lpstr>
      <vt:lpstr>'RES_ko-KR'!dbAnova2_PlyInpFld</vt:lpstr>
      <vt:lpstr>'RES_lv-LV'!dbAnova2_PlyInpFld</vt:lpstr>
      <vt:lpstr>'RES_nb-NO'!dbAnova2_PlyInpFld</vt:lpstr>
      <vt:lpstr>'RES_nl-NL'!dbAnova2_PlyInpFld</vt:lpstr>
      <vt:lpstr>'RES_pl-PL'!dbAnova2_PlyInpFld</vt:lpstr>
      <vt:lpstr>'RES_pt-BR'!dbAnova2_PlyInpFld</vt:lpstr>
      <vt:lpstr>'RES_pt-PT'!dbAnova2_PlyInpFld</vt:lpstr>
      <vt:lpstr>'RES_ro-RO'!dbAnova2_PlyInpFld</vt:lpstr>
      <vt:lpstr>'RES_ru-RU'!dbAnova2_PlyInpFld</vt:lpstr>
      <vt:lpstr>'RES_sl-SI'!dbAnova2_PlyInpFld</vt:lpstr>
      <vt:lpstr>'RES_sv-SE'!dbAnova2_PlyInpFld</vt:lpstr>
      <vt:lpstr>'RES_tr-TR'!dbAnova2_PlyInpFld</vt:lpstr>
      <vt:lpstr>'RES_zh-CN'!dbAnova2_PlyInpFld</vt:lpstr>
      <vt:lpstr>'RES_zh-TW'!dbAnova2_PlyInpFld</vt:lpstr>
      <vt:lpstr>'RES_cs-CZ'!dbAnova2_PlyName</vt:lpstr>
      <vt:lpstr>'RES_da-DK'!dbAnova2_PlyName</vt:lpstr>
      <vt:lpstr>'RES_de-DE'!dbAnova2_PlyName</vt:lpstr>
      <vt:lpstr>'RES_el-GR'!dbAnova2_PlyName</vt:lpstr>
      <vt:lpstr>'RES_en-US'!dbAnova2_PlyName</vt:lpstr>
      <vt:lpstr>'RES_es-ES'!dbAnova2_PlyName</vt:lpstr>
      <vt:lpstr>'RES_fi-FI'!dbAnova2_PlyName</vt:lpstr>
      <vt:lpstr>'RES_fr-FR'!dbAnova2_PlyName</vt:lpstr>
      <vt:lpstr>'RES_hr-HR'!dbAnova2_PlyName</vt:lpstr>
      <vt:lpstr>'RES_hu-HU'!dbAnova2_PlyName</vt:lpstr>
      <vt:lpstr>'RES_it-IT'!dbAnova2_PlyName</vt:lpstr>
      <vt:lpstr>'RES_ja-JP'!dbAnova2_PlyName</vt:lpstr>
      <vt:lpstr>'RES_ko-KR'!dbAnova2_PlyName</vt:lpstr>
      <vt:lpstr>'RES_lv-LV'!dbAnova2_PlyName</vt:lpstr>
      <vt:lpstr>'RES_nb-NO'!dbAnova2_PlyName</vt:lpstr>
      <vt:lpstr>'RES_nl-NL'!dbAnova2_PlyName</vt:lpstr>
      <vt:lpstr>'RES_pl-PL'!dbAnova2_PlyName</vt:lpstr>
      <vt:lpstr>'RES_pt-BR'!dbAnova2_PlyName</vt:lpstr>
      <vt:lpstr>'RES_pt-PT'!dbAnova2_PlyName</vt:lpstr>
      <vt:lpstr>'RES_ro-RO'!dbAnova2_PlyName</vt:lpstr>
      <vt:lpstr>'RES_ru-RU'!dbAnova2_PlyName</vt:lpstr>
      <vt:lpstr>'RES_sl-SI'!dbAnova2_PlyName</vt:lpstr>
      <vt:lpstr>'RES_sv-SE'!dbAnova2_PlyName</vt:lpstr>
      <vt:lpstr>'RES_tr-TR'!dbAnova2_PlyName</vt:lpstr>
      <vt:lpstr>'RES_zh-CN'!dbAnova2_PlyName</vt:lpstr>
      <vt:lpstr>'RES_zh-TW'!dbAnova2_PlyName</vt:lpstr>
      <vt:lpstr>'RES_cs-CZ'!dbAnova2_RangeInpFld</vt:lpstr>
      <vt:lpstr>'RES_da-DK'!dbAnova2_RangeInpFld</vt:lpstr>
      <vt:lpstr>'RES_de-DE'!dbAnova2_RangeInpFld</vt:lpstr>
      <vt:lpstr>'RES_el-GR'!dbAnova2_RangeInpFld</vt:lpstr>
      <vt:lpstr>'RES_en-US'!dbAnova2_RangeInpFld</vt:lpstr>
      <vt:lpstr>'RES_es-ES'!dbAnova2_RangeInpFld</vt:lpstr>
      <vt:lpstr>'RES_fi-FI'!dbAnova2_RangeInpFld</vt:lpstr>
      <vt:lpstr>'RES_fr-FR'!dbAnova2_RangeInpFld</vt:lpstr>
      <vt:lpstr>'RES_hr-HR'!dbAnova2_RangeInpFld</vt:lpstr>
      <vt:lpstr>'RES_hu-HU'!dbAnova2_RangeInpFld</vt:lpstr>
      <vt:lpstr>'RES_it-IT'!dbAnova2_RangeInpFld</vt:lpstr>
      <vt:lpstr>'RES_ja-JP'!dbAnova2_RangeInpFld</vt:lpstr>
      <vt:lpstr>'RES_ko-KR'!dbAnova2_RangeInpFld</vt:lpstr>
      <vt:lpstr>'RES_lv-LV'!dbAnova2_RangeInpFld</vt:lpstr>
      <vt:lpstr>'RES_nb-NO'!dbAnova2_RangeInpFld</vt:lpstr>
      <vt:lpstr>'RES_nl-NL'!dbAnova2_RangeInpFld</vt:lpstr>
      <vt:lpstr>'RES_pl-PL'!dbAnova2_RangeInpFld</vt:lpstr>
      <vt:lpstr>'RES_pt-BR'!dbAnova2_RangeInpFld</vt:lpstr>
      <vt:lpstr>'RES_pt-PT'!dbAnova2_RangeInpFld</vt:lpstr>
      <vt:lpstr>'RES_ro-RO'!dbAnova2_RangeInpFld</vt:lpstr>
      <vt:lpstr>'RES_ru-RU'!dbAnova2_RangeInpFld</vt:lpstr>
      <vt:lpstr>'RES_sl-SI'!dbAnova2_RangeInpFld</vt:lpstr>
      <vt:lpstr>'RES_sv-SE'!dbAnova2_RangeInpFld</vt:lpstr>
      <vt:lpstr>'RES_tr-TR'!dbAnova2_RangeInpFld</vt:lpstr>
      <vt:lpstr>'RES_zh-CN'!dbAnova2_RangeInpFld</vt:lpstr>
      <vt:lpstr>'RES_zh-TW'!dbAnova2_RangeInpFld</vt:lpstr>
      <vt:lpstr>'RES_cs-CZ'!dbAnova2_RangeRef</vt:lpstr>
      <vt:lpstr>'RES_da-DK'!dbAnova2_RangeRef</vt:lpstr>
      <vt:lpstr>'RES_de-DE'!dbAnova2_RangeRef</vt:lpstr>
      <vt:lpstr>'RES_el-GR'!dbAnova2_RangeRef</vt:lpstr>
      <vt:lpstr>'RES_en-US'!dbAnova2_RangeRef</vt:lpstr>
      <vt:lpstr>'RES_es-ES'!dbAnova2_RangeRef</vt:lpstr>
      <vt:lpstr>'RES_fi-FI'!dbAnova2_RangeRef</vt:lpstr>
      <vt:lpstr>'RES_fr-FR'!dbAnova2_RangeRef</vt:lpstr>
      <vt:lpstr>'RES_hr-HR'!dbAnova2_RangeRef</vt:lpstr>
      <vt:lpstr>'RES_hu-HU'!dbAnova2_RangeRef</vt:lpstr>
      <vt:lpstr>'RES_it-IT'!dbAnova2_RangeRef</vt:lpstr>
      <vt:lpstr>'RES_ja-JP'!dbAnova2_RangeRef</vt:lpstr>
      <vt:lpstr>'RES_ko-KR'!dbAnova2_RangeRef</vt:lpstr>
      <vt:lpstr>'RES_lv-LV'!dbAnova2_RangeRef</vt:lpstr>
      <vt:lpstr>'RES_nb-NO'!dbAnova2_RangeRef</vt:lpstr>
      <vt:lpstr>'RES_nl-NL'!dbAnova2_RangeRef</vt:lpstr>
      <vt:lpstr>'RES_pl-PL'!dbAnova2_RangeRef</vt:lpstr>
      <vt:lpstr>'RES_pt-BR'!dbAnova2_RangeRef</vt:lpstr>
      <vt:lpstr>'RES_pt-PT'!dbAnova2_RangeRef</vt:lpstr>
      <vt:lpstr>'RES_ro-RO'!dbAnova2_RangeRef</vt:lpstr>
      <vt:lpstr>'RES_ru-RU'!dbAnova2_RangeRef</vt:lpstr>
      <vt:lpstr>'RES_sl-SI'!dbAnova2_RangeRef</vt:lpstr>
      <vt:lpstr>'RES_sv-SE'!dbAnova2_RangeRef</vt:lpstr>
      <vt:lpstr>'RES_tr-TR'!dbAnova2_RangeRef</vt:lpstr>
      <vt:lpstr>'RES_zh-CN'!dbAnova2_RangeRef</vt:lpstr>
      <vt:lpstr>'RES_zh-TW'!dbAnova2_RangeRef</vt:lpstr>
      <vt:lpstr>'RES_cs-CZ'!dbAnova2_RowPerSample</vt:lpstr>
      <vt:lpstr>'RES_da-DK'!dbAnova2_RowPerSample</vt:lpstr>
      <vt:lpstr>'RES_de-DE'!dbAnova2_RowPerSample</vt:lpstr>
      <vt:lpstr>'RES_el-GR'!dbAnova2_RowPerSample</vt:lpstr>
      <vt:lpstr>'RES_en-US'!dbAnova2_RowPerSample</vt:lpstr>
      <vt:lpstr>'RES_es-ES'!dbAnova2_RowPerSample</vt:lpstr>
      <vt:lpstr>'RES_fi-FI'!dbAnova2_RowPerSample</vt:lpstr>
      <vt:lpstr>'RES_fr-FR'!dbAnova2_RowPerSample</vt:lpstr>
      <vt:lpstr>'RES_hr-HR'!dbAnova2_RowPerSample</vt:lpstr>
      <vt:lpstr>'RES_hu-HU'!dbAnova2_RowPerSample</vt:lpstr>
      <vt:lpstr>'RES_it-IT'!dbAnova2_RowPerSample</vt:lpstr>
      <vt:lpstr>'RES_ja-JP'!dbAnova2_RowPerSample</vt:lpstr>
      <vt:lpstr>'RES_ko-KR'!dbAnova2_RowPerSample</vt:lpstr>
      <vt:lpstr>'RES_lv-LV'!dbAnova2_RowPerSample</vt:lpstr>
      <vt:lpstr>'RES_nb-NO'!dbAnova2_RowPerSample</vt:lpstr>
      <vt:lpstr>'RES_nl-NL'!dbAnova2_RowPerSample</vt:lpstr>
      <vt:lpstr>'RES_pl-PL'!dbAnova2_RowPerSample</vt:lpstr>
      <vt:lpstr>'RES_pt-BR'!dbAnova2_RowPerSample</vt:lpstr>
      <vt:lpstr>'RES_pt-PT'!dbAnova2_RowPerSample</vt:lpstr>
      <vt:lpstr>'RES_ro-RO'!dbAnova2_RowPerSample</vt:lpstr>
      <vt:lpstr>'RES_ru-RU'!dbAnova2_RowPerSample</vt:lpstr>
      <vt:lpstr>'RES_sl-SI'!dbAnova2_RowPerSample</vt:lpstr>
      <vt:lpstr>'RES_sv-SE'!dbAnova2_RowPerSample</vt:lpstr>
      <vt:lpstr>'RES_tr-TR'!dbAnova2_RowPerSample</vt:lpstr>
      <vt:lpstr>'RES_zh-CN'!dbAnova2_RowPerSample</vt:lpstr>
      <vt:lpstr>'RES_zh-TW'!dbAnova2_RowPerSample</vt:lpstr>
      <vt:lpstr>'RES_cs-CZ'!dbAnova2Title</vt:lpstr>
      <vt:lpstr>'RES_da-DK'!dbAnova2Title</vt:lpstr>
      <vt:lpstr>'RES_de-DE'!dbAnova2Title</vt:lpstr>
      <vt:lpstr>'RES_el-GR'!dbAnova2Title</vt:lpstr>
      <vt:lpstr>'RES_en-US'!dbAnova2Title</vt:lpstr>
      <vt:lpstr>'RES_es-ES'!dbAnova2Title</vt:lpstr>
      <vt:lpstr>'RES_fi-FI'!dbAnova2Title</vt:lpstr>
      <vt:lpstr>'RES_fr-FR'!dbAnova2Title</vt:lpstr>
      <vt:lpstr>'RES_hr-HR'!dbAnova2Title</vt:lpstr>
      <vt:lpstr>'RES_hu-HU'!dbAnova2Title</vt:lpstr>
      <vt:lpstr>'RES_it-IT'!dbAnova2Title</vt:lpstr>
      <vt:lpstr>'RES_ja-JP'!dbAnova2Title</vt:lpstr>
      <vt:lpstr>'RES_ko-KR'!dbAnova2Title</vt:lpstr>
      <vt:lpstr>'RES_lv-LV'!dbAnova2Title</vt:lpstr>
      <vt:lpstr>'RES_nb-NO'!dbAnova2Title</vt:lpstr>
      <vt:lpstr>'RES_nl-NL'!dbAnova2Title</vt:lpstr>
      <vt:lpstr>'RES_pl-PL'!dbAnova2Title</vt:lpstr>
      <vt:lpstr>'RES_pt-BR'!dbAnova2Title</vt:lpstr>
      <vt:lpstr>'RES_pt-PT'!dbAnova2Title</vt:lpstr>
      <vt:lpstr>'RES_ro-RO'!dbAnova2Title</vt:lpstr>
      <vt:lpstr>'RES_ru-RU'!dbAnova2Title</vt:lpstr>
      <vt:lpstr>'RES_sl-SI'!dbAnova2Title</vt:lpstr>
      <vt:lpstr>'RES_sv-SE'!dbAnova2Title</vt:lpstr>
      <vt:lpstr>'RES_tr-TR'!dbAnova2Title</vt:lpstr>
      <vt:lpstr>'RES_zh-CN'!dbAnova2Title</vt:lpstr>
      <vt:lpstr>'RES_zh-TW'!dbAnova2Title</vt:lpstr>
      <vt:lpstr>'RES_cs-CZ'!dbAnova3</vt:lpstr>
      <vt:lpstr>'RES_da-DK'!dbAnova3</vt:lpstr>
      <vt:lpstr>'RES_de-DE'!dbAnova3</vt:lpstr>
      <vt:lpstr>'RES_el-GR'!dbAnova3</vt:lpstr>
      <vt:lpstr>'RES_en-US'!dbAnova3</vt:lpstr>
      <vt:lpstr>'RES_es-ES'!dbAnova3</vt:lpstr>
      <vt:lpstr>'RES_fi-FI'!dbAnova3</vt:lpstr>
      <vt:lpstr>'RES_fr-FR'!dbAnova3</vt:lpstr>
      <vt:lpstr>'RES_hr-HR'!dbAnova3</vt:lpstr>
      <vt:lpstr>'RES_hu-HU'!dbAnova3</vt:lpstr>
      <vt:lpstr>'RES_it-IT'!dbAnova3</vt:lpstr>
      <vt:lpstr>'RES_ja-JP'!dbAnova3</vt:lpstr>
      <vt:lpstr>'RES_ko-KR'!dbAnova3</vt:lpstr>
      <vt:lpstr>'RES_lv-LV'!dbAnova3</vt:lpstr>
      <vt:lpstr>'RES_nb-NO'!dbAnova3</vt:lpstr>
      <vt:lpstr>'RES_nl-NL'!dbAnova3</vt:lpstr>
      <vt:lpstr>'RES_pl-PL'!dbAnova3</vt:lpstr>
      <vt:lpstr>'RES_pt-BR'!dbAnova3</vt:lpstr>
      <vt:lpstr>'RES_pt-PT'!dbAnova3</vt:lpstr>
      <vt:lpstr>'RES_ro-RO'!dbAnova3</vt:lpstr>
      <vt:lpstr>'RES_ru-RU'!dbAnova3</vt:lpstr>
      <vt:lpstr>'RES_sl-SI'!dbAnova3</vt:lpstr>
      <vt:lpstr>'RES_sv-SE'!dbAnova3</vt:lpstr>
      <vt:lpstr>'RES_tr-TR'!dbAnova3</vt:lpstr>
      <vt:lpstr>'RES_zh-CN'!dbAnova3</vt:lpstr>
      <vt:lpstr>'RES_zh-TW'!dbAnova3</vt:lpstr>
      <vt:lpstr>'RES_cs-CZ'!dbAnova3_AlphaValue</vt:lpstr>
      <vt:lpstr>'RES_da-DK'!dbAnova3_AlphaValue</vt:lpstr>
      <vt:lpstr>'RES_de-DE'!dbAnova3_AlphaValue</vt:lpstr>
      <vt:lpstr>'RES_el-GR'!dbAnova3_AlphaValue</vt:lpstr>
      <vt:lpstr>'RES_en-US'!dbAnova3_AlphaValue</vt:lpstr>
      <vt:lpstr>'RES_es-ES'!dbAnova3_AlphaValue</vt:lpstr>
      <vt:lpstr>'RES_fi-FI'!dbAnova3_AlphaValue</vt:lpstr>
      <vt:lpstr>'RES_fr-FR'!dbAnova3_AlphaValue</vt:lpstr>
      <vt:lpstr>'RES_hr-HR'!dbAnova3_AlphaValue</vt:lpstr>
      <vt:lpstr>'RES_hu-HU'!dbAnova3_AlphaValue</vt:lpstr>
      <vt:lpstr>'RES_it-IT'!dbAnova3_AlphaValue</vt:lpstr>
      <vt:lpstr>'RES_ja-JP'!dbAnova3_AlphaValue</vt:lpstr>
      <vt:lpstr>'RES_ko-KR'!dbAnova3_AlphaValue</vt:lpstr>
      <vt:lpstr>'RES_lv-LV'!dbAnova3_AlphaValue</vt:lpstr>
      <vt:lpstr>'RES_nb-NO'!dbAnova3_AlphaValue</vt:lpstr>
      <vt:lpstr>'RES_nl-NL'!dbAnova3_AlphaValue</vt:lpstr>
      <vt:lpstr>'RES_pl-PL'!dbAnova3_AlphaValue</vt:lpstr>
      <vt:lpstr>'RES_pt-BR'!dbAnova3_AlphaValue</vt:lpstr>
      <vt:lpstr>'RES_pt-PT'!dbAnova3_AlphaValue</vt:lpstr>
      <vt:lpstr>'RES_ro-RO'!dbAnova3_AlphaValue</vt:lpstr>
      <vt:lpstr>'RES_ru-RU'!dbAnova3_AlphaValue</vt:lpstr>
      <vt:lpstr>'RES_sl-SI'!dbAnova3_AlphaValue</vt:lpstr>
      <vt:lpstr>'RES_sv-SE'!dbAnova3_AlphaValue</vt:lpstr>
      <vt:lpstr>'RES_tr-TR'!dbAnova3_AlphaValue</vt:lpstr>
      <vt:lpstr>'RES_zh-CN'!dbAnova3_AlphaValue</vt:lpstr>
      <vt:lpstr>'RES_zh-TW'!dbAnova3_AlphaValue</vt:lpstr>
      <vt:lpstr>'RES_cs-CZ'!dbAnova3_InRange</vt:lpstr>
      <vt:lpstr>'RES_da-DK'!dbAnova3_InRange</vt:lpstr>
      <vt:lpstr>'RES_de-DE'!dbAnova3_InRange</vt:lpstr>
      <vt:lpstr>'RES_el-GR'!dbAnova3_InRange</vt:lpstr>
      <vt:lpstr>'RES_en-US'!dbAnova3_InRange</vt:lpstr>
      <vt:lpstr>'RES_es-ES'!dbAnova3_InRange</vt:lpstr>
      <vt:lpstr>'RES_fi-FI'!dbAnova3_InRange</vt:lpstr>
      <vt:lpstr>'RES_fr-FR'!dbAnova3_InRange</vt:lpstr>
      <vt:lpstr>'RES_hr-HR'!dbAnova3_InRange</vt:lpstr>
      <vt:lpstr>'RES_hu-HU'!dbAnova3_InRange</vt:lpstr>
      <vt:lpstr>'RES_it-IT'!dbAnova3_InRange</vt:lpstr>
      <vt:lpstr>'RES_ja-JP'!dbAnova3_InRange</vt:lpstr>
      <vt:lpstr>'RES_ko-KR'!dbAnova3_InRange</vt:lpstr>
      <vt:lpstr>'RES_lv-LV'!dbAnova3_InRange</vt:lpstr>
      <vt:lpstr>'RES_nb-NO'!dbAnova3_InRange</vt:lpstr>
      <vt:lpstr>'RES_nl-NL'!dbAnova3_InRange</vt:lpstr>
      <vt:lpstr>'RES_pl-PL'!dbAnova3_InRange</vt:lpstr>
      <vt:lpstr>'RES_pt-BR'!dbAnova3_InRange</vt:lpstr>
      <vt:lpstr>'RES_pt-PT'!dbAnova3_InRange</vt:lpstr>
      <vt:lpstr>'RES_ro-RO'!dbAnova3_InRange</vt:lpstr>
      <vt:lpstr>'RES_ru-RU'!dbAnova3_InRange</vt:lpstr>
      <vt:lpstr>'RES_sl-SI'!dbAnova3_InRange</vt:lpstr>
      <vt:lpstr>'RES_sv-SE'!dbAnova3_InRange</vt:lpstr>
      <vt:lpstr>'RES_tr-TR'!dbAnova3_InRange</vt:lpstr>
      <vt:lpstr>'RES_zh-CN'!dbAnova3_InRange</vt:lpstr>
      <vt:lpstr>'RES_zh-TW'!dbAnova3_InRange</vt:lpstr>
      <vt:lpstr>'RES_cs-CZ'!dbAnova3_LabelFlag</vt:lpstr>
      <vt:lpstr>'RES_da-DK'!dbAnova3_LabelFlag</vt:lpstr>
      <vt:lpstr>'RES_de-DE'!dbAnova3_LabelFlag</vt:lpstr>
      <vt:lpstr>'RES_el-GR'!dbAnova3_LabelFlag</vt:lpstr>
      <vt:lpstr>'RES_en-US'!dbAnova3_LabelFlag</vt:lpstr>
      <vt:lpstr>'RES_es-ES'!dbAnova3_LabelFlag</vt:lpstr>
      <vt:lpstr>'RES_fi-FI'!dbAnova3_LabelFlag</vt:lpstr>
      <vt:lpstr>'RES_fr-FR'!dbAnova3_LabelFlag</vt:lpstr>
      <vt:lpstr>'RES_hr-HR'!dbAnova3_LabelFlag</vt:lpstr>
      <vt:lpstr>'RES_hu-HU'!dbAnova3_LabelFlag</vt:lpstr>
      <vt:lpstr>'RES_it-IT'!dbAnova3_LabelFlag</vt:lpstr>
      <vt:lpstr>'RES_ja-JP'!dbAnova3_LabelFlag</vt:lpstr>
      <vt:lpstr>'RES_ko-KR'!dbAnova3_LabelFlag</vt:lpstr>
      <vt:lpstr>'RES_lv-LV'!dbAnova3_LabelFlag</vt:lpstr>
      <vt:lpstr>'RES_nb-NO'!dbAnova3_LabelFlag</vt:lpstr>
      <vt:lpstr>'RES_nl-NL'!dbAnova3_LabelFlag</vt:lpstr>
      <vt:lpstr>'RES_pl-PL'!dbAnova3_LabelFlag</vt:lpstr>
      <vt:lpstr>'RES_pt-BR'!dbAnova3_LabelFlag</vt:lpstr>
      <vt:lpstr>'RES_pt-PT'!dbAnova3_LabelFlag</vt:lpstr>
      <vt:lpstr>'RES_ro-RO'!dbAnova3_LabelFlag</vt:lpstr>
      <vt:lpstr>'RES_ru-RU'!dbAnova3_LabelFlag</vt:lpstr>
      <vt:lpstr>'RES_sl-SI'!dbAnova3_LabelFlag</vt:lpstr>
      <vt:lpstr>'RES_sv-SE'!dbAnova3_LabelFlag</vt:lpstr>
      <vt:lpstr>'RES_tr-TR'!dbAnova3_LabelFlag</vt:lpstr>
      <vt:lpstr>'RES_zh-CN'!dbAnova3_LabelFlag</vt:lpstr>
      <vt:lpstr>'RES_zh-TW'!dbAnova3_LabelFlag</vt:lpstr>
      <vt:lpstr>'RES_cs-CZ'!dbAnova3_LblChkBox</vt:lpstr>
      <vt:lpstr>'RES_da-DK'!dbAnova3_LblChkBox</vt:lpstr>
      <vt:lpstr>'RES_de-DE'!dbAnova3_LblChkBox</vt:lpstr>
      <vt:lpstr>'RES_el-GR'!dbAnova3_LblChkBox</vt:lpstr>
      <vt:lpstr>'RES_en-US'!dbAnova3_LblChkBox</vt:lpstr>
      <vt:lpstr>'RES_es-ES'!dbAnova3_LblChkBox</vt:lpstr>
      <vt:lpstr>'RES_fi-FI'!dbAnova3_LblChkBox</vt:lpstr>
      <vt:lpstr>'RES_fr-FR'!dbAnova3_LblChkBox</vt:lpstr>
      <vt:lpstr>'RES_hr-HR'!dbAnova3_LblChkBox</vt:lpstr>
      <vt:lpstr>'RES_hu-HU'!dbAnova3_LblChkBox</vt:lpstr>
      <vt:lpstr>'RES_it-IT'!dbAnova3_LblChkBox</vt:lpstr>
      <vt:lpstr>'RES_ja-JP'!dbAnova3_LblChkBox</vt:lpstr>
      <vt:lpstr>'RES_ko-KR'!dbAnova3_LblChkBox</vt:lpstr>
      <vt:lpstr>'RES_lv-LV'!dbAnova3_LblChkBox</vt:lpstr>
      <vt:lpstr>'RES_nb-NO'!dbAnova3_LblChkBox</vt:lpstr>
      <vt:lpstr>'RES_nl-NL'!dbAnova3_LblChkBox</vt:lpstr>
      <vt:lpstr>'RES_pl-PL'!dbAnova3_LblChkBox</vt:lpstr>
      <vt:lpstr>'RES_pt-BR'!dbAnova3_LblChkBox</vt:lpstr>
      <vt:lpstr>'RES_pt-PT'!dbAnova3_LblChkBox</vt:lpstr>
      <vt:lpstr>'RES_ro-RO'!dbAnova3_LblChkBox</vt:lpstr>
      <vt:lpstr>'RES_ru-RU'!dbAnova3_LblChkBox</vt:lpstr>
      <vt:lpstr>'RES_sl-SI'!dbAnova3_LblChkBox</vt:lpstr>
      <vt:lpstr>'RES_sv-SE'!dbAnova3_LblChkBox</vt:lpstr>
      <vt:lpstr>'RES_tr-TR'!dbAnova3_LblChkBox</vt:lpstr>
      <vt:lpstr>'RES_zh-CN'!dbAnova3_LblChkBox</vt:lpstr>
      <vt:lpstr>'RES_zh-TW'!dbAnova3_LblChkBox</vt:lpstr>
      <vt:lpstr>'RES_cs-CZ'!dbAnova3_OutOption</vt:lpstr>
      <vt:lpstr>'RES_da-DK'!dbAnova3_OutOption</vt:lpstr>
      <vt:lpstr>'RES_de-DE'!dbAnova3_OutOption</vt:lpstr>
      <vt:lpstr>'RES_el-GR'!dbAnova3_OutOption</vt:lpstr>
      <vt:lpstr>'RES_en-US'!dbAnova3_OutOption</vt:lpstr>
      <vt:lpstr>'RES_es-ES'!dbAnova3_OutOption</vt:lpstr>
      <vt:lpstr>'RES_fi-FI'!dbAnova3_OutOption</vt:lpstr>
      <vt:lpstr>'RES_fr-FR'!dbAnova3_OutOption</vt:lpstr>
      <vt:lpstr>'RES_hr-HR'!dbAnova3_OutOption</vt:lpstr>
      <vt:lpstr>'RES_hu-HU'!dbAnova3_OutOption</vt:lpstr>
      <vt:lpstr>'RES_it-IT'!dbAnova3_OutOption</vt:lpstr>
      <vt:lpstr>'RES_ja-JP'!dbAnova3_OutOption</vt:lpstr>
      <vt:lpstr>'RES_ko-KR'!dbAnova3_OutOption</vt:lpstr>
      <vt:lpstr>'RES_lv-LV'!dbAnova3_OutOption</vt:lpstr>
      <vt:lpstr>'RES_nb-NO'!dbAnova3_OutOption</vt:lpstr>
      <vt:lpstr>'RES_nl-NL'!dbAnova3_OutOption</vt:lpstr>
      <vt:lpstr>'RES_pl-PL'!dbAnova3_OutOption</vt:lpstr>
      <vt:lpstr>'RES_pt-BR'!dbAnova3_OutOption</vt:lpstr>
      <vt:lpstr>'RES_pt-PT'!dbAnova3_OutOption</vt:lpstr>
      <vt:lpstr>'RES_ro-RO'!dbAnova3_OutOption</vt:lpstr>
      <vt:lpstr>'RES_ru-RU'!dbAnova3_OutOption</vt:lpstr>
      <vt:lpstr>'RES_sl-SI'!dbAnova3_OutOption</vt:lpstr>
      <vt:lpstr>'RES_sv-SE'!dbAnova3_OutOption</vt:lpstr>
      <vt:lpstr>'RES_tr-TR'!dbAnova3_OutOption</vt:lpstr>
      <vt:lpstr>'RES_zh-CN'!dbAnova3_OutOption</vt:lpstr>
      <vt:lpstr>'RES_zh-TW'!dbAnova3_OutOption</vt:lpstr>
      <vt:lpstr>'RES_cs-CZ'!dbAnova3_PlyInpFld</vt:lpstr>
      <vt:lpstr>'RES_da-DK'!dbAnova3_PlyInpFld</vt:lpstr>
      <vt:lpstr>'RES_de-DE'!dbAnova3_PlyInpFld</vt:lpstr>
      <vt:lpstr>'RES_el-GR'!dbAnova3_PlyInpFld</vt:lpstr>
      <vt:lpstr>'RES_en-US'!dbAnova3_PlyInpFld</vt:lpstr>
      <vt:lpstr>'RES_es-ES'!dbAnova3_PlyInpFld</vt:lpstr>
      <vt:lpstr>'RES_fi-FI'!dbAnova3_PlyInpFld</vt:lpstr>
      <vt:lpstr>'RES_fr-FR'!dbAnova3_PlyInpFld</vt:lpstr>
      <vt:lpstr>'RES_hr-HR'!dbAnova3_PlyInpFld</vt:lpstr>
      <vt:lpstr>'RES_hu-HU'!dbAnova3_PlyInpFld</vt:lpstr>
      <vt:lpstr>'RES_it-IT'!dbAnova3_PlyInpFld</vt:lpstr>
      <vt:lpstr>'RES_ja-JP'!dbAnova3_PlyInpFld</vt:lpstr>
      <vt:lpstr>'RES_ko-KR'!dbAnova3_PlyInpFld</vt:lpstr>
      <vt:lpstr>'RES_lv-LV'!dbAnova3_PlyInpFld</vt:lpstr>
      <vt:lpstr>'RES_nb-NO'!dbAnova3_PlyInpFld</vt:lpstr>
      <vt:lpstr>'RES_nl-NL'!dbAnova3_PlyInpFld</vt:lpstr>
      <vt:lpstr>'RES_pl-PL'!dbAnova3_PlyInpFld</vt:lpstr>
      <vt:lpstr>'RES_pt-BR'!dbAnova3_PlyInpFld</vt:lpstr>
      <vt:lpstr>'RES_pt-PT'!dbAnova3_PlyInpFld</vt:lpstr>
      <vt:lpstr>'RES_ro-RO'!dbAnova3_PlyInpFld</vt:lpstr>
      <vt:lpstr>'RES_ru-RU'!dbAnova3_PlyInpFld</vt:lpstr>
      <vt:lpstr>'RES_sl-SI'!dbAnova3_PlyInpFld</vt:lpstr>
      <vt:lpstr>'RES_sv-SE'!dbAnova3_PlyInpFld</vt:lpstr>
      <vt:lpstr>'RES_tr-TR'!dbAnova3_PlyInpFld</vt:lpstr>
      <vt:lpstr>'RES_zh-CN'!dbAnova3_PlyInpFld</vt:lpstr>
      <vt:lpstr>'RES_zh-TW'!dbAnova3_PlyInpFld</vt:lpstr>
      <vt:lpstr>'RES_cs-CZ'!dbAnova3_PlyName</vt:lpstr>
      <vt:lpstr>'RES_da-DK'!dbAnova3_PlyName</vt:lpstr>
      <vt:lpstr>'RES_de-DE'!dbAnova3_PlyName</vt:lpstr>
      <vt:lpstr>'RES_el-GR'!dbAnova3_PlyName</vt:lpstr>
      <vt:lpstr>'RES_en-US'!dbAnova3_PlyName</vt:lpstr>
      <vt:lpstr>'RES_es-ES'!dbAnova3_PlyName</vt:lpstr>
      <vt:lpstr>'RES_fi-FI'!dbAnova3_PlyName</vt:lpstr>
      <vt:lpstr>'RES_fr-FR'!dbAnova3_PlyName</vt:lpstr>
      <vt:lpstr>'RES_hr-HR'!dbAnova3_PlyName</vt:lpstr>
      <vt:lpstr>'RES_hu-HU'!dbAnova3_PlyName</vt:lpstr>
      <vt:lpstr>'RES_it-IT'!dbAnova3_PlyName</vt:lpstr>
      <vt:lpstr>'RES_ja-JP'!dbAnova3_PlyName</vt:lpstr>
      <vt:lpstr>'RES_ko-KR'!dbAnova3_PlyName</vt:lpstr>
      <vt:lpstr>'RES_lv-LV'!dbAnova3_PlyName</vt:lpstr>
      <vt:lpstr>'RES_nb-NO'!dbAnova3_PlyName</vt:lpstr>
      <vt:lpstr>'RES_nl-NL'!dbAnova3_PlyName</vt:lpstr>
      <vt:lpstr>'RES_pl-PL'!dbAnova3_PlyName</vt:lpstr>
      <vt:lpstr>'RES_pt-BR'!dbAnova3_PlyName</vt:lpstr>
      <vt:lpstr>'RES_pt-PT'!dbAnova3_PlyName</vt:lpstr>
      <vt:lpstr>'RES_ro-RO'!dbAnova3_PlyName</vt:lpstr>
      <vt:lpstr>'RES_ru-RU'!dbAnova3_PlyName</vt:lpstr>
      <vt:lpstr>'RES_sl-SI'!dbAnova3_PlyName</vt:lpstr>
      <vt:lpstr>'RES_sv-SE'!dbAnova3_PlyName</vt:lpstr>
      <vt:lpstr>'RES_tr-TR'!dbAnova3_PlyName</vt:lpstr>
      <vt:lpstr>'RES_zh-CN'!dbAnova3_PlyName</vt:lpstr>
      <vt:lpstr>'RES_zh-TW'!dbAnova3_PlyName</vt:lpstr>
      <vt:lpstr>'RES_cs-CZ'!dbAnova3_RangeInpFld</vt:lpstr>
      <vt:lpstr>'RES_da-DK'!dbAnova3_RangeInpFld</vt:lpstr>
      <vt:lpstr>'RES_de-DE'!dbAnova3_RangeInpFld</vt:lpstr>
      <vt:lpstr>'RES_el-GR'!dbAnova3_RangeInpFld</vt:lpstr>
      <vt:lpstr>'RES_en-US'!dbAnova3_RangeInpFld</vt:lpstr>
      <vt:lpstr>'RES_es-ES'!dbAnova3_RangeInpFld</vt:lpstr>
      <vt:lpstr>'RES_fi-FI'!dbAnova3_RangeInpFld</vt:lpstr>
      <vt:lpstr>'RES_fr-FR'!dbAnova3_RangeInpFld</vt:lpstr>
      <vt:lpstr>'RES_hr-HR'!dbAnova3_RangeInpFld</vt:lpstr>
      <vt:lpstr>'RES_hu-HU'!dbAnova3_RangeInpFld</vt:lpstr>
      <vt:lpstr>'RES_it-IT'!dbAnova3_RangeInpFld</vt:lpstr>
      <vt:lpstr>'RES_ja-JP'!dbAnova3_RangeInpFld</vt:lpstr>
      <vt:lpstr>'RES_ko-KR'!dbAnova3_RangeInpFld</vt:lpstr>
      <vt:lpstr>'RES_lv-LV'!dbAnova3_RangeInpFld</vt:lpstr>
      <vt:lpstr>'RES_nb-NO'!dbAnova3_RangeInpFld</vt:lpstr>
      <vt:lpstr>'RES_nl-NL'!dbAnova3_RangeInpFld</vt:lpstr>
      <vt:lpstr>'RES_pl-PL'!dbAnova3_RangeInpFld</vt:lpstr>
      <vt:lpstr>'RES_pt-BR'!dbAnova3_RangeInpFld</vt:lpstr>
      <vt:lpstr>'RES_pt-PT'!dbAnova3_RangeInpFld</vt:lpstr>
      <vt:lpstr>'RES_ro-RO'!dbAnova3_RangeInpFld</vt:lpstr>
      <vt:lpstr>'RES_ru-RU'!dbAnova3_RangeInpFld</vt:lpstr>
      <vt:lpstr>'RES_sl-SI'!dbAnova3_RangeInpFld</vt:lpstr>
      <vt:lpstr>'RES_sv-SE'!dbAnova3_RangeInpFld</vt:lpstr>
      <vt:lpstr>'RES_tr-TR'!dbAnova3_RangeInpFld</vt:lpstr>
      <vt:lpstr>'RES_zh-CN'!dbAnova3_RangeInpFld</vt:lpstr>
      <vt:lpstr>'RES_zh-TW'!dbAnova3_RangeInpFld</vt:lpstr>
      <vt:lpstr>'RES_cs-CZ'!dbAnova3_RangeRef</vt:lpstr>
      <vt:lpstr>'RES_da-DK'!dbAnova3_RangeRef</vt:lpstr>
      <vt:lpstr>'RES_de-DE'!dbAnova3_RangeRef</vt:lpstr>
      <vt:lpstr>'RES_el-GR'!dbAnova3_RangeRef</vt:lpstr>
      <vt:lpstr>'RES_en-US'!dbAnova3_RangeRef</vt:lpstr>
      <vt:lpstr>'RES_es-ES'!dbAnova3_RangeRef</vt:lpstr>
      <vt:lpstr>'RES_fi-FI'!dbAnova3_RangeRef</vt:lpstr>
      <vt:lpstr>'RES_fr-FR'!dbAnova3_RangeRef</vt:lpstr>
      <vt:lpstr>'RES_hr-HR'!dbAnova3_RangeRef</vt:lpstr>
      <vt:lpstr>'RES_hu-HU'!dbAnova3_RangeRef</vt:lpstr>
      <vt:lpstr>'RES_it-IT'!dbAnova3_RangeRef</vt:lpstr>
      <vt:lpstr>'RES_ja-JP'!dbAnova3_RangeRef</vt:lpstr>
      <vt:lpstr>'RES_ko-KR'!dbAnova3_RangeRef</vt:lpstr>
      <vt:lpstr>'RES_lv-LV'!dbAnova3_RangeRef</vt:lpstr>
      <vt:lpstr>'RES_nb-NO'!dbAnova3_RangeRef</vt:lpstr>
      <vt:lpstr>'RES_nl-NL'!dbAnova3_RangeRef</vt:lpstr>
      <vt:lpstr>'RES_pl-PL'!dbAnova3_RangeRef</vt:lpstr>
      <vt:lpstr>'RES_pt-BR'!dbAnova3_RangeRef</vt:lpstr>
      <vt:lpstr>'RES_pt-PT'!dbAnova3_RangeRef</vt:lpstr>
      <vt:lpstr>'RES_ro-RO'!dbAnova3_RangeRef</vt:lpstr>
      <vt:lpstr>'RES_ru-RU'!dbAnova3_RangeRef</vt:lpstr>
      <vt:lpstr>'RES_sl-SI'!dbAnova3_RangeRef</vt:lpstr>
      <vt:lpstr>'RES_sv-SE'!dbAnova3_RangeRef</vt:lpstr>
      <vt:lpstr>'RES_tr-TR'!dbAnova3_RangeRef</vt:lpstr>
      <vt:lpstr>'RES_zh-CN'!dbAnova3_RangeRef</vt:lpstr>
      <vt:lpstr>'RES_zh-TW'!dbAnova3_RangeRef</vt:lpstr>
      <vt:lpstr>'RES_cs-CZ'!dbAnova3Title</vt:lpstr>
      <vt:lpstr>'RES_da-DK'!dbAnova3Title</vt:lpstr>
      <vt:lpstr>'RES_de-DE'!dbAnova3Title</vt:lpstr>
      <vt:lpstr>'RES_el-GR'!dbAnova3Title</vt:lpstr>
      <vt:lpstr>'RES_en-US'!dbAnova3Title</vt:lpstr>
      <vt:lpstr>'RES_es-ES'!dbAnova3Title</vt:lpstr>
      <vt:lpstr>'RES_fi-FI'!dbAnova3Title</vt:lpstr>
      <vt:lpstr>'RES_fr-FR'!dbAnova3Title</vt:lpstr>
      <vt:lpstr>'RES_hr-HR'!dbAnova3Title</vt:lpstr>
      <vt:lpstr>'RES_hu-HU'!dbAnova3Title</vt:lpstr>
      <vt:lpstr>'RES_it-IT'!dbAnova3Title</vt:lpstr>
      <vt:lpstr>'RES_ja-JP'!dbAnova3Title</vt:lpstr>
      <vt:lpstr>'RES_ko-KR'!dbAnova3Title</vt:lpstr>
      <vt:lpstr>'RES_lv-LV'!dbAnova3Title</vt:lpstr>
      <vt:lpstr>'RES_nb-NO'!dbAnova3Title</vt:lpstr>
      <vt:lpstr>'RES_nl-NL'!dbAnova3Title</vt:lpstr>
      <vt:lpstr>'RES_pl-PL'!dbAnova3Title</vt:lpstr>
      <vt:lpstr>'RES_pt-BR'!dbAnova3Title</vt:lpstr>
      <vt:lpstr>'RES_pt-PT'!dbAnova3Title</vt:lpstr>
      <vt:lpstr>'RES_ro-RO'!dbAnova3Title</vt:lpstr>
      <vt:lpstr>'RES_ru-RU'!dbAnova3Title</vt:lpstr>
      <vt:lpstr>'RES_sl-SI'!dbAnova3Title</vt:lpstr>
      <vt:lpstr>'RES_sv-SE'!dbAnova3Title</vt:lpstr>
      <vt:lpstr>'RES_tr-TR'!dbAnova3Title</vt:lpstr>
      <vt:lpstr>'RES_zh-CN'!dbAnova3Title</vt:lpstr>
      <vt:lpstr>'RES_zh-TW'!dbAnova3Title</vt:lpstr>
      <vt:lpstr>'RES_cs-CZ'!dbBernoulli</vt:lpstr>
      <vt:lpstr>'RES_da-DK'!dbBernoulli</vt:lpstr>
      <vt:lpstr>'RES_de-DE'!dbBernoulli</vt:lpstr>
      <vt:lpstr>'RES_el-GR'!dbBernoulli</vt:lpstr>
      <vt:lpstr>'RES_en-US'!dbBernoulli</vt:lpstr>
      <vt:lpstr>'RES_es-ES'!dbBernoulli</vt:lpstr>
      <vt:lpstr>'RES_fi-FI'!dbBernoulli</vt:lpstr>
      <vt:lpstr>'RES_fr-FR'!dbBernoulli</vt:lpstr>
      <vt:lpstr>'RES_hr-HR'!dbBernoulli</vt:lpstr>
      <vt:lpstr>'RES_hu-HU'!dbBernoulli</vt:lpstr>
      <vt:lpstr>'RES_it-IT'!dbBernoulli</vt:lpstr>
      <vt:lpstr>'RES_ja-JP'!dbBernoulli</vt:lpstr>
      <vt:lpstr>'RES_ko-KR'!dbBernoulli</vt:lpstr>
      <vt:lpstr>'RES_lv-LV'!dbBernoulli</vt:lpstr>
      <vt:lpstr>'RES_nb-NO'!dbBernoulli</vt:lpstr>
      <vt:lpstr>'RES_nl-NL'!dbBernoulli</vt:lpstr>
      <vt:lpstr>'RES_pl-PL'!dbBernoulli</vt:lpstr>
      <vt:lpstr>'RES_pt-BR'!dbBernoulli</vt:lpstr>
      <vt:lpstr>'RES_pt-PT'!dbBernoulli</vt:lpstr>
      <vt:lpstr>'RES_ro-RO'!dbBernoulli</vt:lpstr>
      <vt:lpstr>'RES_ru-RU'!dbBernoulli</vt:lpstr>
      <vt:lpstr>'RES_sl-SI'!dbBernoulli</vt:lpstr>
      <vt:lpstr>'RES_sv-SE'!dbBernoulli</vt:lpstr>
      <vt:lpstr>'RES_tr-TR'!dbBernoulli</vt:lpstr>
      <vt:lpstr>'RES_zh-CN'!dbBernoulli</vt:lpstr>
      <vt:lpstr>'RES_zh-TW'!dbBernoulli</vt:lpstr>
      <vt:lpstr>'RES_cs-CZ'!dbBinomial</vt:lpstr>
      <vt:lpstr>'RES_da-DK'!dbBinomial</vt:lpstr>
      <vt:lpstr>'RES_de-DE'!dbBinomial</vt:lpstr>
      <vt:lpstr>'RES_el-GR'!dbBinomial</vt:lpstr>
      <vt:lpstr>'RES_en-US'!dbBinomial</vt:lpstr>
      <vt:lpstr>'RES_es-ES'!dbBinomial</vt:lpstr>
      <vt:lpstr>'RES_fi-FI'!dbBinomial</vt:lpstr>
      <vt:lpstr>'RES_fr-FR'!dbBinomial</vt:lpstr>
      <vt:lpstr>'RES_hr-HR'!dbBinomial</vt:lpstr>
      <vt:lpstr>'RES_hu-HU'!dbBinomial</vt:lpstr>
      <vt:lpstr>'RES_it-IT'!dbBinomial</vt:lpstr>
      <vt:lpstr>'RES_ja-JP'!dbBinomial</vt:lpstr>
      <vt:lpstr>'RES_ko-KR'!dbBinomial</vt:lpstr>
      <vt:lpstr>'RES_lv-LV'!dbBinomial</vt:lpstr>
      <vt:lpstr>'RES_nb-NO'!dbBinomial</vt:lpstr>
      <vt:lpstr>'RES_nl-NL'!dbBinomial</vt:lpstr>
      <vt:lpstr>'RES_pl-PL'!dbBinomial</vt:lpstr>
      <vt:lpstr>'RES_pt-BR'!dbBinomial</vt:lpstr>
      <vt:lpstr>'RES_pt-PT'!dbBinomial</vt:lpstr>
      <vt:lpstr>'RES_ro-RO'!dbBinomial</vt:lpstr>
      <vt:lpstr>'RES_ru-RU'!dbBinomial</vt:lpstr>
      <vt:lpstr>'RES_sl-SI'!dbBinomial</vt:lpstr>
      <vt:lpstr>'RES_sv-SE'!dbBinomial</vt:lpstr>
      <vt:lpstr>'RES_tr-TR'!dbBinomial</vt:lpstr>
      <vt:lpstr>'RES_zh-CN'!dbBinomial</vt:lpstr>
      <vt:lpstr>'RES_zh-TW'!dbBinomial</vt:lpstr>
      <vt:lpstr>'RES_cs-CZ'!dbCorrelation</vt:lpstr>
      <vt:lpstr>'RES_da-DK'!dbCorrelation</vt:lpstr>
      <vt:lpstr>'RES_de-DE'!dbCorrelation</vt:lpstr>
      <vt:lpstr>'RES_el-GR'!dbCorrelation</vt:lpstr>
      <vt:lpstr>'RES_en-US'!dbCorrelation</vt:lpstr>
      <vt:lpstr>'RES_es-ES'!dbCorrelation</vt:lpstr>
      <vt:lpstr>'RES_fi-FI'!dbCorrelation</vt:lpstr>
      <vt:lpstr>'RES_fr-FR'!dbCorrelation</vt:lpstr>
      <vt:lpstr>'RES_hr-HR'!dbCorrelation</vt:lpstr>
      <vt:lpstr>'RES_hu-HU'!dbCorrelation</vt:lpstr>
      <vt:lpstr>'RES_it-IT'!dbCorrelation</vt:lpstr>
      <vt:lpstr>'RES_ja-JP'!dbCorrelation</vt:lpstr>
      <vt:lpstr>'RES_ko-KR'!dbCorrelation</vt:lpstr>
      <vt:lpstr>'RES_lv-LV'!dbCorrelation</vt:lpstr>
      <vt:lpstr>'RES_nb-NO'!dbCorrelation</vt:lpstr>
      <vt:lpstr>'RES_nl-NL'!dbCorrelation</vt:lpstr>
      <vt:lpstr>'RES_pl-PL'!dbCorrelation</vt:lpstr>
      <vt:lpstr>'RES_pt-BR'!dbCorrelation</vt:lpstr>
      <vt:lpstr>'RES_pt-PT'!dbCorrelation</vt:lpstr>
      <vt:lpstr>'RES_ro-RO'!dbCorrelation</vt:lpstr>
      <vt:lpstr>'RES_ru-RU'!dbCorrelation</vt:lpstr>
      <vt:lpstr>'RES_sl-SI'!dbCorrelation</vt:lpstr>
      <vt:lpstr>'RES_sv-SE'!dbCorrelation</vt:lpstr>
      <vt:lpstr>'RES_tr-TR'!dbCorrelation</vt:lpstr>
      <vt:lpstr>'RES_zh-CN'!dbCorrelation</vt:lpstr>
      <vt:lpstr>'RES_zh-TW'!dbCorrelation</vt:lpstr>
      <vt:lpstr>'RES_cs-CZ'!dbCorrelation_InRange</vt:lpstr>
      <vt:lpstr>'RES_da-DK'!dbCorrelation_InRange</vt:lpstr>
      <vt:lpstr>'RES_de-DE'!dbCorrelation_InRange</vt:lpstr>
      <vt:lpstr>'RES_el-GR'!dbCorrelation_InRange</vt:lpstr>
      <vt:lpstr>'RES_en-US'!dbCorrelation_InRange</vt:lpstr>
      <vt:lpstr>'RES_es-ES'!dbCorrelation_InRange</vt:lpstr>
      <vt:lpstr>'RES_fi-FI'!dbCorrelation_InRange</vt:lpstr>
      <vt:lpstr>'RES_fr-FR'!dbCorrelation_InRange</vt:lpstr>
      <vt:lpstr>'RES_hr-HR'!dbCorrelation_InRange</vt:lpstr>
      <vt:lpstr>'RES_hu-HU'!dbCorrelation_InRange</vt:lpstr>
      <vt:lpstr>'RES_it-IT'!dbCorrelation_InRange</vt:lpstr>
      <vt:lpstr>'RES_ja-JP'!dbCorrelation_InRange</vt:lpstr>
      <vt:lpstr>'RES_ko-KR'!dbCorrelation_InRange</vt:lpstr>
      <vt:lpstr>'RES_lv-LV'!dbCorrelation_InRange</vt:lpstr>
      <vt:lpstr>'RES_nb-NO'!dbCorrelation_InRange</vt:lpstr>
      <vt:lpstr>'RES_nl-NL'!dbCorrelation_InRange</vt:lpstr>
      <vt:lpstr>'RES_pl-PL'!dbCorrelation_InRange</vt:lpstr>
      <vt:lpstr>'RES_pt-BR'!dbCorrelation_InRange</vt:lpstr>
      <vt:lpstr>'RES_pt-PT'!dbCorrelation_InRange</vt:lpstr>
      <vt:lpstr>'RES_ro-RO'!dbCorrelation_InRange</vt:lpstr>
      <vt:lpstr>'RES_ru-RU'!dbCorrelation_InRange</vt:lpstr>
      <vt:lpstr>'RES_sl-SI'!dbCorrelation_InRange</vt:lpstr>
      <vt:lpstr>'RES_sv-SE'!dbCorrelation_InRange</vt:lpstr>
      <vt:lpstr>'RES_tr-TR'!dbCorrelation_InRange</vt:lpstr>
      <vt:lpstr>'RES_zh-CN'!dbCorrelation_InRange</vt:lpstr>
      <vt:lpstr>'RES_zh-TW'!dbCorrelation_InRange</vt:lpstr>
      <vt:lpstr>'RES_cs-CZ'!dbCorrelation_LabelText</vt:lpstr>
      <vt:lpstr>'RES_da-DK'!dbCorrelation_LabelText</vt:lpstr>
      <vt:lpstr>'RES_de-DE'!dbCorrelation_LabelText</vt:lpstr>
      <vt:lpstr>'RES_el-GR'!dbCorrelation_LabelText</vt:lpstr>
      <vt:lpstr>'RES_en-US'!dbCorrelation_LabelText</vt:lpstr>
      <vt:lpstr>'RES_es-ES'!dbCorrelation_LabelText</vt:lpstr>
      <vt:lpstr>'RES_fi-FI'!dbCorrelation_LabelText</vt:lpstr>
      <vt:lpstr>'RES_fr-FR'!dbCorrelation_LabelText</vt:lpstr>
      <vt:lpstr>'RES_hr-HR'!dbCorrelation_LabelText</vt:lpstr>
      <vt:lpstr>'RES_hu-HU'!dbCorrelation_LabelText</vt:lpstr>
      <vt:lpstr>'RES_it-IT'!dbCorrelation_LabelText</vt:lpstr>
      <vt:lpstr>'RES_ja-JP'!dbCorrelation_LabelText</vt:lpstr>
      <vt:lpstr>'RES_ko-KR'!dbCorrelation_LabelText</vt:lpstr>
      <vt:lpstr>'RES_lv-LV'!dbCorrelation_LabelText</vt:lpstr>
      <vt:lpstr>'RES_nb-NO'!dbCorrelation_LabelText</vt:lpstr>
      <vt:lpstr>'RES_nl-NL'!dbCorrelation_LabelText</vt:lpstr>
      <vt:lpstr>'RES_pl-PL'!dbCorrelation_LabelText</vt:lpstr>
      <vt:lpstr>'RES_pt-BR'!dbCorrelation_LabelText</vt:lpstr>
      <vt:lpstr>'RES_pt-PT'!dbCorrelation_LabelText</vt:lpstr>
      <vt:lpstr>'RES_ro-RO'!dbCorrelation_LabelText</vt:lpstr>
      <vt:lpstr>'RES_ru-RU'!dbCorrelation_LabelText</vt:lpstr>
      <vt:lpstr>'RES_sl-SI'!dbCorrelation_LabelText</vt:lpstr>
      <vt:lpstr>'RES_sv-SE'!dbCorrelation_LabelText</vt:lpstr>
      <vt:lpstr>'RES_tr-TR'!dbCorrelation_LabelText</vt:lpstr>
      <vt:lpstr>'RES_zh-CN'!dbCorrelation_LabelText</vt:lpstr>
      <vt:lpstr>'RES_zh-TW'!dbCorrelation_LabelText</vt:lpstr>
      <vt:lpstr>'RES_cs-CZ'!dbCorrelation_LblChkBox</vt:lpstr>
      <vt:lpstr>'RES_da-DK'!dbCorrelation_LblChkBox</vt:lpstr>
      <vt:lpstr>'RES_de-DE'!dbCorrelation_LblChkBox</vt:lpstr>
      <vt:lpstr>'RES_el-GR'!dbCorrelation_LblChkBox</vt:lpstr>
      <vt:lpstr>'RES_en-US'!dbCorrelation_LblChkBox</vt:lpstr>
      <vt:lpstr>'RES_es-ES'!dbCorrelation_LblChkBox</vt:lpstr>
      <vt:lpstr>'RES_fi-FI'!dbCorrelation_LblChkBox</vt:lpstr>
      <vt:lpstr>'RES_fr-FR'!dbCorrelation_LblChkBox</vt:lpstr>
      <vt:lpstr>'RES_hr-HR'!dbCorrelation_LblChkBox</vt:lpstr>
      <vt:lpstr>'RES_hu-HU'!dbCorrelation_LblChkBox</vt:lpstr>
      <vt:lpstr>'RES_it-IT'!dbCorrelation_LblChkBox</vt:lpstr>
      <vt:lpstr>'RES_ja-JP'!dbCorrelation_LblChkBox</vt:lpstr>
      <vt:lpstr>'RES_ko-KR'!dbCorrelation_LblChkBox</vt:lpstr>
      <vt:lpstr>'RES_lv-LV'!dbCorrelation_LblChkBox</vt:lpstr>
      <vt:lpstr>'RES_nb-NO'!dbCorrelation_LblChkBox</vt:lpstr>
      <vt:lpstr>'RES_nl-NL'!dbCorrelation_LblChkBox</vt:lpstr>
      <vt:lpstr>'RES_pl-PL'!dbCorrelation_LblChkBox</vt:lpstr>
      <vt:lpstr>'RES_pt-BR'!dbCorrelation_LblChkBox</vt:lpstr>
      <vt:lpstr>'RES_pt-PT'!dbCorrelation_LblChkBox</vt:lpstr>
      <vt:lpstr>'RES_ro-RO'!dbCorrelation_LblChkBox</vt:lpstr>
      <vt:lpstr>'RES_ru-RU'!dbCorrelation_LblChkBox</vt:lpstr>
      <vt:lpstr>'RES_sl-SI'!dbCorrelation_LblChkBox</vt:lpstr>
      <vt:lpstr>'RES_sv-SE'!dbCorrelation_LblChkBox</vt:lpstr>
      <vt:lpstr>'RES_tr-TR'!dbCorrelation_LblChkBox</vt:lpstr>
      <vt:lpstr>'RES_zh-CN'!dbCorrelation_LblChkBox</vt:lpstr>
      <vt:lpstr>'RES_zh-TW'!dbCorrelation_LblChkBox</vt:lpstr>
      <vt:lpstr>'RES_cs-CZ'!dbCorrelation_OutOption</vt:lpstr>
      <vt:lpstr>'RES_da-DK'!dbCorrelation_OutOption</vt:lpstr>
      <vt:lpstr>'RES_de-DE'!dbCorrelation_OutOption</vt:lpstr>
      <vt:lpstr>'RES_el-GR'!dbCorrelation_OutOption</vt:lpstr>
      <vt:lpstr>'RES_en-US'!dbCorrelation_OutOption</vt:lpstr>
      <vt:lpstr>'RES_es-ES'!dbCorrelation_OutOption</vt:lpstr>
      <vt:lpstr>'RES_fi-FI'!dbCorrelation_OutOption</vt:lpstr>
      <vt:lpstr>'RES_fr-FR'!dbCorrelation_OutOption</vt:lpstr>
      <vt:lpstr>'RES_hr-HR'!dbCorrelation_OutOption</vt:lpstr>
      <vt:lpstr>'RES_hu-HU'!dbCorrelation_OutOption</vt:lpstr>
      <vt:lpstr>'RES_it-IT'!dbCorrelation_OutOption</vt:lpstr>
      <vt:lpstr>'RES_ja-JP'!dbCorrelation_OutOption</vt:lpstr>
      <vt:lpstr>'RES_ko-KR'!dbCorrelation_OutOption</vt:lpstr>
      <vt:lpstr>'RES_lv-LV'!dbCorrelation_OutOption</vt:lpstr>
      <vt:lpstr>'RES_nb-NO'!dbCorrelation_OutOption</vt:lpstr>
      <vt:lpstr>'RES_nl-NL'!dbCorrelation_OutOption</vt:lpstr>
      <vt:lpstr>'RES_pl-PL'!dbCorrelation_OutOption</vt:lpstr>
      <vt:lpstr>'RES_pt-BR'!dbCorrelation_OutOption</vt:lpstr>
      <vt:lpstr>'RES_pt-PT'!dbCorrelation_OutOption</vt:lpstr>
      <vt:lpstr>'RES_ro-RO'!dbCorrelation_OutOption</vt:lpstr>
      <vt:lpstr>'RES_ru-RU'!dbCorrelation_OutOption</vt:lpstr>
      <vt:lpstr>'RES_sl-SI'!dbCorrelation_OutOption</vt:lpstr>
      <vt:lpstr>'RES_sv-SE'!dbCorrelation_OutOption</vt:lpstr>
      <vt:lpstr>'RES_tr-TR'!dbCorrelation_OutOption</vt:lpstr>
      <vt:lpstr>'RES_zh-CN'!dbCorrelation_OutOption</vt:lpstr>
      <vt:lpstr>'RES_zh-TW'!dbCorrelation_OutOption</vt:lpstr>
      <vt:lpstr>'RES_cs-CZ'!dbCorrelation_PlyInpFld</vt:lpstr>
      <vt:lpstr>'RES_da-DK'!dbCorrelation_PlyInpFld</vt:lpstr>
      <vt:lpstr>'RES_de-DE'!dbCorrelation_PlyInpFld</vt:lpstr>
      <vt:lpstr>'RES_el-GR'!dbCorrelation_PlyInpFld</vt:lpstr>
      <vt:lpstr>'RES_en-US'!dbCorrelation_PlyInpFld</vt:lpstr>
      <vt:lpstr>'RES_es-ES'!dbCorrelation_PlyInpFld</vt:lpstr>
      <vt:lpstr>'RES_fi-FI'!dbCorrelation_PlyInpFld</vt:lpstr>
      <vt:lpstr>'RES_fr-FR'!dbCorrelation_PlyInpFld</vt:lpstr>
      <vt:lpstr>'RES_hr-HR'!dbCorrelation_PlyInpFld</vt:lpstr>
      <vt:lpstr>'RES_hu-HU'!dbCorrelation_PlyInpFld</vt:lpstr>
      <vt:lpstr>'RES_it-IT'!dbCorrelation_PlyInpFld</vt:lpstr>
      <vt:lpstr>'RES_ja-JP'!dbCorrelation_PlyInpFld</vt:lpstr>
      <vt:lpstr>'RES_ko-KR'!dbCorrelation_PlyInpFld</vt:lpstr>
      <vt:lpstr>'RES_lv-LV'!dbCorrelation_PlyInpFld</vt:lpstr>
      <vt:lpstr>'RES_nb-NO'!dbCorrelation_PlyInpFld</vt:lpstr>
      <vt:lpstr>'RES_nl-NL'!dbCorrelation_PlyInpFld</vt:lpstr>
      <vt:lpstr>'RES_pl-PL'!dbCorrelation_PlyInpFld</vt:lpstr>
      <vt:lpstr>'RES_pt-BR'!dbCorrelation_PlyInpFld</vt:lpstr>
      <vt:lpstr>'RES_pt-PT'!dbCorrelation_PlyInpFld</vt:lpstr>
      <vt:lpstr>'RES_ro-RO'!dbCorrelation_PlyInpFld</vt:lpstr>
      <vt:lpstr>'RES_ru-RU'!dbCorrelation_PlyInpFld</vt:lpstr>
      <vt:lpstr>'RES_sl-SI'!dbCorrelation_PlyInpFld</vt:lpstr>
      <vt:lpstr>'RES_sv-SE'!dbCorrelation_PlyInpFld</vt:lpstr>
      <vt:lpstr>'RES_tr-TR'!dbCorrelation_PlyInpFld</vt:lpstr>
      <vt:lpstr>'RES_zh-CN'!dbCorrelation_PlyInpFld</vt:lpstr>
      <vt:lpstr>'RES_zh-TW'!dbCorrelation_PlyInpFld</vt:lpstr>
      <vt:lpstr>'RES_cs-CZ'!dbCorrelation_PlyName</vt:lpstr>
      <vt:lpstr>'RES_da-DK'!dbCorrelation_PlyName</vt:lpstr>
      <vt:lpstr>'RES_de-DE'!dbCorrelation_PlyName</vt:lpstr>
      <vt:lpstr>'RES_el-GR'!dbCorrelation_PlyName</vt:lpstr>
      <vt:lpstr>'RES_en-US'!dbCorrelation_PlyName</vt:lpstr>
      <vt:lpstr>'RES_es-ES'!dbCorrelation_PlyName</vt:lpstr>
      <vt:lpstr>'RES_fi-FI'!dbCorrelation_PlyName</vt:lpstr>
      <vt:lpstr>'RES_fr-FR'!dbCorrelation_PlyName</vt:lpstr>
      <vt:lpstr>'RES_hr-HR'!dbCorrelation_PlyName</vt:lpstr>
      <vt:lpstr>'RES_hu-HU'!dbCorrelation_PlyName</vt:lpstr>
      <vt:lpstr>'RES_it-IT'!dbCorrelation_PlyName</vt:lpstr>
      <vt:lpstr>'RES_ja-JP'!dbCorrelation_PlyName</vt:lpstr>
      <vt:lpstr>'RES_ko-KR'!dbCorrelation_PlyName</vt:lpstr>
      <vt:lpstr>'RES_lv-LV'!dbCorrelation_PlyName</vt:lpstr>
      <vt:lpstr>'RES_nb-NO'!dbCorrelation_PlyName</vt:lpstr>
      <vt:lpstr>'RES_nl-NL'!dbCorrelation_PlyName</vt:lpstr>
      <vt:lpstr>'RES_pl-PL'!dbCorrelation_PlyName</vt:lpstr>
      <vt:lpstr>'RES_pt-BR'!dbCorrelation_PlyName</vt:lpstr>
      <vt:lpstr>'RES_pt-PT'!dbCorrelation_PlyName</vt:lpstr>
      <vt:lpstr>'RES_ro-RO'!dbCorrelation_PlyName</vt:lpstr>
      <vt:lpstr>'RES_ru-RU'!dbCorrelation_PlyName</vt:lpstr>
      <vt:lpstr>'RES_sl-SI'!dbCorrelation_PlyName</vt:lpstr>
      <vt:lpstr>'RES_sv-SE'!dbCorrelation_PlyName</vt:lpstr>
      <vt:lpstr>'RES_tr-TR'!dbCorrelation_PlyName</vt:lpstr>
      <vt:lpstr>'RES_zh-CN'!dbCorrelation_PlyName</vt:lpstr>
      <vt:lpstr>'RES_zh-TW'!dbCorrelation_PlyName</vt:lpstr>
      <vt:lpstr>'RES_cs-CZ'!dbCorrelation_RangeInpFld</vt:lpstr>
      <vt:lpstr>'RES_da-DK'!dbCorrelation_RangeInpFld</vt:lpstr>
      <vt:lpstr>'RES_de-DE'!dbCorrelation_RangeInpFld</vt:lpstr>
      <vt:lpstr>'RES_el-GR'!dbCorrelation_RangeInpFld</vt:lpstr>
      <vt:lpstr>'RES_en-US'!dbCorrelation_RangeInpFld</vt:lpstr>
      <vt:lpstr>'RES_es-ES'!dbCorrelation_RangeInpFld</vt:lpstr>
      <vt:lpstr>'RES_fi-FI'!dbCorrelation_RangeInpFld</vt:lpstr>
      <vt:lpstr>'RES_fr-FR'!dbCorrelation_RangeInpFld</vt:lpstr>
      <vt:lpstr>'RES_hr-HR'!dbCorrelation_RangeInpFld</vt:lpstr>
      <vt:lpstr>'RES_hu-HU'!dbCorrelation_RangeInpFld</vt:lpstr>
      <vt:lpstr>'RES_it-IT'!dbCorrelation_RangeInpFld</vt:lpstr>
      <vt:lpstr>'RES_ja-JP'!dbCorrelation_RangeInpFld</vt:lpstr>
      <vt:lpstr>'RES_ko-KR'!dbCorrelation_RangeInpFld</vt:lpstr>
      <vt:lpstr>'RES_lv-LV'!dbCorrelation_RangeInpFld</vt:lpstr>
      <vt:lpstr>'RES_nb-NO'!dbCorrelation_RangeInpFld</vt:lpstr>
      <vt:lpstr>'RES_nl-NL'!dbCorrelation_RangeInpFld</vt:lpstr>
      <vt:lpstr>'RES_pl-PL'!dbCorrelation_RangeInpFld</vt:lpstr>
      <vt:lpstr>'RES_pt-BR'!dbCorrelation_RangeInpFld</vt:lpstr>
      <vt:lpstr>'RES_pt-PT'!dbCorrelation_RangeInpFld</vt:lpstr>
      <vt:lpstr>'RES_ro-RO'!dbCorrelation_RangeInpFld</vt:lpstr>
      <vt:lpstr>'RES_ru-RU'!dbCorrelation_RangeInpFld</vt:lpstr>
      <vt:lpstr>'RES_sl-SI'!dbCorrelation_RangeInpFld</vt:lpstr>
      <vt:lpstr>'RES_sv-SE'!dbCorrelation_RangeInpFld</vt:lpstr>
      <vt:lpstr>'RES_tr-TR'!dbCorrelation_RangeInpFld</vt:lpstr>
      <vt:lpstr>'RES_zh-CN'!dbCorrelation_RangeInpFld</vt:lpstr>
      <vt:lpstr>'RES_zh-TW'!dbCorrelation_RangeInpFld</vt:lpstr>
      <vt:lpstr>'RES_cs-CZ'!dbCorrelation_RangeRef</vt:lpstr>
      <vt:lpstr>'RES_da-DK'!dbCorrelation_RangeRef</vt:lpstr>
      <vt:lpstr>'RES_de-DE'!dbCorrelation_RangeRef</vt:lpstr>
      <vt:lpstr>'RES_el-GR'!dbCorrelation_RangeRef</vt:lpstr>
      <vt:lpstr>'RES_en-US'!dbCorrelation_RangeRef</vt:lpstr>
      <vt:lpstr>'RES_es-ES'!dbCorrelation_RangeRef</vt:lpstr>
      <vt:lpstr>'RES_fi-FI'!dbCorrelation_RangeRef</vt:lpstr>
      <vt:lpstr>'RES_fr-FR'!dbCorrelation_RangeRef</vt:lpstr>
      <vt:lpstr>'RES_hr-HR'!dbCorrelation_RangeRef</vt:lpstr>
      <vt:lpstr>'RES_hu-HU'!dbCorrelation_RangeRef</vt:lpstr>
      <vt:lpstr>'RES_it-IT'!dbCorrelation_RangeRef</vt:lpstr>
      <vt:lpstr>'RES_ja-JP'!dbCorrelation_RangeRef</vt:lpstr>
      <vt:lpstr>'RES_ko-KR'!dbCorrelation_RangeRef</vt:lpstr>
      <vt:lpstr>'RES_lv-LV'!dbCorrelation_RangeRef</vt:lpstr>
      <vt:lpstr>'RES_nb-NO'!dbCorrelation_RangeRef</vt:lpstr>
      <vt:lpstr>'RES_nl-NL'!dbCorrelation_RangeRef</vt:lpstr>
      <vt:lpstr>'RES_pl-PL'!dbCorrelation_RangeRef</vt:lpstr>
      <vt:lpstr>'RES_pt-BR'!dbCorrelation_RangeRef</vt:lpstr>
      <vt:lpstr>'RES_pt-PT'!dbCorrelation_RangeRef</vt:lpstr>
      <vt:lpstr>'RES_ro-RO'!dbCorrelation_RangeRef</vt:lpstr>
      <vt:lpstr>'RES_ru-RU'!dbCorrelation_RangeRef</vt:lpstr>
      <vt:lpstr>'RES_sl-SI'!dbCorrelation_RangeRef</vt:lpstr>
      <vt:lpstr>'RES_sv-SE'!dbCorrelation_RangeRef</vt:lpstr>
      <vt:lpstr>'RES_tr-TR'!dbCorrelation_RangeRef</vt:lpstr>
      <vt:lpstr>'RES_zh-CN'!dbCorrelation_RangeRef</vt:lpstr>
      <vt:lpstr>'RES_zh-TW'!dbCorrelation_RangeRef</vt:lpstr>
      <vt:lpstr>'RES_cs-CZ'!dbCorrelation_RCSelect</vt:lpstr>
      <vt:lpstr>'RES_da-DK'!dbCorrelation_RCSelect</vt:lpstr>
      <vt:lpstr>'RES_de-DE'!dbCorrelation_RCSelect</vt:lpstr>
      <vt:lpstr>'RES_el-GR'!dbCorrelation_RCSelect</vt:lpstr>
      <vt:lpstr>'RES_en-US'!dbCorrelation_RCSelect</vt:lpstr>
      <vt:lpstr>'RES_es-ES'!dbCorrelation_RCSelect</vt:lpstr>
      <vt:lpstr>'RES_fi-FI'!dbCorrelation_RCSelect</vt:lpstr>
      <vt:lpstr>'RES_fr-FR'!dbCorrelation_RCSelect</vt:lpstr>
      <vt:lpstr>'RES_hr-HR'!dbCorrelation_RCSelect</vt:lpstr>
      <vt:lpstr>'RES_hu-HU'!dbCorrelation_RCSelect</vt:lpstr>
      <vt:lpstr>'RES_it-IT'!dbCorrelation_RCSelect</vt:lpstr>
      <vt:lpstr>'RES_ja-JP'!dbCorrelation_RCSelect</vt:lpstr>
      <vt:lpstr>'RES_ko-KR'!dbCorrelation_RCSelect</vt:lpstr>
      <vt:lpstr>'RES_lv-LV'!dbCorrelation_RCSelect</vt:lpstr>
      <vt:lpstr>'RES_nb-NO'!dbCorrelation_RCSelect</vt:lpstr>
      <vt:lpstr>'RES_nl-NL'!dbCorrelation_RCSelect</vt:lpstr>
      <vt:lpstr>'RES_pl-PL'!dbCorrelation_RCSelect</vt:lpstr>
      <vt:lpstr>'RES_pt-BR'!dbCorrelation_RCSelect</vt:lpstr>
      <vt:lpstr>'RES_pt-PT'!dbCorrelation_RCSelect</vt:lpstr>
      <vt:lpstr>'RES_ro-RO'!dbCorrelation_RCSelect</vt:lpstr>
      <vt:lpstr>'RES_ru-RU'!dbCorrelation_RCSelect</vt:lpstr>
      <vt:lpstr>'RES_sl-SI'!dbCorrelation_RCSelect</vt:lpstr>
      <vt:lpstr>'RES_sv-SE'!dbCorrelation_RCSelect</vt:lpstr>
      <vt:lpstr>'RES_tr-TR'!dbCorrelation_RCSelect</vt:lpstr>
      <vt:lpstr>'RES_zh-CN'!dbCorrelation_RCSelect</vt:lpstr>
      <vt:lpstr>'RES_zh-TW'!dbCorrelation_RCSelect</vt:lpstr>
      <vt:lpstr>'RES_cs-CZ'!dbCorrelationTitle</vt:lpstr>
      <vt:lpstr>'RES_da-DK'!dbCorrelationTitle</vt:lpstr>
      <vt:lpstr>'RES_de-DE'!dbCorrelationTitle</vt:lpstr>
      <vt:lpstr>'RES_el-GR'!dbCorrelationTitle</vt:lpstr>
      <vt:lpstr>'RES_en-US'!dbCorrelationTitle</vt:lpstr>
      <vt:lpstr>'RES_es-ES'!dbCorrelationTitle</vt:lpstr>
      <vt:lpstr>'RES_fi-FI'!dbCorrelationTitle</vt:lpstr>
      <vt:lpstr>'RES_fr-FR'!dbCorrelationTitle</vt:lpstr>
      <vt:lpstr>'RES_hr-HR'!dbCorrelationTitle</vt:lpstr>
      <vt:lpstr>'RES_hu-HU'!dbCorrelationTitle</vt:lpstr>
      <vt:lpstr>'RES_it-IT'!dbCorrelationTitle</vt:lpstr>
      <vt:lpstr>'RES_ja-JP'!dbCorrelationTitle</vt:lpstr>
      <vt:lpstr>'RES_ko-KR'!dbCorrelationTitle</vt:lpstr>
      <vt:lpstr>'RES_lv-LV'!dbCorrelationTitle</vt:lpstr>
      <vt:lpstr>'RES_nb-NO'!dbCorrelationTitle</vt:lpstr>
      <vt:lpstr>'RES_nl-NL'!dbCorrelationTitle</vt:lpstr>
      <vt:lpstr>'RES_pl-PL'!dbCorrelationTitle</vt:lpstr>
      <vt:lpstr>'RES_pt-BR'!dbCorrelationTitle</vt:lpstr>
      <vt:lpstr>'RES_pt-PT'!dbCorrelationTitle</vt:lpstr>
      <vt:lpstr>'RES_ro-RO'!dbCorrelationTitle</vt:lpstr>
      <vt:lpstr>'RES_ru-RU'!dbCorrelationTitle</vt:lpstr>
      <vt:lpstr>'RES_sl-SI'!dbCorrelationTitle</vt:lpstr>
      <vt:lpstr>'RES_sv-SE'!dbCorrelationTitle</vt:lpstr>
      <vt:lpstr>'RES_tr-TR'!dbCorrelationTitle</vt:lpstr>
      <vt:lpstr>'RES_zh-CN'!dbCorrelationTitle</vt:lpstr>
      <vt:lpstr>'RES_zh-TW'!dbCorrelationTitle</vt:lpstr>
      <vt:lpstr>'RES_cs-CZ'!dbCovariance</vt:lpstr>
      <vt:lpstr>'RES_da-DK'!dbCovariance</vt:lpstr>
      <vt:lpstr>'RES_de-DE'!dbCovariance</vt:lpstr>
      <vt:lpstr>'RES_el-GR'!dbCovariance</vt:lpstr>
      <vt:lpstr>'RES_en-US'!dbCovariance</vt:lpstr>
      <vt:lpstr>'RES_es-ES'!dbCovariance</vt:lpstr>
      <vt:lpstr>'RES_fi-FI'!dbCovariance</vt:lpstr>
      <vt:lpstr>'RES_fr-FR'!dbCovariance</vt:lpstr>
      <vt:lpstr>'RES_hr-HR'!dbCovariance</vt:lpstr>
      <vt:lpstr>'RES_hu-HU'!dbCovariance</vt:lpstr>
      <vt:lpstr>'RES_it-IT'!dbCovariance</vt:lpstr>
      <vt:lpstr>'RES_ja-JP'!dbCovariance</vt:lpstr>
      <vt:lpstr>'RES_ko-KR'!dbCovariance</vt:lpstr>
      <vt:lpstr>'RES_lv-LV'!dbCovariance</vt:lpstr>
      <vt:lpstr>'RES_nb-NO'!dbCovariance</vt:lpstr>
      <vt:lpstr>'RES_nl-NL'!dbCovariance</vt:lpstr>
      <vt:lpstr>'RES_pl-PL'!dbCovariance</vt:lpstr>
      <vt:lpstr>'RES_pt-BR'!dbCovariance</vt:lpstr>
      <vt:lpstr>'RES_pt-PT'!dbCovariance</vt:lpstr>
      <vt:lpstr>'RES_ro-RO'!dbCovariance</vt:lpstr>
      <vt:lpstr>'RES_ru-RU'!dbCovariance</vt:lpstr>
      <vt:lpstr>'RES_sl-SI'!dbCovariance</vt:lpstr>
      <vt:lpstr>'RES_sv-SE'!dbCovariance</vt:lpstr>
      <vt:lpstr>'RES_tr-TR'!dbCovariance</vt:lpstr>
      <vt:lpstr>'RES_zh-CN'!dbCovariance</vt:lpstr>
      <vt:lpstr>'RES_zh-TW'!dbCovariance</vt:lpstr>
      <vt:lpstr>'RES_cs-CZ'!dbCovariance_InRange</vt:lpstr>
      <vt:lpstr>'RES_da-DK'!dbCovariance_InRange</vt:lpstr>
      <vt:lpstr>'RES_de-DE'!dbCovariance_InRange</vt:lpstr>
      <vt:lpstr>'RES_el-GR'!dbCovariance_InRange</vt:lpstr>
      <vt:lpstr>'RES_en-US'!dbCovariance_InRange</vt:lpstr>
      <vt:lpstr>'RES_es-ES'!dbCovariance_InRange</vt:lpstr>
      <vt:lpstr>'RES_fi-FI'!dbCovariance_InRange</vt:lpstr>
      <vt:lpstr>'RES_fr-FR'!dbCovariance_InRange</vt:lpstr>
      <vt:lpstr>'RES_hr-HR'!dbCovariance_InRange</vt:lpstr>
      <vt:lpstr>'RES_hu-HU'!dbCovariance_InRange</vt:lpstr>
      <vt:lpstr>'RES_it-IT'!dbCovariance_InRange</vt:lpstr>
      <vt:lpstr>'RES_ja-JP'!dbCovariance_InRange</vt:lpstr>
      <vt:lpstr>'RES_ko-KR'!dbCovariance_InRange</vt:lpstr>
      <vt:lpstr>'RES_lv-LV'!dbCovariance_InRange</vt:lpstr>
      <vt:lpstr>'RES_nb-NO'!dbCovariance_InRange</vt:lpstr>
      <vt:lpstr>'RES_nl-NL'!dbCovariance_InRange</vt:lpstr>
      <vt:lpstr>'RES_pl-PL'!dbCovariance_InRange</vt:lpstr>
      <vt:lpstr>'RES_pt-BR'!dbCovariance_InRange</vt:lpstr>
      <vt:lpstr>'RES_pt-PT'!dbCovariance_InRange</vt:lpstr>
      <vt:lpstr>'RES_ro-RO'!dbCovariance_InRange</vt:lpstr>
      <vt:lpstr>'RES_ru-RU'!dbCovariance_InRange</vt:lpstr>
      <vt:lpstr>'RES_sl-SI'!dbCovariance_InRange</vt:lpstr>
      <vt:lpstr>'RES_sv-SE'!dbCovariance_InRange</vt:lpstr>
      <vt:lpstr>'RES_tr-TR'!dbCovariance_InRange</vt:lpstr>
      <vt:lpstr>'RES_zh-CN'!dbCovariance_InRange</vt:lpstr>
      <vt:lpstr>'RES_zh-TW'!dbCovariance_InRange</vt:lpstr>
      <vt:lpstr>'RES_cs-CZ'!dbCovariance_LabelText</vt:lpstr>
      <vt:lpstr>'RES_da-DK'!dbCovariance_LabelText</vt:lpstr>
      <vt:lpstr>'RES_de-DE'!dbCovariance_LabelText</vt:lpstr>
      <vt:lpstr>'RES_el-GR'!dbCovariance_LabelText</vt:lpstr>
      <vt:lpstr>'RES_en-US'!dbCovariance_LabelText</vt:lpstr>
      <vt:lpstr>'RES_es-ES'!dbCovariance_LabelText</vt:lpstr>
      <vt:lpstr>'RES_fi-FI'!dbCovariance_LabelText</vt:lpstr>
      <vt:lpstr>'RES_fr-FR'!dbCovariance_LabelText</vt:lpstr>
      <vt:lpstr>'RES_hr-HR'!dbCovariance_LabelText</vt:lpstr>
      <vt:lpstr>'RES_hu-HU'!dbCovariance_LabelText</vt:lpstr>
      <vt:lpstr>'RES_it-IT'!dbCovariance_LabelText</vt:lpstr>
      <vt:lpstr>'RES_ja-JP'!dbCovariance_LabelText</vt:lpstr>
      <vt:lpstr>'RES_ko-KR'!dbCovariance_LabelText</vt:lpstr>
      <vt:lpstr>'RES_lv-LV'!dbCovariance_LabelText</vt:lpstr>
      <vt:lpstr>'RES_nb-NO'!dbCovariance_LabelText</vt:lpstr>
      <vt:lpstr>'RES_nl-NL'!dbCovariance_LabelText</vt:lpstr>
      <vt:lpstr>'RES_pl-PL'!dbCovariance_LabelText</vt:lpstr>
      <vt:lpstr>'RES_pt-BR'!dbCovariance_LabelText</vt:lpstr>
      <vt:lpstr>'RES_pt-PT'!dbCovariance_LabelText</vt:lpstr>
      <vt:lpstr>'RES_ro-RO'!dbCovariance_LabelText</vt:lpstr>
      <vt:lpstr>'RES_ru-RU'!dbCovariance_LabelText</vt:lpstr>
      <vt:lpstr>'RES_sl-SI'!dbCovariance_LabelText</vt:lpstr>
      <vt:lpstr>'RES_sv-SE'!dbCovariance_LabelText</vt:lpstr>
      <vt:lpstr>'RES_tr-TR'!dbCovariance_LabelText</vt:lpstr>
      <vt:lpstr>'RES_zh-CN'!dbCovariance_LabelText</vt:lpstr>
      <vt:lpstr>'RES_zh-TW'!dbCovariance_LabelText</vt:lpstr>
      <vt:lpstr>'RES_cs-CZ'!dbCovariance_LblChkBox</vt:lpstr>
      <vt:lpstr>'RES_da-DK'!dbCovariance_LblChkBox</vt:lpstr>
      <vt:lpstr>'RES_de-DE'!dbCovariance_LblChkBox</vt:lpstr>
      <vt:lpstr>'RES_el-GR'!dbCovariance_LblChkBox</vt:lpstr>
      <vt:lpstr>'RES_en-US'!dbCovariance_LblChkBox</vt:lpstr>
      <vt:lpstr>'RES_es-ES'!dbCovariance_LblChkBox</vt:lpstr>
      <vt:lpstr>'RES_fi-FI'!dbCovariance_LblChkBox</vt:lpstr>
      <vt:lpstr>'RES_fr-FR'!dbCovariance_LblChkBox</vt:lpstr>
      <vt:lpstr>'RES_hr-HR'!dbCovariance_LblChkBox</vt:lpstr>
      <vt:lpstr>'RES_hu-HU'!dbCovariance_LblChkBox</vt:lpstr>
      <vt:lpstr>'RES_it-IT'!dbCovariance_LblChkBox</vt:lpstr>
      <vt:lpstr>'RES_ja-JP'!dbCovariance_LblChkBox</vt:lpstr>
      <vt:lpstr>'RES_ko-KR'!dbCovariance_LblChkBox</vt:lpstr>
      <vt:lpstr>'RES_lv-LV'!dbCovariance_LblChkBox</vt:lpstr>
      <vt:lpstr>'RES_nb-NO'!dbCovariance_LblChkBox</vt:lpstr>
      <vt:lpstr>'RES_nl-NL'!dbCovariance_LblChkBox</vt:lpstr>
      <vt:lpstr>'RES_pl-PL'!dbCovariance_LblChkBox</vt:lpstr>
      <vt:lpstr>'RES_pt-BR'!dbCovariance_LblChkBox</vt:lpstr>
      <vt:lpstr>'RES_pt-PT'!dbCovariance_LblChkBox</vt:lpstr>
      <vt:lpstr>'RES_ro-RO'!dbCovariance_LblChkBox</vt:lpstr>
      <vt:lpstr>'RES_ru-RU'!dbCovariance_LblChkBox</vt:lpstr>
      <vt:lpstr>'RES_sl-SI'!dbCovariance_LblChkBox</vt:lpstr>
      <vt:lpstr>'RES_sv-SE'!dbCovariance_LblChkBox</vt:lpstr>
      <vt:lpstr>'RES_tr-TR'!dbCovariance_LblChkBox</vt:lpstr>
      <vt:lpstr>'RES_zh-CN'!dbCovariance_LblChkBox</vt:lpstr>
      <vt:lpstr>'RES_zh-TW'!dbCovariance_LblChkBox</vt:lpstr>
      <vt:lpstr>'RES_cs-CZ'!dbCovariance_OutOption</vt:lpstr>
      <vt:lpstr>'RES_da-DK'!dbCovariance_OutOption</vt:lpstr>
      <vt:lpstr>'RES_de-DE'!dbCovariance_OutOption</vt:lpstr>
      <vt:lpstr>'RES_el-GR'!dbCovariance_OutOption</vt:lpstr>
      <vt:lpstr>'RES_en-US'!dbCovariance_OutOption</vt:lpstr>
      <vt:lpstr>'RES_es-ES'!dbCovariance_OutOption</vt:lpstr>
      <vt:lpstr>'RES_fi-FI'!dbCovariance_OutOption</vt:lpstr>
      <vt:lpstr>'RES_fr-FR'!dbCovariance_OutOption</vt:lpstr>
      <vt:lpstr>'RES_hr-HR'!dbCovariance_OutOption</vt:lpstr>
      <vt:lpstr>'RES_hu-HU'!dbCovariance_OutOption</vt:lpstr>
      <vt:lpstr>'RES_it-IT'!dbCovariance_OutOption</vt:lpstr>
      <vt:lpstr>'RES_ja-JP'!dbCovariance_OutOption</vt:lpstr>
      <vt:lpstr>'RES_ko-KR'!dbCovariance_OutOption</vt:lpstr>
      <vt:lpstr>'RES_lv-LV'!dbCovariance_OutOption</vt:lpstr>
      <vt:lpstr>'RES_nb-NO'!dbCovariance_OutOption</vt:lpstr>
      <vt:lpstr>'RES_nl-NL'!dbCovariance_OutOption</vt:lpstr>
      <vt:lpstr>'RES_pl-PL'!dbCovariance_OutOption</vt:lpstr>
      <vt:lpstr>'RES_pt-BR'!dbCovariance_OutOption</vt:lpstr>
      <vt:lpstr>'RES_pt-PT'!dbCovariance_OutOption</vt:lpstr>
      <vt:lpstr>'RES_ro-RO'!dbCovariance_OutOption</vt:lpstr>
      <vt:lpstr>'RES_ru-RU'!dbCovariance_OutOption</vt:lpstr>
      <vt:lpstr>'RES_sl-SI'!dbCovariance_OutOption</vt:lpstr>
      <vt:lpstr>'RES_sv-SE'!dbCovariance_OutOption</vt:lpstr>
      <vt:lpstr>'RES_tr-TR'!dbCovariance_OutOption</vt:lpstr>
      <vt:lpstr>'RES_zh-CN'!dbCovariance_OutOption</vt:lpstr>
      <vt:lpstr>'RES_zh-TW'!dbCovariance_OutOption</vt:lpstr>
      <vt:lpstr>'RES_cs-CZ'!dbCovariance_PlyInpFld</vt:lpstr>
      <vt:lpstr>'RES_da-DK'!dbCovariance_PlyInpFld</vt:lpstr>
      <vt:lpstr>'RES_de-DE'!dbCovariance_PlyInpFld</vt:lpstr>
      <vt:lpstr>'RES_el-GR'!dbCovariance_PlyInpFld</vt:lpstr>
      <vt:lpstr>'RES_en-US'!dbCovariance_PlyInpFld</vt:lpstr>
      <vt:lpstr>'RES_es-ES'!dbCovariance_PlyInpFld</vt:lpstr>
      <vt:lpstr>'RES_fi-FI'!dbCovariance_PlyInpFld</vt:lpstr>
      <vt:lpstr>'RES_fr-FR'!dbCovariance_PlyInpFld</vt:lpstr>
      <vt:lpstr>'RES_hr-HR'!dbCovariance_PlyInpFld</vt:lpstr>
      <vt:lpstr>'RES_hu-HU'!dbCovariance_PlyInpFld</vt:lpstr>
      <vt:lpstr>'RES_it-IT'!dbCovariance_PlyInpFld</vt:lpstr>
      <vt:lpstr>'RES_ja-JP'!dbCovariance_PlyInpFld</vt:lpstr>
      <vt:lpstr>'RES_ko-KR'!dbCovariance_PlyInpFld</vt:lpstr>
      <vt:lpstr>'RES_lv-LV'!dbCovariance_PlyInpFld</vt:lpstr>
      <vt:lpstr>'RES_nb-NO'!dbCovariance_PlyInpFld</vt:lpstr>
      <vt:lpstr>'RES_nl-NL'!dbCovariance_PlyInpFld</vt:lpstr>
      <vt:lpstr>'RES_pl-PL'!dbCovariance_PlyInpFld</vt:lpstr>
      <vt:lpstr>'RES_pt-BR'!dbCovariance_PlyInpFld</vt:lpstr>
      <vt:lpstr>'RES_pt-PT'!dbCovariance_PlyInpFld</vt:lpstr>
      <vt:lpstr>'RES_ro-RO'!dbCovariance_PlyInpFld</vt:lpstr>
      <vt:lpstr>'RES_ru-RU'!dbCovariance_PlyInpFld</vt:lpstr>
      <vt:lpstr>'RES_sl-SI'!dbCovariance_PlyInpFld</vt:lpstr>
      <vt:lpstr>'RES_sv-SE'!dbCovariance_PlyInpFld</vt:lpstr>
      <vt:lpstr>'RES_tr-TR'!dbCovariance_PlyInpFld</vt:lpstr>
      <vt:lpstr>'RES_zh-CN'!dbCovariance_PlyInpFld</vt:lpstr>
      <vt:lpstr>'RES_zh-TW'!dbCovariance_PlyInpFld</vt:lpstr>
      <vt:lpstr>'RES_cs-CZ'!dbCovariance_PlyName</vt:lpstr>
      <vt:lpstr>'RES_da-DK'!dbCovariance_PlyName</vt:lpstr>
      <vt:lpstr>'RES_de-DE'!dbCovariance_PlyName</vt:lpstr>
      <vt:lpstr>'RES_el-GR'!dbCovariance_PlyName</vt:lpstr>
      <vt:lpstr>'RES_en-US'!dbCovariance_PlyName</vt:lpstr>
      <vt:lpstr>'RES_es-ES'!dbCovariance_PlyName</vt:lpstr>
      <vt:lpstr>'RES_fi-FI'!dbCovariance_PlyName</vt:lpstr>
      <vt:lpstr>'RES_fr-FR'!dbCovariance_PlyName</vt:lpstr>
      <vt:lpstr>'RES_hr-HR'!dbCovariance_PlyName</vt:lpstr>
      <vt:lpstr>'RES_hu-HU'!dbCovariance_PlyName</vt:lpstr>
      <vt:lpstr>'RES_it-IT'!dbCovariance_PlyName</vt:lpstr>
      <vt:lpstr>'RES_ja-JP'!dbCovariance_PlyName</vt:lpstr>
      <vt:lpstr>'RES_ko-KR'!dbCovariance_PlyName</vt:lpstr>
      <vt:lpstr>'RES_lv-LV'!dbCovariance_PlyName</vt:lpstr>
      <vt:lpstr>'RES_nb-NO'!dbCovariance_PlyName</vt:lpstr>
      <vt:lpstr>'RES_nl-NL'!dbCovariance_PlyName</vt:lpstr>
      <vt:lpstr>'RES_pl-PL'!dbCovariance_PlyName</vt:lpstr>
      <vt:lpstr>'RES_pt-BR'!dbCovariance_PlyName</vt:lpstr>
      <vt:lpstr>'RES_pt-PT'!dbCovariance_PlyName</vt:lpstr>
      <vt:lpstr>'RES_ro-RO'!dbCovariance_PlyName</vt:lpstr>
      <vt:lpstr>'RES_ru-RU'!dbCovariance_PlyName</vt:lpstr>
      <vt:lpstr>'RES_sl-SI'!dbCovariance_PlyName</vt:lpstr>
      <vt:lpstr>'RES_sv-SE'!dbCovariance_PlyName</vt:lpstr>
      <vt:lpstr>'RES_tr-TR'!dbCovariance_PlyName</vt:lpstr>
      <vt:lpstr>'RES_zh-CN'!dbCovariance_PlyName</vt:lpstr>
      <vt:lpstr>'RES_zh-TW'!dbCovariance_PlyName</vt:lpstr>
      <vt:lpstr>'RES_cs-CZ'!dbCovariance_RangeInpFld</vt:lpstr>
      <vt:lpstr>'RES_da-DK'!dbCovariance_RangeInpFld</vt:lpstr>
      <vt:lpstr>'RES_de-DE'!dbCovariance_RangeInpFld</vt:lpstr>
      <vt:lpstr>'RES_el-GR'!dbCovariance_RangeInpFld</vt:lpstr>
      <vt:lpstr>'RES_en-US'!dbCovariance_RangeInpFld</vt:lpstr>
      <vt:lpstr>'RES_es-ES'!dbCovariance_RangeInpFld</vt:lpstr>
      <vt:lpstr>'RES_fi-FI'!dbCovariance_RangeInpFld</vt:lpstr>
      <vt:lpstr>'RES_fr-FR'!dbCovariance_RangeInpFld</vt:lpstr>
      <vt:lpstr>'RES_hr-HR'!dbCovariance_RangeInpFld</vt:lpstr>
      <vt:lpstr>'RES_hu-HU'!dbCovariance_RangeInpFld</vt:lpstr>
      <vt:lpstr>'RES_it-IT'!dbCovariance_RangeInpFld</vt:lpstr>
      <vt:lpstr>'RES_ja-JP'!dbCovariance_RangeInpFld</vt:lpstr>
      <vt:lpstr>'RES_ko-KR'!dbCovariance_RangeInpFld</vt:lpstr>
      <vt:lpstr>'RES_lv-LV'!dbCovariance_RangeInpFld</vt:lpstr>
      <vt:lpstr>'RES_nb-NO'!dbCovariance_RangeInpFld</vt:lpstr>
      <vt:lpstr>'RES_nl-NL'!dbCovariance_RangeInpFld</vt:lpstr>
      <vt:lpstr>'RES_pl-PL'!dbCovariance_RangeInpFld</vt:lpstr>
      <vt:lpstr>'RES_pt-BR'!dbCovariance_RangeInpFld</vt:lpstr>
      <vt:lpstr>'RES_pt-PT'!dbCovariance_RangeInpFld</vt:lpstr>
      <vt:lpstr>'RES_ro-RO'!dbCovariance_RangeInpFld</vt:lpstr>
      <vt:lpstr>'RES_ru-RU'!dbCovariance_RangeInpFld</vt:lpstr>
      <vt:lpstr>'RES_sl-SI'!dbCovariance_RangeInpFld</vt:lpstr>
      <vt:lpstr>'RES_sv-SE'!dbCovariance_RangeInpFld</vt:lpstr>
      <vt:lpstr>'RES_tr-TR'!dbCovariance_RangeInpFld</vt:lpstr>
      <vt:lpstr>'RES_zh-CN'!dbCovariance_RangeInpFld</vt:lpstr>
      <vt:lpstr>'RES_zh-TW'!dbCovariance_RangeInpFld</vt:lpstr>
      <vt:lpstr>'RES_cs-CZ'!dbCovariance_RangeRef</vt:lpstr>
      <vt:lpstr>'RES_da-DK'!dbCovariance_RangeRef</vt:lpstr>
      <vt:lpstr>'RES_de-DE'!dbCovariance_RangeRef</vt:lpstr>
      <vt:lpstr>'RES_el-GR'!dbCovariance_RangeRef</vt:lpstr>
      <vt:lpstr>'RES_en-US'!dbCovariance_RangeRef</vt:lpstr>
      <vt:lpstr>'RES_es-ES'!dbCovariance_RangeRef</vt:lpstr>
      <vt:lpstr>'RES_fi-FI'!dbCovariance_RangeRef</vt:lpstr>
      <vt:lpstr>'RES_fr-FR'!dbCovariance_RangeRef</vt:lpstr>
      <vt:lpstr>'RES_hr-HR'!dbCovariance_RangeRef</vt:lpstr>
      <vt:lpstr>'RES_hu-HU'!dbCovariance_RangeRef</vt:lpstr>
      <vt:lpstr>'RES_it-IT'!dbCovariance_RangeRef</vt:lpstr>
      <vt:lpstr>'RES_ja-JP'!dbCovariance_RangeRef</vt:lpstr>
      <vt:lpstr>'RES_ko-KR'!dbCovariance_RangeRef</vt:lpstr>
      <vt:lpstr>'RES_lv-LV'!dbCovariance_RangeRef</vt:lpstr>
      <vt:lpstr>'RES_nb-NO'!dbCovariance_RangeRef</vt:lpstr>
      <vt:lpstr>'RES_nl-NL'!dbCovariance_RangeRef</vt:lpstr>
      <vt:lpstr>'RES_pl-PL'!dbCovariance_RangeRef</vt:lpstr>
      <vt:lpstr>'RES_pt-BR'!dbCovariance_RangeRef</vt:lpstr>
      <vt:lpstr>'RES_pt-PT'!dbCovariance_RangeRef</vt:lpstr>
      <vt:lpstr>'RES_ro-RO'!dbCovariance_RangeRef</vt:lpstr>
      <vt:lpstr>'RES_ru-RU'!dbCovariance_RangeRef</vt:lpstr>
      <vt:lpstr>'RES_sl-SI'!dbCovariance_RangeRef</vt:lpstr>
      <vt:lpstr>'RES_sv-SE'!dbCovariance_RangeRef</vt:lpstr>
      <vt:lpstr>'RES_tr-TR'!dbCovariance_RangeRef</vt:lpstr>
      <vt:lpstr>'RES_zh-CN'!dbCovariance_RangeRef</vt:lpstr>
      <vt:lpstr>'RES_zh-TW'!dbCovariance_RangeRef</vt:lpstr>
      <vt:lpstr>'RES_cs-CZ'!dbCovariance_RCSelect</vt:lpstr>
      <vt:lpstr>'RES_da-DK'!dbCovariance_RCSelect</vt:lpstr>
      <vt:lpstr>'RES_de-DE'!dbCovariance_RCSelect</vt:lpstr>
      <vt:lpstr>'RES_el-GR'!dbCovariance_RCSelect</vt:lpstr>
      <vt:lpstr>'RES_en-US'!dbCovariance_RCSelect</vt:lpstr>
      <vt:lpstr>'RES_es-ES'!dbCovariance_RCSelect</vt:lpstr>
      <vt:lpstr>'RES_fi-FI'!dbCovariance_RCSelect</vt:lpstr>
      <vt:lpstr>'RES_fr-FR'!dbCovariance_RCSelect</vt:lpstr>
      <vt:lpstr>'RES_hr-HR'!dbCovariance_RCSelect</vt:lpstr>
      <vt:lpstr>'RES_hu-HU'!dbCovariance_RCSelect</vt:lpstr>
      <vt:lpstr>'RES_it-IT'!dbCovariance_RCSelect</vt:lpstr>
      <vt:lpstr>'RES_ja-JP'!dbCovariance_RCSelect</vt:lpstr>
      <vt:lpstr>'RES_ko-KR'!dbCovariance_RCSelect</vt:lpstr>
      <vt:lpstr>'RES_lv-LV'!dbCovariance_RCSelect</vt:lpstr>
      <vt:lpstr>'RES_nb-NO'!dbCovariance_RCSelect</vt:lpstr>
      <vt:lpstr>'RES_nl-NL'!dbCovariance_RCSelect</vt:lpstr>
      <vt:lpstr>'RES_pl-PL'!dbCovariance_RCSelect</vt:lpstr>
      <vt:lpstr>'RES_pt-BR'!dbCovariance_RCSelect</vt:lpstr>
      <vt:lpstr>'RES_pt-PT'!dbCovariance_RCSelect</vt:lpstr>
      <vt:lpstr>'RES_ro-RO'!dbCovariance_RCSelect</vt:lpstr>
      <vt:lpstr>'RES_ru-RU'!dbCovariance_RCSelect</vt:lpstr>
      <vt:lpstr>'RES_sl-SI'!dbCovariance_RCSelect</vt:lpstr>
      <vt:lpstr>'RES_sv-SE'!dbCovariance_RCSelect</vt:lpstr>
      <vt:lpstr>'RES_tr-TR'!dbCovariance_RCSelect</vt:lpstr>
      <vt:lpstr>'RES_zh-CN'!dbCovariance_RCSelect</vt:lpstr>
      <vt:lpstr>'RES_zh-TW'!dbCovariance_RCSelect</vt:lpstr>
      <vt:lpstr>'RES_cs-CZ'!dbCovarianceTitle</vt:lpstr>
      <vt:lpstr>'RES_da-DK'!dbCovarianceTitle</vt:lpstr>
      <vt:lpstr>'RES_de-DE'!dbCovarianceTitle</vt:lpstr>
      <vt:lpstr>'RES_el-GR'!dbCovarianceTitle</vt:lpstr>
      <vt:lpstr>'RES_en-US'!dbCovarianceTitle</vt:lpstr>
      <vt:lpstr>'RES_es-ES'!dbCovarianceTitle</vt:lpstr>
      <vt:lpstr>'RES_fi-FI'!dbCovarianceTitle</vt:lpstr>
      <vt:lpstr>'RES_fr-FR'!dbCovarianceTitle</vt:lpstr>
      <vt:lpstr>'RES_hr-HR'!dbCovarianceTitle</vt:lpstr>
      <vt:lpstr>'RES_hu-HU'!dbCovarianceTitle</vt:lpstr>
      <vt:lpstr>'RES_it-IT'!dbCovarianceTitle</vt:lpstr>
      <vt:lpstr>'RES_ja-JP'!dbCovarianceTitle</vt:lpstr>
      <vt:lpstr>'RES_ko-KR'!dbCovarianceTitle</vt:lpstr>
      <vt:lpstr>'RES_lv-LV'!dbCovarianceTitle</vt:lpstr>
      <vt:lpstr>'RES_nb-NO'!dbCovarianceTitle</vt:lpstr>
      <vt:lpstr>'RES_nl-NL'!dbCovarianceTitle</vt:lpstr>
      <vt:lpstr>'RES_pl-PL'!dbCovarianceTitle</vt:lpstr>
      <vt:lpstr>'RES_pt-BR'!dbCovarianceTitle</vt:lpstr>
      <vt:lpstr>'RES_pt-PT'!dbCovarianceTitle</vt:lpstr>
      <vt:lpstr>'RES_ro-RO'!dbCovarianceTitle</vt:lpstr>
      <vt:lpstr>'RES_ru-RU'!dbCovarianceTitle</vt:lpstr>
      <vt:lpstr>'RES_sl-SI'!dbCovarianceTitle</vt:lpstr>
      <vt:lpstr>'RES_sv-SE'!dbCovarianceTitle</vt:lpstr>
      <vt:lpstr>'RES_tr-TR'!dbCovarianceTitle</vt:lpstr>
      <vt:lpstr>'RES_zh-CN'!dbCovarianceTitle</vt:lpstr>
      <vt:lpstr>'RES_zh-TW'!dbCovarianceTitle</vt:lpstr>
      <vt:lpstr>'RES_cs-CZ'!dbDescrip</vt:lpstr>
      <vt:lpstr>'RES_da-DK'!dbDescrip</vt:lpstr>
      <vt:lpstr>'RES_de-DE'!dbDescrip</vt:lpstr>
      <vt:lpstr>'RES_el-GR'!dbDescrip</vt:lpstr>
      <vt:lpstr>'RES_en-US'!dbDescrip</vt:lpstr>
      <vt:lpstr>'RES_es-ES'!dbDescrip</vt:lpstr>
      <vt:lpstr>'RES_fi-FI'!dbDescrip</vt:lpstr>
      <vt:lpstr>'RES_fr-FR'!dbDescrip</vt:lpstr>
      <vt:lpstr>'RES_hr-HR'!dbDescrip</vt:lpstr>
      <vt:lpstr>'RES_hu-HU'!dbDescrip</vt:lpstr>
      <vt:lpstr>'RES_it-IT'!dbDescrip</vt:lpstr>
      <vt:lpstr>'RES_ja-JP'!dbDescrip</vt:lpstr>
      <vt:lpstr>'RES_ko-KR'!dbDescrip</vt:lpstr>
      <vt:lpstr>'RES_lv-LV'!dbDescrip</vt:lpstr>
      <vt:lpstr>'RES_nb-NO'!dbDescrip</vt:lpstr>
      <vt:lpstr>'RES_nl-NL'!dbDescrip</vt:lpstr>
      <vt:lpstr>'RES_pl-PL'!dbDescrip</vt:lpstr>
      <vt:lpstr>'RES_pt-BR'!dbDescrip</vt:lpstr>
      <vt:lpstr>'RES_pt-PT'!dbDescrip</vt:lpstr>
      <vt:lpstr>'RES_ro-RO'!dbDescrip</vt:lpstr>
      <vt:lpstr>'RES_ru-RU'!dbDescrip</vt:lpstr>
      <vt:lpstr>'RES_sl-SI'!dbDescrip</vt:lpstr>
      <vt:lpstr>'RES_sv-SE'!dbDescrip</vt:lpstr>
      <vt:lpstr>'RES_tr-TR'!dbDescrip</vt:lpstr>
      <vt:lpstr>'RES_zh-CN'!dbDescrip</vt:lpstr>
      <vt:lpstr>'RES_zh-TW'!dbDescrip</vt:lpstr>
      <vt:lpstr>'RES_cs-CZ'!dbDescrip_Confidence</vt:lpstr>
      <vt:lpstr>'RES_da-DK'!dbDescrip_Confidence</vt:lpstr>
      <vt:lpstr>'RES_de-DE'!dbDescrip_Confidence</vt:lpstr>
      <vt:lpstr>'RES_el-GR'!dbDescrip_Confidence</vt:lpstr>
      <vt:lpstr>'RES_en-US'!dbDescrip_Confidence</vt:lpstr>
      <vt:lpstr>'RES_es-ES'!dbDescrip_Confidence</vt:lpstr>
      <vt:lpstr>'RES_fi-FI'!dbDescrip_Confidence</vt:lpstr>
      <vt:lpstr>'RES_fr-FR'!dbDescrip_Confidence</vt:lpstr>
      <vt:lpstr>'RES_hr-HR'!dbDescrip_Confidence</vt:lpstr>
      <vt:lpstr>'RES_hu-HU'!dbDescrip_Confidence</vt:lpstr>
      <vt:lpstr>'RES_it-IT'!dbDescrip_Confidence</vt:lpstr>
      <vt:lpstr>'RES_ja-JP'!dbDescrip_Confidence</vt:lpstr>
      <vt:lpstr>'RES_ko-KR'!dbDescrip_Confidence</vt:lpstr>
      <vt:lpstr>'RES_lv-LV'!dbDescrip_Confidence</vt:lpstr>
      <vt:lpstr>'RES_nb-NO'!dbDescrip_Confidence</vt:lpstr>
      <vt:lpstr>'RES_nl-NL'!dbDescrip_Confidence</vt:lpstr>
      <vt:lpstr>'RES_pl-PL'!dbDescrip_Confidence</vt:lpstr>
      <vt:lpstr>'RES_pt-BR'!dbDescrip_Confidence</vt:lpstr>
      <vt:lpstr>'RES_pt-PT'!dbDescrip_Confidence</vt:lpstr>
      <vt:lpstr>'RES_ro-RO'!dbDescrip_Confidence</vt:lpstr>
      <vt:lpstr>'RES_ru-RU'!dbDescrip_Confidence</vt:lpstr>
      <vt:lpstr>'RES_sl-SI'!dbDescrip_Confidence</vt:lpstr>
      <vt:lpstr>'RES_sv-SE'!dbDescrip_Confidence</vt:lpstr>
      <vt:lpstr>'RES_tr-TR'!dbDescrip_Confidence</vt:lpstr>
      <vt:lpstr>'RES_zh-CN'!dbDescrip_Confidence</vt:lpstr>
      <vt:lpstr>'RES_zh-TW'!dbDescrip_Confidence</vt:lpstr>
      <vt:lpstr>'RES_cs-CZ'!dbDescrip_ConfidenceChkBox</vt:lpstr>
      <vt:lpstr>'RES_da-DK'!dbDescrip_ConfidenceChkBox</vt:lpstr>
      <vt:lpstr>'RES_de-DE'!dbDescrip_ConfidenceChkBox</vt:lpstr>
      <vt:lpstr>'RES_el-GR'!dbDescrip_ConfidenceChkBox</vt:lpstr>
      <vt:lpstr>'RES_en-US'!dbDescrip_ConfidenceChkBox</vt:lpstr>
      <vt:lpstr>'RES_es-ES'!dbDescrip_ConfidenceChkBox</vt:lpstr>
      <vt:lpstr>'RES_fi-FI'!dbDescrip_ConfidenceChkBox</vt:lpstr>
      <vt:lpstr>'RES_fr-FR'!dbDescrip_ConfidenceChkBox</vt:lpstr>
      <vt:lpstr>'RES_hr-HR'!dbDescrip_ConfidenceChkBox</vt:lpstr>
      <vt:lpstr>'RES_hu-HU'!dbDescrip_ConfidenceChkBox</vt:lpstr>
      <vt:lpstr>'RES_it-IT'!dbDescrip_ConfidenceChkBox</vt:lpstr>
      <vt:lpstr>'RES_ja-JP'!dbDescrip_ConfidenceChkBox</vt:lpstr>
      <vt:lpstr>'RES_ko-KR'!dbDescrip_ConfidenceChkBox</vt:lpstr>
      <vt:lpstr>'RES_lv-LV'!dbDescrip_ConfidenceChkBox</vt:lpstr>
      <vt:lpstr>'RES_nb-NO'!dbDescrip_ConfidenceChkBox</vt:lpstr>
      <vt:lpstr>'RES_nl-NL'!dbDescrip_ConfidenceChkBox</vt:lpstr>
      <vt:lpstr>'RES_pl-PL'!dbDescrip_ConfidenceChkBox</vt:lpstr>
      <vt:lpstr>'RES_pt-BR'!dbDescrip_ConfidenceChkBox</vt:lpstr>
      <vt:lpstr>'RES_pt-PT'!dbDescrip_ConfidenceChkBox</vt:lpstr>
      <vt:lpstr>'RES_ro-RO'!dbDescrip_ConfidenceChkBox</vt:lpstr>
      <vt:lpstr>'RES_ru-RU'!dbDescrip_ConfidenceChkBox</vt:lpstr>
      <vt:lpstr>'RES_sl-SI'!dbDescrip_ConfidenceChkBox</vt:lpstr>
      <vt:lpstr>'RES_sv-SE'!dbDescrip_ConfidenceChkBox</vt:lpstr>
      <vt:lpstr>'RES_tr-TR'!dbDescrip_ConfidenceChkBox</vt:lpstr>
      <vt:lpstr>'RES_zh-CN'!dbDescrip_ConfidenceChkBox</vt:lpstr>
      <vt:lpstr>'RES_zh-TW'!dbDescrip_ConfidenceChkBox</vt:lpstr>
      <vt:lpstr>'RES_cs-CZ'!dbDescrip_ConfidenceInpFld</vt:lpstr>
      <vt:lpstr>'RES_da-DK'!dbDescrip_ConfidenceInpFld</vt:lpstr>
      <vt:lpstr>'RES_de-DE'!dbDescrip_ConfidenceInpFld</vt:lpstr>
      <vt:lpstr>'RES_el-GR'!dbDescrip_ConfidenceInpFld</vt:lpstr>
      <vt:lpstr>'RES_en-US'!dbDescrip_ConfidenceInpFld</vt:lpstr>
      <vt:lpstr>'RES_es-ES'!dbDescrip_ConfidenceInpFld</vt:lpstr>
      <vt:lpstr>'RES_fi-FI'!dbDescrip_ConfidenceInpFld</vt:lpstr>
      <vt:lpstr>'RES_fr-FR'!dbDescrip_ConfidenceInpFld</vt:lpstr>
      <vt:lpstr>'RES_hr-HR'!dbDescrip_ConfidenceInpFld</vt:lpstr>
      <vt:lpstr>'RES_hu-HU'!dbDescrip_ConfidenceInpFld</vt:lpstr>
      <vt:lpstr>'RES_it-IT'!dbDescrip_ConfidenceInpFld</vt:lpstr>
      <vt:lpstr>'RES_ja-JP'!dbDescrip_ConfidenceInpFld</vt:lpstr>
      <vt:lpstr>'RES_ko-KR'!dbDescrip_ConfidenceInpFld</vt:lpstr>
      <vt:lpstr>'RES_lv-LV'!dbDescrip_ConfidenceInpFld</vt:lpstr>
      <vt:lpstr>'RES_nb-NO'!dbDescrip_ConfidenceInpFld</vt:lpstr>
      <vt:lpstr>'RES_nl-NL'!dbDescrip_ConfidenceInpFld</vt:lpstr>
      <vt:lpstr>'RES_pl-PL'!dbDescrip_ConfidenceInpFld</vt:lpstr>
      <vt:lpstr>'RES_pt-BR'!dbDescrip_ConfidenceInpFld</vt:lpstr>
      <vt:lpstr>'RES_pt-PT'!dbDescrip_ConfidenceInpFld</vt:lpstr>
      <vt:lpstr>'RES_ro-RO'!dbDescrip_ConfidenceInpFld</vt:lpstr>
      <vt:lpstr>'RES_ru-RU'!dbDescrip_ConfidenceInpFld</vt:lpstr>
      <vt:lpstr>'RES_sl-SI'!dbDescrip_ConfidenceInpFld</vt:lpstr>
      <vt:lpstr>'RES_sv-SE'!dbDescrip_ConfidenceInpFld</vt:lpstr>
      <vt:lpstr>'RES_tr-TR'!dbDescrip_ConfidenceInpFld</vt:lpstr>
      <vt:lpstr>'RES_zh-CN'!dbDescrip_ConfidenceInpFld</vt:lpstr>
      <vt:lpstr>'RES_zh-TW'!dbDescrip_ConfidenceInpFld</vt:lpstr>
      <vt:lpstr>'RES_cs-CZ'!dbDescrip_InRange</vt:lpstr>
      <vt:lpstr>'RES_da-DK'!dbDescrip_InRange</vt:lpstr>
      <vt:lpstr>'RES_de-DE'!dbDescrip_InRange</vt:lpstr>
      <vt:lpstr>'RES_el-GR'!dbDescrip_InRange</vt:lpstr>
      <vt:lpstr>'RES_en-US'!dbDescrip_InRange</vt:lpstr>
      <vt:lpstr>'RES_es-ES'!dbDescrip_InRange</vt:lpstr>
      <vt:lpstr>'RES_fi-FI'!dbDescrip_InRange</vt:lpstr>
      <vt:lpstr>'RES_fr-FR'!dbDescrip_InRange</vt:lpstr>
      <vt:lpstr>'RES_hr-HR'!dbDescrip_InRange</vt:lpstr>
      <vt:lpstr>'RES_hu-HU'!dbDescrip_InRange</vt:lpstr>
      <vt:lpstr>'RES_it-IT'!dbDescrip_InRange</vt:lpstr>
      <vt:lpstr>'RES_ja-JP'!dbDescrip_InRange</vt:lpstr>
      <vt:lpstr>'RES_ko-KR'!dbDescrip_InRange</vt:lpstr>
      <vt:lpstr>'RES_lv-LV'!dbDescrip_InRange</vt:lpstr>
      <vt:lpstr>'RES_nb-NO'!dbDescrip_InRange</vt:lpstr>
      <vt:lpstr>'RES_nl-NL'!dbDescrip_InRange</vt:lpstr>
      <vt:lpstr>'RES_pl-PL'!dbDescrip_InRange</vt:lpstr>
      <vt:lpstr>'RES_pt-BR'!dbDescrip_InRange</vt:lpstr>
      <vt:lpstr>'RES_pt-PT'!dbDescrip_InRange</vt:lpstr>
      <vt:lpstr>'RES_ro-RO'!dbDescrip_InRange</vt:lpstr>
      <vt:lpstr>'RES_ru-RU'!dbDescrip_InRange</vt:lpstr>
      <vt:lpstr>'RES_sl-SI'!dbDescrip_InRange</vt:lpstr>
      <vt:lpstr>'RES_sv-SE'!dbDescrip_InRange</vt:lpstr>
      <vt:lpstr>'RES_tr-TR'!dbDescrip_InRange</vt:lpstr>
      <vt:lpstr>'RES_zh-CN'!dbDescrip_InRange</vt:lpstr>
      <vt:lpstr>'RES_zh-TW'!dbDescrip_InRange</vt:lpstr>
      <vt:lpstr>'RES_cs-CZ'!dbDescrip_KLarge</vt:lpstr>
      <vt:lpstr>'RES_da-DK'!dbDescrip_KLarge</vt:lpstr>
      <vt:lpstr>'RES_de-DE'!dbDescrip_KLarge</vt:lpstr>
      <vt:lpstr>'RES_el-GR'!dbDescrip_KLarge</vt:lpstr>
      <vt:lpstr>'RES_en-US'!dbDescrip_KLarge</vt:lpstr>
      <vt:lpstr>'RES_es-ES'!dbDescrip_KLarge</vt:lpstr>
      <vt:lpstr>'RES_fi-FI'!dbDescrip_KLarge</vt:lpstr>
      <vt:lpstr>'RES_fr-FR'!dbDescrip_KLarge</vt:lpstr>
      <vt:lpstr>'RES_hr-HR'!dbDescrip_KLarge</vt:lpstr>
      <vt:lpstr>'RES_hu-HU'!dbDescrip_KLarge</vt:lpstr>
      <vt:lpstr>'RES_it-IT'!dbDescrip_KLarge</vt:lpstr>
      <vt:lpstr>'RES_ja-JP'!dbDescrip_KLarge</vt:lpstr>
      <vt:lpstr>'RES_ko-KR'!dbDescrip_KLarge</vt:lpstr>
      <vt:lpstr>'RES_lv-LV'!dbDescrip_KLarge</vt:lpstr>
      <vt:lpstr>'RES_nb-NO'!dbDescrip_KLarge</vt:lpstr>
      <vt:lpstr>'RES_nl-NL'!dbDescrip_KLarge</vt:lpstr>
      <vt:lpstr>'RES_pl-PL'!dbDescrip_KLarge</vt:lpstr>
      <vt:lpstr>'RES_pt-BR'!dbDescrip_KLarge</vt:lpstr>
      <vt:lpstr>'RES_pt-PT'!dbDescrip_KLarge</vt:lpstr>
      <vt:lpstr>'RES_ro-RO'!dbDescrip_KLarge</vt:lpstr>
      <vt:lpstr>'RES_ru-RU'!dbDescrip_KLarge</vt:lpstr>
      <vt:lpstr>'RES_sl-SI'!dbDescrip_KLarge</vt:lpstr>
      <vt:lpstr>'RES_sv-SE'!dbDescrip_KLarge</vt:lpstr>
      <vt:lpstr>'RES_tr-TR'!dbDescrip_KLarge</vt:lpstr>
      <vt:lpstr>'RES_zh-CN'!dbDescrip_KLarge</vt:lpstr>
      <vt:lpstr>'RES_zh-TW'!dbDescrip_KLarge</vt:lpstr>
      <vt:lpstr>'RES_cs-CZ'!dbDescrip_KLargeChkBox</vt:lpstr>
      <vt:lpstr>'RES_da-DK'!dbDescrip_KLargeChkBox</vt:lpstr>
      <vt:lpstr>'RES_de-DE'!dbDescrip_KLargeChkBox</vt:lpstr>
      <vt:lpstr>'RES_el-GR'!dbDescrip_KLargeChkBox</vt:lpstr>
      <vt:lpstr>'RES_en-US'!dbDescrip_KLargeChkBox</vt:lpstr>
      <vt:lpstr>'RES_es-ES'!dbDescrip_KLargeChkBox</vt:lpstr>
      <vt:lpstr>'RES_fi-FI'!dbDescrip_KLargeChkBox</vt:lpstr>
      <vt:lpstr>'RES_fr-FR'!dbDescrip_KLargeChkBox</vt:lpstr>
      <vt:lpstr>'RES_hr-HR'!dbDescrip_KLargeChkBox</vt:lpstr>
      <vt:lpstr>'RES_hu-HU'!dbDescrip_KLargeChkBox</vt:lpstr>
      <vt:lpstr>'RES_it-IT'!dbDescrip_KLargeChkBox</vt:lpstr>
      <vt:lpstr>'RES_ja-JP'!dbDescrip_KLargeChkBox</vt:lpstr>
      <vt:lpstr>'RES_ko-KR'!dbDescrip_KLargeChkBox</vt:lpstr>
      <vt:lpstr>'RES_lv-LV'!dbDescrip_KLargeChkBox</vt:lpstr>
      <vt:lpstr>'RES_nb-NO'!dbDescrip_KLargeChkBox</vt:lpstr>
      <vt:lpstr>'RES_nl-NL'!dbDescrip_KLargeChkBox</vt:lpstr>
      <vt:lpstr>'RES_pl-PL'!dbDescrip_KLargeChkBox</vt:lpstr>
      <vt:lpstr>'RES_pt-BR'!dbDescrip_KLargeChkBox</vt:lpstr>
      <vt:lpstr>'RES_pt-PT'!dbDescrip_KLargeChkBox</vt:lpstr>
      <vt:lpstr>'RES_ro-RO'!dbDescrip_KLargeChkBox</vt:lpstr>
      <vt:lpstr>'RES_ru-RU'!dbDescrip_KLargeChkBox</vt:lpstr>
      <vt:lpstr>'RES_sl-SI'!dbDescrip_KLargeChkBox</vt:lpstr>
      <vt:lpstr>'RES_sv-SE'!dbDescrip_KLargeChkBox</vt:lpstr>
      <vt:lpstr>'RES_tr-TR'!dbDescrip_KLargeChkBox</vt:lpstr>
      <vt:lpstr>'RES_zh-CN'!dbDescrip_KLargeChkBox</vt:lpstr>
      <vt:lpstr>'RES_zh-TW'!dbDescrip_KLargeChkBox</vt:lpstr>
      <vt:lpstr>'RES_cs-CZ'!dbDescrip_KLargeInpFld</vt:lpstr>
      <vt:lpstr>'RES_da-DK'!dbDescrip_KLargeInpFld</vt:lpstr>
      <vt:lpstr>'RES_de-DE'!dbDescrip_KLargeInpFld</vt:lpstr>
      <vt:lpstr>'RES_el-GR'!dbDescrip_KLargeInpFld</vt:lpstr>
      <vt:lpstr>'RES_en-US'!dbDescrip_KLargeInpFld</vt:lpstr>
      <vt:lpstr>'RES_es-ES'!dbDescrip_KLargeInpFld</vt:lpstr>
      <vt:lpstr>'RES_fi-FI'!dbDescrip_KLargeInpFld</vt:lpstr>
      <vt:lpstr>'RES_fr-FR'!dbDescrip_KLargeInpFld</vt:lpstr>
      <vt:lpstr>'RES_hr-HR'!dbDescrip_KLargeInpFld</vt:lpstr>
      <vt:lpstr>'RES_hu-HU'!dbDescrip_KLargeInpFld</vt:lpstr>
      <vt:lpstr>'RES_it-IT'!dbDescrip_KLargeInpFld</vt:lpstr>
      <vt:lpstr>'RES_ja-JP'!dbDescrip_KLargeInpFld</vt:lpstr>
      <vt:lpstr>'RES_ko-KR'!dbDescrip_KLargeInpFld</vt:lpstr>
      <vt:lpstr>'RES_lv-LV'!dbDescrip_KLargeInpFld</vt:lpstr>
      <vt:lpstr>'RES_nb-NO'!dbDescrip_KLargeInpFld</vt:lpstr>
      <vt:lpstr>'RES_nl-NL'!dbDescrip_KLargeInpFld</vt:lpstr>
      <vt:lpstr>'RES_pl-PL'!dbDescrip_KLargeInpFld</vt:lpstr>
      <vt:lpstr>'RES_pt-BR'!dbDescrip_KLargeInpFld</vt:lpstr>
      <vt:lpstr>'RES_pt-PT'!dbDescrip_KLargeInpFld</vt:lpstr>
      <vt:lpstr>'RES_ro-RO'!dbDescrip_KLargeInpFld</vt:lpstr>
      <vt:lpstr>'RES_ru-RU'!dbDescrip_KLargeInpFld</vt:lpstr>
      <vt:lpstr>'RES_sl-SI'!dbDescrip_KLargeInpFld</vt:lpstr>
      <vt:lpstr>'RES_sv-SE'!dbDescrip_KLargeInpFld</vt:lpstr>
      <vt:lpstr>'RES_tr-TR'!dbDescrip_KLargeInpFld</vt:lpstr>
      <vt:lpstr>'RES_zh-CN'!dbDescrip_KLargeInpFld</vt:lpstr>
      <vt:lpstr>'RES_zh-TW'!dbDescrip_KLargeInpFld</vt:lpstr>
      <vt:lpstr>'RES_cs-CZ'!dbDescrip_KSmall</vt:lpstr>
      <vt:lpstr>'RES_da-DK'!dbDescrip_KSmall</vt:lpstr>
      <vt:lpstr>'RES_de-DE'!dbDescrip_KSmall</vt:lpstr>
      <vt:lpstr>'RES_el-GR'!dbDescrip_KSmall</vt:lpstr>
      <vt:lpstr>'RES_en-US'!dbDescrip_KSmall</vt:lpstr>
      <vt:lpstr>'RES_es-ES'!dbDescrip_KSmall</vt:lpstr>
      <vt:lpstr>'RES_fi-FI'!dbDescrip_KSmall</vt:lpstr>
      <vt:lpstr>'RES_fr-FR'!dbDescrip_KSmall</vt:lpstr>
      <vt:lpstr>'RES_hr-HR'!dbDescrip_KSmall</vt:lpstr>
      <vt:lpstr>'RES_hu-HU'!dbDescrip_KSmall</vt:lpstr>
      <vt:lpstr>'RES_it-IT'!dbDescrip_KSmall</vt:lpstr>
      <vt:lpstr>'RES_ja-JP'!dbDescrip_KSmall</vt:lpstr>
      <vt:lpstr>'RES_ko-KR'!dbDescrip_KSmall</vt:lpstr>
      <vt:lpstr>'RES_lv-LV'!dbDescrip_KSmall</vt:lpstr>
      <vt:lpstr>'RES_nb-NO'!dbDescrip_KSmall</vt:lpstr>
      <vt:lpstr>'RES_nl-NL'!dbDescrip_KSmall</vt:lpstr>
      <vt:lpstr>'RES_pl-PL'!dbDescrip_KSmall</vt:lpstr>
      <vt:lpstr>'RES_pt-BR'!dbDescrip_KSmall</vt:lpstr>
      <vt:lpstr>'RES_pt-PT'!dbDescrip_KSmall</vt:lpstr>
      <vt:lpstr>'RES_ro-RO'!dbDescrip_KSmall</vt:lpstr>
      <vt:lpstr>'RES_ru-RU'!dbDescrip_KSmall</vt:lpstr>
      <vt:lpstr>'RES_sl-SI'!dbDescrip_KSmall</vt:lpstr>
      <vt:lpstr>'RES_sv-SE'!dbDescrip_KSmall</vt:lpstr>
      <vt:lpstr>'RES_tr-TR'!dbDescrip_KSmall</vt:lpstr>
      <vt:lpstr>'RES_zh-CN'!dbDescrip_KSmall</vt:lpstr>
      <vt:lpstr>'RES_zh-TW'!dbDescrip_KSmall</vt:lpstr>
      <vt:lpstr>'RES_cs-CZ'!dbDescrip_KSmallChkBox</vt:lpstr>
      <vt:lpstr>'RES_da-DK'!dbDescrip_KSmallChkBox</vt:lpstr>
      <vt:lpstr>'RES_de-DE'!dbDescrip_KSmallChkBox</vt:lpstr>
      <vt:lpstr>'RES_el-GR'!dbDescrip_KSmallChkBox</vt:lpstr>
      <vt:lpstr>'RES_en-US'!dbDescrip_KSmallChkBox</vt:lpstr>
      <vt:lpstr>'RES_es-ES'!dbDescrip_KSmallChkBox</vt:lpstr>
      <vt:lpstr>'RES_fi-FI'!dbDescrip_KSmallChkBox</vt:lpstr>
      <vt:lpstr>'RES_fr-FR'!dbDescrip_KSmallChkBox</vt:lpstr>
      <vt:lpstr>'RES_hr-HR'!dbDescrip_KSmallChkBox</vt:lpstr>
      <vt:lpstr>'RES_hu-HU'!dbDescrip_KSmallChkBox</vt:lpstr>
      <vt:lpstr>'RES_it-IT'!dbDescrip_KSmallChkBox</vt:lpstr>
      <vt:lpstr>'RES_ja-JP'!dbDescrip_KSmallChkBox</vt:lpstr>
      <vt:lpstr>'RES_ko-KR'!dbDescrip_KSmallChkBox</vt:lpstr>
      <vt:lpstr>'RES_lv-LV'!dbDescrip_KSmallChkBox</vt:lpstr>
      <vt:lpstr>'RES_nb-NO'!dbDescrip_KSmallChkBox</vt:lpstr>
      <vt:lpstr>'RES_nl-NL'!dbDescrip_KSmallChkBox</vt:lpstr>
      <vt:lpstr>'RES_pl-PL'!dbDescrip_KSmallChkBox</vt:lpstr>
      <vt:lpstr>'RES_pt-BR'!dbDescrip_KSmallChkBox</vt:lpstr>
      <vt:lpstr>'RES_pt-PT'!dbDescrip_KSmallChkBox</vt:lpstr>
      <vt:lpstr>'RES_ro-RO'!dbDescrip_KSmallChkBox</vt:lpstr>
      <vt:lpstr>'RES_ru-RU'!dbDescrip_KSmallChkBox</vt:lpstr>
      <vt:lpstr>'RES_sl-SI'!dbDescrip_KSmallChkBox</vt:lpstr>
      <vt:lpstr>'RES_sv-SE'!dbDescrip_KSmallChkBox</vt:lpstr>
      <vt:lpstr>'RES_tr-TR'!dbDescrip_KSmallChkBox</vt:lpstr>
      <vt:lpstr>'RES_zh-CN'!dbDescrip_KSmallChkBox</vt:lpstr>
      <vt:lpstr>'RES_zh-TW'!dbDescrip_KSmallChkBox</vt:lpstr>
      <vt:lpstr>'RES_cs-CZ'!dbDescrip_KSmallInpFld</vt:lpstr>
      <vt:lpstr>'RES_da-DK'!dbDescrip_KSmallInpFld</vt:lpstr>
      <vt:lpstr>'RES_de-DE'!dbDescrip_KSmallInpFld</vt:lpstr>
      <vt:lpstr>'RES_el-GR'!dbDescrip_KSmallInpFld</vt:lpstr>
      <vt:lpstr>'RES_en-US'!dbDescrip_KSmallInpFld</vt:lpstr>
      <vt:lpstr>'RES_es-ES'!dbDescrip_KSmallInpFld</vt:lpstr>
      <vt:lpstr>'RES_fi-FI'!dbDescrip_KSmallInpFld</vt:lpstr>
      <vt:lpstr>'RES_fr-FR'!dbDescrip_KSmallInpFld</vt:lpstr>
      <vt:lpstr>'RES_hr-HR'!dbDescrip_KSmallInpFld</vt:lpstr>
      <vt:lpstr>'RES_hu-HU'!dbDescrip_KSmallInpFld</vt:lpstr>
      <vt:lpstr>'RES_it-IT'!dbDescrip_KSmallInpFld</vt:lpstr>
      <vt:lpstr>'RES_ja-JP'!dbDescrip_KSmallInpFld</vt:lpstr>
      <vt:lpstr>'RES_ko-KR'!dbDescrip_KSmallInpFld</vt:lpstr>
      <vt:lpstr>'RES_lv-LV'!dbDescrip_KSmallInpFld</vt:lpstr>
      <vt:lpstr>'RES_nb-NO'!dbDescrip_KSmallInpFld</vt:lpstr>
      <vt:lpstr>'RES_nl-NL'!dbDescrip_KSmallInpFld</vt:lpstr>
      <vt:lpstr>'RES_pl-PL'!dbDescrip_KSmallInpFld</vt:lpstr>
      <vt:lpstr>'RES_pt-BR'!dbDescrip_KSmallInpFld</vt:lpstr>
      <vt:lpstr>'RES_pt-PT'!dbDescrip_KSmallInpFld</vt:lpstr>
      <vt:lpstr>'RES_ro-RO'!dbDescrip_KSmallInpFld</vt:lpstr>
      <vt:lpstr>'RES_ru-RU'!dbDescrip_KSmallInpFld</vt:lpstr>
      <vt:lpstr>'RES_sl-SI'!dbDescrip_KSmallInpFld</vt:lpstr>
      <vt:lpstr>'RES_sv-SE'!dbDescrip_KSmallInpFld</vt:lpstr>
      <vt:lpstr>'RES_tr-TR'!dbDescrip_KSmallInpFld</vt:lpstr>
      <vt:lpstr>'RES_zh-CN'!dbDescrip_KSmallInpFld</vt:lpstr>
      <vt:lpstr>'RES_zh-TW'!dbDescrip_KSmallInpFld</vt:lpstr>
      <vt:lpstr>'RES_cs-CZ'!dbDescrip_LabelText</vt:lpstr>
      <vt:lpstr>'RES_da-DK'!dbDescrip_LabelText</vt:lpstr>
      <vt:lpstr>'RES_de-DE'!dbDescrip_LabelText</vt:lpstr>
      <vt:lpstr>'RES_el-GR'!dbDescrip_LabelText</vt:lpstr>
      <vt:lpstr>'RES_en-US'!dbDescrip_LabelText</vt:lpstr>
      <vt:lpstr>'RES_es-ES'!dbDescrip_LabelText</vt:lpstr>
      <vt:lpstr>'RES_fi-FI'!dbDescrip_LabelText</vt:lpstr>
      <vt:lpstr>'RES_fr-FR'!dbDescrip_LabelText</vt:lpstr>
      <vt:lpstr>'RES_hr-HR'!dbDescrip_LabelText</vt:lpstr>
      <vt:lpstr>'RES_hu-HU'!dbDescrip_LabelText</vt:lpstr>
      <vt:lpstr>'RES_it-IT'!dbDescrip_LabelText</vt:lpstr>
      <vt:lpstr>'RES_ja-JP'!dbDescrip_LabelText</vt:lpstr>
      <vt:lpstr>'RES_ko-KR'!dbDescrip_LabelText</vt:lpstr>
      <vt:lpstr>'RES_lv-LV'!dbDescrip_LabelText</vt:lpstr>
      <vt:lpstr>'RES_nb-NO'!dbDescrip_LabelText</vt:lpstr>
      <vt:lpstr>'RES_nl-NL'!dbDescrip_LabelText</vt:lpstr>
      <vt:lpstr>'RES_pl-PL'!dbDescrip_LabelText</vt:lpstr>
      <vt:lpstr>'RES_pt-BR'!dbDescrip_LabelText</vt:lpstr>
      <vt:lpstr>'RES_pt-PT'!dbDescrip_LabelText</vt:lpstr>
      <vt:lpstr>'RES_ro-RO'!dbDescrip_LabelText</vt:lpstr>
      <vt:lpstr>'RES_ru-RU'!dbDescrip_LabelText</vt:lpstr>
      <vt:lpstr>'RES_sl-SI'!dbDescrip_LabelText</vt:lpstr>
      <vt:lpstr>'RES_sv-SE'!dbDescrip_LabelText</vt:lpstr>
      <vt:lpstr>'RES_tr-TR'!dbDescrip_LabelText</vt:lpstr>
      <vt:lpstr>'RES_zh-CN'!dbDescrip_LabelText</vt:lpstr>
      <vt:lpstr>'RES_zh-TW'!dbDescrip_LabelText</vt:lpstr>
      <vt:lpstr>'RES_cs-CZ'!dbDescrip_LblChkBox</vt:lpstr>
      <vt:lpstr>'RES_da-DK'!dbDescrip_LblChkBox</vt:lpstr>
      <vt:lpstr>'RES_de-DE'!dbDescrip_LblChkBox</vt:lpstr>
      <vt:lpstr>'RES_el-GR'!dbDescrip_LblChkBox</vt:lpstr>
      <vt:lpstr>'RES_en-US'!dbDescrip_LblChkBox</vt:lpstr>
      <vt:lpstr>'RES_es-ES'!dbDescrip_LblChkBox</vt:lpstr>
      <vt:lpstr>'RES_fi-FI'!dbDescrip_LblChkBox</vt:lpstr>
      <vt:lpstr>'RES_fr-FR'!dbDescrip_LblChkBox</vt:lpstr>
      <vt:lpstr>'RES_hr-HR'!dbDescrip_LblChkBox</vt:lpstr>
      <vt:lpstr>'RES_hu-HU'!dbDescrip_LblChkBox</vt:lpstr>
      <vt:lpstr>'RES_it-IT'!dbDescrip_LblChkBox</vt:lpstr>
      <vt:lpstr>'RES_ja-JP'!dbDescrip_LblChkBox</vt:lpstr>
      <vt:lpstr>'RES_ko-KR'!dbDescrip_LblChkBox</vt:lpstr>
      <vt:lpstr>'RES_lv-LV'!dbDescrip_LblChkBox</vt:lpstr>
      <vt:lpstr>'RES_nb-NO'!dbDescrip_LblChkBox</vt:lpstr>
      <vt:lpstr>'RES_nl-NL'!dbDescrip_LblChkBox</vt:lpstr>
      <vt:lpstr>'RES_pl-PL'!dbDescrip_LblChkBox</vt:lpstr>
      <vt:lpstr>'RES_pt-BR'!dbDescrip_LblChkBox</vt:lpstr>
      <vt:lpstr>'RES_pt-PT'!dbDescrip_LblChkBox</vt:lpstr>
      <vt:lpstr>'RES_ro-RO'!dbDescrip_LblChkBox</vt:lpstr>
      <vt:lpstr>'RES_ru-RU'!dbDescrip_LblChkBox</vt:lpstr>
      <vt:lpstr>'RES_sl-SI'!dbDescrip_LblChkBox</vt:lpstr>
      <vt:lpstr>'RES_sv-SE'!dbDescrip_LblChkBox</vt:lpstr>
      <vt:lpstr>'RES_tr-TR'!dbDescrip_LblChkBox</vt:lpstr>
      <vt:lpstr>'RES_zh-CN'!dbDescrip_LblChkBox</vt:lpstr>
      <vt:lpstr>'RES_zh-TW'!dbDescrip_LblChkBox</vt:lpstr>
      <vt:lpstr>'RES_cs-CZ'!dbDescrip_OutOption</vt:lpstr>
      <vt:lpstr>'RES_da-DK'!dbDescrip_OutOption</vt:lpstr>
      <vt:lpstr>'RES_de-DE'!dbDescrip_OutOption</vt:lpstr>
      <vt:lpstr>'RES_el-GR'!dbDescrip_OutOption</vt:lpstr>
      <vt:lpstr>'RES_en-US'!dbDescrip_OutOption</vt:lpstr>
      <vt:lpstr>'RES_es-ES'!dbDescrip_OutOption</vt:lpstr>
      <vt:lpstr>'RES_fi-FI'!dbDescrip_OutOption</vt:lpstr>
      <vt:lpstr>'RES_fr-FR'!dbDescrip_OutOption</vt:lpstr>
      <vt:lpstr>'RES_hr-HR'!dbDescrip_OutOption</vt:lpstr>
      <vt:lpstr>'RES_hu-HU'!dbDescrip_OutOption</vt:lpstr>
      <vt:lpstr>'RES_it-IT'!dbDescrip_OutOption</vt:lpstr>
      <vt:lpstr>'RES_ja-JP'!dbDescrip_OutOption</vt:lpstr>
      <vt:lpstr>'RES_ko-KR'!dbDescrip_OutOption</vt:lpstr>
      <vt:lpstr>'RES_lv-LV'!dbDescrip_OutOption</vt:lpstr>
      <vt:lpstr>'RES_nb-NO'!dbDescrip_OutOption</vt:lpstr>
      <vt:lpstr>'RES_nl-NL'!dbDescrip_OutOption</vt:lpstr>
      <vt:lpstr>'RES_pl-PL'!dbDescrip_OutOption</vt:lpstr>
      <vt:lpstr>'RES_pt-BR'!dbDescrip_OutOption</vt:lpstr>
      <vt:lpstr>'RES_pt-PT'!dbDescrip_OutOption</vt:lpstr>
      <vt:lpstr>'RES_ro-RO'!dbDescrip_OutOption</vt:lpstr>
      <vt:lpstr>'RES_ru-RU'!dbDescrip_OutOption</vt:lpstr>
      <vt:lpstr>'RES_sl-SI'!dbDescrip_OutOption</vt:lpstr>
      <vt:lpstr>'RES_sv-SE'!dbDescrip_OutOption</vt:lpstr>
      <vt:lpstr>'RES_tr-TR'!dbDescrip_OutOption</vt:lpstr>
      <vt:lpstr>'RES_zh-CN'!dbDescrip_OutOption</vt:lpstr>
      <vt:lpstr>'RES_zh-TW'!dbDescrip_OutOption</vt:lpstr>
      <vt:lpstr>'RES_cs-CZ'!dbDescrip_PlyInpFld</vt:lpstr>
      <vt:lpstr>'RES_da-DK'!dbDescrip_PlyInpFld</vt:lpstr>
      <vt:lpstr>'RES_de-DE'!dbDescrip_PlyInpFld</vt:lpstr>
      <vt:lpstr>'RES_el-GR'!dbDescrip_PlyInpFld</vt:lpstr>
      <vt:lpstr>'RES_en-US'!dbDescrip_PlyInpFld</vt:lpstr>
      <vt:lpstr>'RES_es-ES'!dbDescrip_PlyInpFld</vt:lpstr>
      <vt:lpstr>'RES_fi-FI'!dbDescrip_PlyInpFld</vt:lpstr>
      <vt:lpstr>'RES_fr-FR'!dbDescrip_PlyInpFld</vt:lpstr>
      <vt:lpstr>'RES_hr-HR'!dbDescrip_PlyInpFld</vt:lpstr>
      <vt:lpstr>'RES_hu-HU'!dbDescrip_PlyInpFld</vt:lpstr>
      <vt:lpstr>'RES_it-IT'!dbDescrip_PlyInpFld</vt:lpstr>
      <vt:lpstr>'RES_ja-JP'!dbDescrip_PlyInpFld</vt:lpstr>
      <vt:lpstr>'RES_ko-KR'!dbDescrip_PlyInpFld</vt:lpstr>
      <vt:lpstr>'RES_lv-LV'!dbDescrip_PlyInpFld</vt:lpstr>
      <vt:lpstr>'RES_nb-NO'!dbDescrip_PlyInpFld</vt:lpstr>
      <vt:lpstr>'RES_nl-NL'!dbDescrip_PlyInpFld</vt:lpstr>
      <vt:lpstr>'RES_pl-PL'!dbDescrip_PlyInpFld</vt:lpstr>
      <vt:lpstr>'RES_pt-BR'!dbDescrip_PlyInpFld</vt:lpstr>
      <vt:lpstr>'RES_pt-PT'!dbDescrip_PlyInpFld</vt:lpstr>
      <vt:lpstr>'RES_ro-RO'!dbDescrip_PlyInpFld</vt:lpstr>
      <vt:lpstr>'RES_ru-RU'!dbDescrip_PlyInpFld</vt:lpstr>
      <vt:lpstr>'RES_sl-SI'!dbDescrip_PlyInpFld</vt:lpstr>
      <vt:lpstr>'RES_sv-SE'!dbDescrip_PlyInpFld</vt:lpstr>
      <vt:lpstr>'RES_tr-TR'!dbDescrip_PlyInpFld</vt:lpstr>
      <vt:lpstr>'RES_zh-CN'!dbDescrip_PlyInpFld</vt:lpstr>
      <vt:lpstr>'RES_zh-TW'!dbDescrip_PlyInpFld</vt:lpstr>
      <vt:lpstr>'RES_cs-CZ'!dbDescrip_PlyName</vt:lpstr>
      <vt:lpstr>'RES_da-DK'!dbDescrip_PlyName</vt:lpstr>
      <vt:lpstr>'RES_de-DE'!dbDescrip_PlyName</vt:lpstr>
      <vt:lpstr>'RES_el-GR'!dbDescrip_PlyName</vt:lpstr>
      <vt:lpstr>'RES_en-US'!dbDescrip_PlyName</vt:lpstr>
      <vt:lpstr>'RES_es-ES'!dbDescrip_PlyName</vt:lpstr>
      <vt:lpstr>'RES_fi-FI'!dbDescrip_PlyName</vt:lpstr>
      <vt:lpstr>'RES_fr-FR'!dbDescrip_PlyName</vt:lpstr>
      <vt:lpstr>'RES_hr-HR'!dbDescrip_PlyName</vt:lpstr>
      <vt:lpstr>'RES_hu-HU'!dbDescrip_PlyName</vt:lpstr>
      <vt:lpstr>'RES_it-IT'!dbDescrip_PlyName</vt:lpstr>
      <vt:lpstr>'RES_ja-JP'!dbDescrip_PlyName</vt:lpstr>
      <vt:lpstr>'RES_ko-KR'!dbDescrip_PlyName</vt:lpstr>
      <vt:lpstr>'RES_lv-LV'!dbDescrip_PlyName</vt:lpstr>
      <vt:lpstr>'RES_nb-NO'!dbDescrip_PlyName</vt:lpstr>
      <vt:lpstr>'RES_nl-NL'!dbDescrip_PlyName</vt:lpstr>
      <vt:lpstr>'RES_pl-PL'!dbDescrip_PlyName</vt:lpstr>
      <vt:lpstr>'RES_pt-BR'!dbDescrip_PlyName</vt:lpstr>
      <vt:lpstr>'RES_pt-PT'!dbDescrip_PlyName</vt:lpstr>
      <vt:lpstr>'RES_ro-RO'!dbDescrip_PlyName</vt:lpstr>
      <vt:lpstr>'RES_ru-RU'!dbDescrip_PlyName</vt:lpstr>
      <vt:lpstr>'RES_sl-SI'!dbDescrip_PlyName</vt:lpstr>
      <vt:lpstr>'RES_sv-SE'!dbDescrip_PlyName</vt:lpstr>
      <vt:lpstr>'RES_tr-TR'!dbDescrip_PlyName</vt:lpstr>
      <vt:lpstr>'RES_zh-CN'!dbDescrip_PlyName</vt:lpstr>
      <vt:lpstr>'RES_zh-TW'!dbDescrip_PlyName</vt:lpstr>
      <vt:lpstr>'RES_cs-CZ'!dbDescrip_RangeInpFld</vt:lpstr>
      <vt:lpstr>'RES_da-DK'!dbDescrip_RangeInpFld</vt:lpstr>
      <vt:lpstr>'RES_de-DE'!dbDescrip_RangeInpFld</vt:lpstr>
      <vt:lpstr>'RES_el-GR'!dbDescrip_RangeInpFld</vt:lpstr>
      <vt:lpstr>'RES_en-US'!dbDescrip_RangeInpFld</vt:lpstr>
      <vt:lpstr>'RES_es-ES'!dbDescrip_RangeInpFld</vt:lpstr>
      <vt:lpstr>'RES_fi-FI'!dbDescrip_RangeInpFld</vt:lpstr>
      <vt:lpstr>'RES_fr-FR'!dbDescrip_RangeInpFld</vt:lpstr>
      <vt:lpstr>'RES_hr-HR'!dbDescrip_RangeInpFld</vt:lpstr>
      <vt:lpstr>'RES_hu-HU'!dbDescrip_RangeInpFld</vt:lpstr>
      <vt:lpstr>'RES_it-IT'!dbDescrip_RangeInpFld</vt:lpstr>
      <vt:lpstr>'RES_ja-JP'!dbDescrip_RangeInpFld</vt:lpstr>
      <vt:lpstr>'RES_ko-KR'!dbDescrip_RangeInpFld</vt:lpstr>
      <vt:lpstr>'RES_lv-LV'!dbDescrip_RangeInpFld</vt:lpstr>
      <vt:lpstr>'RES_nb-NO'!dbDescrip_RangeInpFld</vt:lpstr>
      <vt:lpstr>'RES_nl-NL'!dbDescrip_RangeInpFld</vt:lpstr>
      <vt:lpstr>'RES_pl-PL'!dbDescrip_RangeInpFld</vt:lpstr>
      <vt:lpstr>'RES_pt-BR'!dbDescrip_RangeInpFld</vt:lpstr>
      <vt:lpstr>'RES_pt-PT'!dbDescrip_RangeInpFld</vt:lpstr>
      <vt:lpstr>'RES_ro-RO'!dbDescrip_RangeInpFld</vt:lpstr>
      <vt:lpstr>'RES_ru-RU'!dbDescrip_RangeInpFld</vt:lpstr>
      <vt:lpstr>'RES_sl-SI'!dbDescrip_RangeInpFld</vt:lpstr>
      <vt:lpstr>'RES_sv-SE'!dbDescrip_RangeInpFld</vt:lpstr>
      <vt:lpstr>'RES_tr-TR'!dbDescrip_RangeInpFld</vt:lpstr>
      <vt:lpstr>'RES_zh-CN'!dbDescrip_RangeInpFld</vt:lpstr>
      <vt:lpstr>'RES_zh-TW'!dbDescrip_RangeInpFld</vt:lpstr>
      <vt:lpstr>'RES_cs-CZ'!dbDescrip_RangeRef</vt:lpstr>
      <vt:lpstr>'RES_da-DK'!dbDescrip_RangeRef</vt:lpstr>
      <vt:lpstr>'RES_de-DE'!dbDescrip_RangeRef</vt:lpstr>
      <vt:lpstr>'RES_el-GR'!dbDescrip_RangeRef</vt:lpstr>
      <vt:lpstr>'RES_en-US'!dbDescrip_RangeRef</vt:lpstr>
      <vt:lpstr>'RES_es-ES'!dbDescrip_RangeRef</vt:lpstr>
      <vt:lpstr>'RES_fi-FI'!dbDescrip_RangeRef</vt:lpstr>
      <vt:lpstr>'RES_fr-FR'!dbDescrip_RangeRef</vt:lpstr>
      <vt:lpstr>'RES_hr-HR'!dbDescrip_RangeRef</vt:lpstr>
      <vt:lpstr>'RES_hu-HU'!dbDescrip_RangeRef</vt:lpstr>
      <vt:lpstr>'RES_it-IT'!dbDescrip_RangeRef</vt:lpstr>
      <vt:lpstr>'RES_ja-JP'!dbDescrip_RangeRef</vt:lpstr>
      <vt:lpstr>'RES_ko-KR'!dbDescrip_RangeRef</vt:lpstr>
      <vt:lpstr>'RES_lv-LV'!dbDescrip_RangeRef</vt:lpstr>
      <vt:lpstr>'RES_nb-NO'!dbDescrip_RangeRef</vt:lpstr>
      <vt:lpstr>'RES_nl-NL'!dbDescrip_RangeRef</vt:lpstr>
      <vt:lpstr>'RES_pl-PL'!dbDescrip_RangeRef</vt:lpstr>
      <vt:lpstr>'RES_pt-BR'!dbDescrip_RangeRef</vt:lpstr>
      <vt:lpstr>'RES_pt-PT'!dbDescrip_RangeRef</vt:lpstr>
      <vt:lpstr>'RES_ro-RO'!dbDescrip_RangeRef</vt:lpstr>
      <vt:lpstr>'RES_ru-RU'!dbDescrip_RangeRef</vt:lpstr>
      <vt:lpstr>'RES_sl-SI'!dbDescrip_RangeRef</vt:lpstr>
      <vt:lpstr>'RES_sv-SE'!dbDescrip_RangeRef</vt:lpstr>
      <vt:lpstr>'RES_tr-TR'!dbDescrip_RangeRef</vt:lpstr>
      <vt:lpstr>'RES_zh-CN'!dbDescrip_RangeRef</vt:lpstr>
      <vt:lpstr>'RES_zh-TW'!dbDescrip_RangeRef</vt:lpstr>
      <vt:lpstr>'RES_cs-CZ'!dbDescrip_RCSelect</vt:lpstr>
      <vt:lpstr>'RES_da-DK'!dbDescrip_RCSelect</vt:lpstr>
      <vt:lpstr>'RES_de-DE'!dbDescrip_RCSelect</vt:lpstr>
      <vt:lpstr>'RES_el-GR'!dbDescrip_RCSelect</vt:lpstr>
      <vt:lpstr>'RES_en-US'!dbDescrip_RCSelect</vt:lpstr>
      <vt:lpstr>'RES_es-ES'!dbDescrip_RCSelect</vt:lpstr>
      <vt:lpstr>'RES_fi-FI'!dbDescrip_RCSelect</vt:lpstr>
      <vt:lpstr>'RES_fr-FR'!dbDescrip_RCSelect</vt:lpstr>
      <vt:lpstr>'RES_hr-HR'!dbDescrip_RCSelect</vt:lpstr>
      <vt:lpstr>'RES_hu-HU'!dbDescrip_RCSelect</vt:lpstr>
      <vt:lpstr>'RES_it-IT'!dbDescrip_RCSelect</vt:lpstr>
      <vt:lpstr>'RES_ja-JP'!dbDescrip_RCSelect</vt:lpstr>
      <vt:lpstr>'RES_ko-KR'!dbDescrip_RCSelect</vt:lpstr>
      <vt:lpstr>'RES_lv-LV'!dbDescrip_RCSelect</vt:lpstr>
      <vt:lpstr>'RES_nb-NO'!dbDescrip_RCSelect</vt:lpstr>
      <vt:lpstr>'RES_nl-NL'!dbDescrip_RCSelect</vt:lpstr>
      <vt:lpstr>'RES_pl-PL'!dbDescrip_RCSelect</vt:lpstr>
      <vt:lpstr>'RES_pt-BR'!dbDescrip_RCSelect</vt:lpstr>
      <vt:lpstr>'RES_pt-PT'!dbDescrip_RCSelect</vt:lpstr>
      <vt:lpstr>'RES_ro-RO'!dbDescrip_RCSelect</vt:lpstr>
      <vt:lpstr>'RES_ru-RU'!dbDescrip_RCSelect</vt:lpstr>
      <vt:lpstr>'RES_sl-SI'!dbDescrip_RCSelect</vt:lpstr>
      <vt:lpstr>'RES_sv-SE'!dbDescrip_RCSelect</vt:lpstr>
      <vt:lpstr>'RES_tr-TR'!dbDescrip_RCSelect</vt:lpstr>
      <vt:lpstr>'RES_zh-CN'!dbDescrip_RCSelect</vt:lpstr>
      <vt:lpstr>'RES_zh-TW'!dbDescrip_RCSelect</vt:lpstr>
      <vt:lpstr>'RES_cs-CZ'!dbDescrip_SumStatChkBox</vt:lpstr>
      <vt:lpstr>'RES_da-DK'!dbDescrip_SumStatChkBox</vt:lpstr>
      <vt:lpstr>'RES_de-DE'!dbDescrip_SumStatChkBox</vt:lpstr>
      <vt:lpstr>'RES_el-GR'!dbDescrip_SumStatChkBox</vt:lpstr>
      <vt:lpstr>'RES_en-US'!dbDescrip_SumStatChkBox</vt:lpstr>
      <vt:lpstr>'RES_es-ES'!dbDescrip_SumStatChkBox</vt:lpstr>
      <vt:lpstr>'RES_fi-FI'!dbDescrip_SumStatChkBox</vt:lpstr>
      <vt:lpstr>'RES_fr-FR'!dbDescrip_SumStatChkBox</vt:lpstr>
      <vt:lpstr>'RES_hr-HR'!dbDescrip_SumStatChkBox</vt:lpstr>
      <vt:lpstr>'RES_hu-HU'!dbDescrip_SumStatChkBox</vt:lpstr>
      <vt:lpstr>'RES_it-IT'!dbDescrip_SumStatChkBox</vt:lpstr>
      <vt:lpstr>'RES_ja-JP'!dbDescrip_SumStatChkBox</vt:lpstr>
      <vt:lpstr>'RES_ko-KR'!dbDescrip_SumStatChkBox</vt:lpstr>
      <vt:lpstr>'RES_lv-LV'!dbDescrip_SumStatChkBox</vt:lpstr>
      <vt:lpstr>'RES_nb-NO'!dbDescrip_SumStatChkBox</vt:lpstr>
      <vt:lpstr>'RES_nl-NL'!dbDescrip_SumStatChkBox</vt:lpstr>
      <vt:lpstr>'RES_pl-PL'!dbDescrip_SumStatChkBox</vt:lpstr>
      <vt:lpstr>'RES_pt-BR'!dbDescrip_SumStatChkBox</vt:lpstr>
      <vt:lpstr>'RES_pt-PT'!dbDescrip_SumStatChkBox</vt:lpstr>
      <vt:lpstr>'RES_ro-RO'!dbDescrip_SumStatChkBox</vt:lpstr>
      <vt:lpstr>'RES_ru-RU'!dbDescrip_SumStatChkBox</vt:lpstr>
      <vt:lpstr>'RES_sl-SI'!dbDescrip_SumStatChkBox</vt:lpstr>
      <vt:lpstr>'RES_sv-SE'!dbDescrip_SumStatChkBox</vt:lpstr>
      <vt:lpstr>'RES_tr-TR'!dbDescrip_SumStatChkBox</vt:lpstr>
      <vt:lpstr>'RES_zh-CN'!dbDescrip_SumStatChkBox</vt:lpstr>
      <vt:lpstr>'RES_zh-TW'!dbDescrip_SumStatChkBox</vt:lpstr>
      <vt:lpstr>'RES_cs-CZ'!dbDescripTitle</vt:lpstr>
      <vt:lpstr>'RES_da-DK'!dbDescripTitle</vt:lpstr>
      <vt:lpstr>'RES_de-DE'!dbDescripTitle</vt:lpstr>
      <vt:lpstr>'RES_el-GR'!dbDescripTitle</vt:lpstr>
      <vt:lpstr>'RES_en-US'!dbDescripTitle</vt:lpstr>
      <vt:lpstr>'RES_es-ES'!dbDescripTitle</vt:lpstr>
      <vt:lpstr>'RES_fi-FI'!dbDescripTitle</vt:lpstr>
      <vt:lpstr>'RES_fr-FR'!dbDescripTitle</vt:lpstr>
      <vt:lpstr>'RES_hr-HR'!dbDescripTitle</vt:lpstr>
      <vt:lpstr>'RES_hu-HU'!dbDescripTitle</vt:lpstr>
      <vt:lpstr>'RES_it-IT'!dbDescripTitle</vt:lpstr>
      <vt:lpstr>'RES_ja-JP'!dbDescripTitle</vt:lpstr>
      <vt:lpstr>'RES_ko-KR'!dbDescripTitle</vt:lpstr>
      <vt:lpstr>'RES_lv-LV'!dbDescripTitle</vt:lpstr>
      <vt:lpstr>'RES_nb-NO'!dbDescripTitle</vt:lpstr>
      <vt:lpstr>'RES_nl-NL'!dbDescripTitle</vt:lpstr>
      <vt:lpstr>'RES_pl-PL'!dbDescripTitle</vt:lpstr>
      <vt:lpstr>'RES_pt-BR'!dbDescripTitle</vt:lpstr>
      <vt:lpstr>'RES_pt-PT'!dbDescripTitle</vt:lpstr>
      <vt:lpstr>'RES_ro-RO'!dbDescripTitle</vt:lpstr>
      <vt:lpstr>'RES_ru-RU'!dbDescripTitle</vt:lpstr>
      <vt:lpstr>'RES_sl-SI'!dbDescripTitle</vt:lpstr>
      <vt:lpstr>'RES_sv-SE'!dbDescripTitle</vt:lpstr>
      <vt:lpstr>'RES_tr-TR'!dbDescripTitle</vt:lpstr>
      <vt:lpstr>'RES_zh-CN'!dbDescripTitle</vt:lpstr>
      <vt:lpstr>'RES_zh-TW'!dbDescripTitle</vt:lpstr>
      <vt:lpstr>'RES_cs-CZ'!dbDiscrete</vt:lpstr>
      <vt:lpstr>'RES_da-DK'!dbDiscrete</vt:lpstr>
      <vt:lpstr>'RES_de-DE'!dbDiscrete</vt:lpstr>
      <vt:lpstr>'RES_el-GR'!dbDiscrete</vt:lpstr>
      <vt:lpstr>'RES_en-US'!dbDiscrete</vt:lpstr>
      <vt:lpstr>'RES_es-ES'!dbDiscrete</vt:lpstr>
      <vt:lpstr>'RES_fi-FI'!dbDiscrete</vt:lpstr>
      <vt:lpstr>'RES_fr-FR'!dbDiscrete</vt:lpstr>
      <vt:lpstr>'RES_hr-HR'!dbDiscrete</vt:lpstr>
      <vt:lpstr>'RES_hu-HU'!dbDiscrete</vt:lpstr>
      <vt:lpstr>'RES_it-IT'!dbDiscrete</vt:lpstr>
      <vt:lpstr>'RES_ja-JP'!dbDiscrete</vt:lpstr>
      <vt:lpstr>'RES_ko-KR'!dbDiscrete</vt:lpstr>
      <vt:lpstr>'RES_lv-LV'!dbDiscrete</vt:lpstr>
      <vt:lpstr>'RES_nb-NO'!dbDiscrete</vt:lpstr>
      <vt:lpstr>'RES_nl-NL'!dbDiscrete</vt:lpstr>
      <vt:lpstr>'RES_pl-PL'!dbDiscrete</vt:lpstr>
      <vt:lpstr>'RES_pt-BR'!dbDiscrete</vt:lpstr>
      <vt:lpstr>'RES_pt-PT'!dbDiscrete</vt:lpstr>
      <vt:lpstr>'RES_ro-RO'!dbDiscrete</vt:lpstr>
      <vt:lpstr>'RES_ru-RU'!dbDiscrete</vt:lpstr>
      <vt:lpstr>'RES_sl-SI'!dbDiscrete</vt:lpstr>
      <vt:lpstr>'RES_sv-SE'!dbDiscrete</vt:lpstr>
      <vt:lpstr>'RES_tr-TR'!dbDiscrete</vt:lpstr>
      <vt:lpstr>'RES_zh-CN'!dbDiscrete</vt:lpstr>
      <vt:lpstr>'RES_zh-TW'!dbDiscrete</vt:lpstr>
      <vt:lpstr>'RES_cs-CZ'!dbDiscrete_InRange</vt:lpstr>
      <vt:lpstr>'RES_da-DK'!dbDiscrete_InRange</vt:lpstr>
      <vt:lpstr>'RES_de-DE'!dbDiscrete_InRange</vt:lpstr>
      <vt:lpstr>'RES_el-GR'!dbDiscrete_InRange</vt:lpstr>
      <vt:lpstr>'RES_en-US'!dbDiscrete_InRange</vt:lpstr>
      <vt:lpstr>'RES_es-ES'!dbDiscrete_InRange</vt:lpstr>
      <vt:lpstr>'RES_fi-FI'!dbDiscrete_InRange</vt:lpstr>
      <vt:lpstr>'RES_fr-FR'!dbDiscrete_InRange</vt:lpstr>
      <vt:lpstr>'RES_hr-HR'!dbDiscrete_InRange</vt:lpstr>
      <vt:lpstr>'RES_hu-HU'!dbDiscrete_InRange</vt:lpstr>
      <vt:lpstr>'RES_it-IT'!dbDiscrete_InRange</vt:lpstr>
      <vt:lpstr>'RES_ja-JP'!dbDiscrete_InRange</vt:lpstr>
      <vt:lpstr>'RES_ko-KR'!dbDiscrete_InRange</vt:lpstr>
      <vt:lpstr>'RES_lv-LV'!dbDiscrete_InRange</vt:lpstr>
      <vt:lpstr>'RES_nb-NO'!dbDiscrete_InRange</vt:lpstr>
      <vt:lpstr>'RES_nl-NL'!dbDiscrete_InRange</vt:lpstr>
      <vt:lpstr>'RES_pl-PL'!dbDiscrete_InRange</vt:lpstr>
      <vt:lpstr>'RES_pt-BR'!dbDiscrete_InRange</vt:lpstr>
      <vt:lpstr>'RES_pt-PT'!dbDiscrete_InRange</vt:lpstr>
      <vt:lpstr>'RES_ro-RO'!dbDiscrete_InRange</vt:lpstr>
      <vt:lpstr>'RES_ru-RU'!dbDiscrete_InRange</vt:lpstr>
      <vt:lpstr>'RES_sl-SI'!dbDiscrete_InRange</vt:lpstr>
      <vt:lpstr>'RES_sv-SE'!dbDiscrete_InRange</vt:lpstr>
      <vt:lpstr>'RES_tr-TR'!dbDiscrete_InRange</vt:lpstr>
      <vt:lpstr>'RES_zh-CN'!dbDiscrete_InRange</vt:lpstr>
      <vt:lpstr>'RES_zh-TW'!dbDiscrete_InRange</vt:lpstr>
      <vt:lpstr>'RES_cs-CZ'!dbExponent</vt:lpstr>
      <vt:lpstr>'RES_da-DK'!dbExponent</vt:lpstr>
      <vt:lpstr>'RES_de-DE'!dbExponent</vt:lpstr>
      <vt:lpstr>'RES_el-GR'!dbExponent</vt:lpstr>
      <vt:lpstr>'RES_en-US'!dbExponent</vt:lpstr>
      <vt:lpstr>'RES_es-ES'!dbExponent</vt:lpstr>
      <vt:lpstr>'RES_fi-FI'!dbExponent</vt:lpstr>
      <vt:lpstr>'RES_fr-FR'!dbExponent</vt:lpstr>
      <vt:lpstr>'RES_hr-HR'!dbExponent</vt:lpstr>
      <vt:lpstr>'RES_hu-HU'!dbExponent</vt:lpstr>
      <vt:lpstr>'RES_it-IT'!dbExponent</vt:lpstr>
      <vt:lpstr>'RES_ja-JP'!dbExponent</vt:lpstr>
      <vt:lpstr>'RES_ko-KR'!dbExponent</vt:lpstr>
      <vt:lpstr>'RES_lv-LV'!dbExponent</vt:lpstr>
      <vt:lpstr>'RES_nb-NO'!dbExponent</vt:lpstr>
      <vt:lpstr>'RES_nl-NL'!dbExponent</vt:lpstr>
      <vt:lpstr>'RES_pl-PL'!dbExponent</vt:lpstr>
      <vt:lpstr>'RES_pt-BR'!dbExponent</vt:lpstr>
      <vt:lpstr>'RES_pt-PT'!dbExponent</vt:lpstr>
      <vt:lpstr>'RES_ro-RO'!dbExponent</vt:lpstr>
      <vt:lpstr>'RES_ru-RU'!dbExponent</vt:lpstr>
      <vt:lpstr>'RES_sl-SI'!dbExponent</vt:lpstr>
      <vt:lpstr>'RES_sv-SE'!dbExponent</vt:lpstr>
      <vt:lpstr>'RES_tr-TR'!dbExponent</vt:lpstr>
      <vt:lpstr>'RES_zh-CN'!dbExponent</vt:lpstr>
      <vt:lpstr>'RES_zh-TW'!dbExponent</vt:lpstr>
      <vt:lpstr>'RES_cs-CZ'!dbExponent_ChartChkBox</vt:lpstr>
      <vt:lpstr>'RES_da-DK'!dbExponent_ChartChkBox</vt:lpstr>
      <vt:lpstr>'RES_de-DE'!dbExponent_ChartChkBox</vt:lpstr>
      <vt:lpstr>'RES_el-GR'!dbExponent_ChartChkBox</vt:lpstr>
      <vt:lpstr>'RES_en-US'!dbExponent_ChartChkBox</vt:lpstr>
      <vt:lpstr>'RES_es-ES'!dbExponent_ChartChkBox</vt:lpstr>
      <vt:lpstr>'RES_fi-FI'!dbExponent_ChartChkBox</vt:lpstr>
      <vt:lpstr>'RES_fr-FR'!dbExponent_ChartChkBox</vt:lpstr>
      <vt:lpstr>'RES_hr-HR'!dbExponent_ChartChkBox</vt:lpstr>
      <vt:lpstr>'RES_hu-HU'!dbExponent_ChartChkBox</vt:lpstr>
      <vt:lpstr>'RES_it-IT'!dbExponent_ChartChkBox</vt:lpstr>
      <vt:lpstr>'RES_ja-JP'!dbExponent_ChartChkBox</vt:lpstr>
      <vt:lpstr>'RES_ko-KR'!dbExponent_ChartChkBox</vt:lpstr>
      <vt:lpstr>'RES_lv-LV'!dbExponent_ChartChkBox</vt:lpstr>
      <vt:lpstr>'RES_nb-NO'!dbExponent_ChartChkBox</vt:lpstr>
      <vt:lpstr>'RES_nl-NL'!dbExponent_ChartChkBox</vt:lpstr>
      <vt:lpstr>'RES_pl-PL'!dbExponent_ChartChkBox</vt:lpstr>
      <vt:lpstr>'RES_pt-BR'!dbExponent_ChartChkBox</vt:lpstr>
      <vt:lpstr>'RES_pt-PT'!dbExponent_ChartChkBox</vt:lpstr>
      <vt:lpstr>'RES_ro-RO'!dbExponent_ChartChkBox</vt:lpstr>
      <vt:lpstr>'RES_ru-RU'!dbExponent_ChartChkBox</vt:lpstr>
      <vt:lpstr>'RES_sl-SI'!dbExponent_ChartChkBox</vt:lpstr>
      <vt:lpstr>'RES_sv-SE'!dbExponent_ChartChkBox</vt:lpstr>
      <vt:lpstr>'RES_tr-TR'!dbExponent_ChartChkBox</vt:lpstr>
      <vt:lpstr>'RES_zh-CN'!dbExponent_ChartChkBox</vt:lpstr>
      <vt:lpstr>'RES_zh-TW'!dbExponent_ChartChkBox</vt:lpstr>
      <vt:lpstr>'RES_cs-CZ'!dbExponent_DampingFact</vt:lpstr>
      <vt:lpstr>'RES_da-DK'!dbExponent_DampingFact</vt:lpstr>
      <vt:lpstr>'RES_de-DE'!dbExponent_DampingFact</vt:lpstr>
      <vt:lpstr>'RES_el-GR'!dbExponent_DampingFact</vt:lpstr>
      <vt:lpstr>'RES_en-US'!dbExponent_DampingFact</vt:lpstr>
      <vt:lpstr>'RES_es-ES'!dbExponent_DampingFact</vt:lpstr>
      <vt:lpstr>'RES_fi-FI'!dbExponent_DampingFact</vt:lpstr>
      <vt:lpstr>'RES_fr-FR'!dbExponent_DampingFact</vt:lpstr>
      <vt:lpstr>'RES_hr-HR'!dbExponent_DampingFact</vt:lpstr>
      <vt:lpstr>'RES_hu-HU'!dbExponent_DampingFact</vt:lpstr>
      <vt:lpstr>'RES_it-IT'!dbExponent_DampingFact</vt:lpstr>
      <vt:lpstr>'RES_ja-JP'!dbExponent_DampingFact</vt:lpstr>
      <vt:lpstr>'RES_ko-KR'!dbExponent_DampingFact</vt:lpstr>
      <vt:lpstr>'RES_lv-LV'!dbExponent_DampingFact</vt:lpstr>
      <vt:lpstr>'RES_nb-NO'!dbExponent_DampingFact</vt:lpstr>
      <vt:lpstr>'RES_nl-NL'!dbExponent_DampingFact</vt:lpstr>
      <vt:lpstr>'RES_pl-PL'!dbExponent_DampingFact</vt:lpstr>
      <vt:lpstr>'RES_pt-BR'!dbExponent_DampingFact</vt:lpstr>
      <vt:lpstr>'RES_pt-PT'!dbExponent_DampingFact</vt:lpstr>
      <vt:lpstr>'RES_ro-RO'!dbExponent_DampingFact</vt:lpstr>
      <vt:lpstr>'RES_ru-RU'!dbExponent_DampingFact</vt:lpstr>
      <vt:lpstr>'RES_sl-SI'!dbExponent_DampingFact</vt:lpstr>
      <vt:lpstr>'RES_sv-SE'!dbExponent_DampingFact</vt:lpstr>
      <vt:lpstr>'RES_tr-TR'!dbExponent_DampingFact</vt:lpstr>
      <vt:lpstr>'RES_zh-CN'!dbExponent_DampingFact</vt:lpstr>
      <vt:lpstr>'RES_zh-TW'!dbExponent_DampingFact</vt:lpstr>
      <vt:lpstr>'RES_cs-CZ'!dbExponent_InRange</vt:lpstr>
      <vt:lpstr>'RES_da-DK'!dbExponent_InRange</vt:lpstr>
      <vt:lpstr>'RES_de-DE'!dbExponent_InRange</vt:lpstr>
      <vt:lpstr>'RES_el-GR'!dbExponent_InRange</vt:lpstr>
      <vt:lpstr>'RES_en-US'!dbExponent_InRange</vt:lpstr>
      <vt:lpstr>'RES_es-ES'!dbExponent_InRange</vt:lpstr>
      <vt:lpstr>'RES_fi-FI'!dbExponent_InRange</vt:lpstr>
      <vt:lpstr>'RES_fr-FR'!dbExponent_InRange</vt:lpstr>
      <vt:lpstr>'RES_hr-HR'!dbExponent_InRange</vt:lpstr>
      <vt:lpstr>'RES_hu-HU'!dbExponent_InRange</vt:lpstr>
      <vt:lpstr>'RES_it-IT'!dbExponent_InRange</vt:lpstr>
      <vt:lpstr>'RES_ja-JP'!dbExponent_InRange</vt:lpstr>
      <vt:lpstr>'RES_ko-KR'!dbExponent_InRange</vt:lpstr>
      <vt:lpstr>'RES_lv-LV'!dbExponent_InRange</vt:lpstr>
      <vt:lpstr>'RES_nb-NO'!dbExponent_InRange</vt:lpstr>
      <vt:lpstr>'RES_nl-NL'!dbExponent_InRange</vt:lpstr>
      <vt:lpstr>'RES_pl-PL'!dbExponent_InRange</vt:lpstr>
      <vt:lpstr>'RES_pt-BR'!dbExponent_InRange</vt:lpstr>
      <vt:lpstr>'RES_pt-PT'!dbExponent_InRange</vt:lpstr>
      <vt:lpstr>'RES_ro-RO'!dbExponent_InRange</vt:lpstr>
      <vt:lpstr>'RES_ru-RU'!dbExponent_InRange</vt:lpstr>
      <vt:lpstr>'RES_sl-SI'!dbExponent_InRange</vt:lpstr>
      <vt:lpstr>'RES_sv-SE'!dbExponent_InRange</vt:lpstr>
      <vt:lpstr>'RES_tr-TR'!dbExponent_InRange</vt:lpstr>
      <vt:lpstr>'RES_zh-CN'!dbExponent_InRange</vt:lpstr>
      <vt:lpstr>'RES_zh-TW'!dbExponent_InRange</vt:lpstr>
      <vt:lpstr>'RES_cs-CZ'!dbExponent_LabelText</vt:lpstr>
      <vt:lpstr>'RES_da-DK'!dbExponent_LabelText</vt:lpstr>
      <vt:lpstr>'RES_de-DE'!dbExponent_LabelText</vt:lpstr>
      <vt:lpstr>'RES_el-GR'!dbExponent_LabelText</vt:lpstr>
      <vt:lpstr>'RES_en-US'!dbExponent_LabelText</vt:lpstr>
      <vt:lpstr>'RES_es-ES'!dbExponent_LabelText</vt:lpstr>
      <vt:lpstr>'RES_fi-FI'!dbExponent_LabelText</vt:lpstr>
      <vt:lpstr>'RES_fr-FR'!dbExponent_LabelText</vt:lpstr>
      <vt:lpstr>'RES_hr-HR'!dbExponent_LabelText</vt:lpstr>
      <vt:lpstr>'RES_hu-HU'!dbExponent_LabelText</vt:lpstr>
      <vt:lpstr>'RES_it-IT'!dbExponent_LabelText</vt:lpstr>
      <vt:lpstr>'RES_ja-JP'!dbExponent_LabelText</vt:lpstr>
      <vt:lpstr>'RES_ko-KR'!dbExponent_LabelText</vt:lpstr>
      <vt:lpstr>'RES_lv-LV'!dbExponent_LabelText</vt:lpstr>
      <vt:lpstr>'RES_nb-NO'!dbExponent_LabelText</vt:lpstr>
      <vt:lpstr>'RES_nl-NL'!dbExponent_LabelText</vt:lpstr>
      <vt:lpstr>'RES_pl-PL'!dbExponent_LabelText</vt:lpstr>
      <vt:lpstr>'RES_pt-BR'!dbExponent_LabelText</vt:lpstr>
      <vt:lpstr>'RES_pt-PT'!dbExponent_LabelText</vt:lpstr>
      <vt:lpstr>'RES_ro-RO'!dbExponent_LabelText</vt:lpstr>
      <vt:lpstr>'RES_ru-RU'!dbExponent_LabelText</vt:lpstr>
      <vt:lpstr>'RES_sl-SI'!dbExponent_LabelText</vt:lpstr>
      <vt:lpstr>'RES_sv-SE'!dbExponent_LabelText</vt:lpstr>
      <vt:lpstr>'RES_tr-TR'!dbExponent_LabelText</vt:lpstr>
      <vt:lpstr>'RES_zh-CN'!dbExponent_LabelText</vt:lpstr>
      <vt:lpstr>'RES_zh-TW'!dbExponent_LabelText</vt:lpstr>
      <vt:lpstr>'RES_cs-CZ'!dbExponent_LblChkBox</vt:lpstr>
      <vt:lpstr>'RES_da-DK'!dbExponent_LblChkBox</vt:lpstr>
      <vt:lpstr>'RES_de-DE'!dbExponent_LblChkBox</vt:lpstr>
      <vt:lpstr>'RES_el-GR'!dbExponent_LblChkBox</vt:lpstr>
      <vt:lpstr>'RES_en-US'!dbExponent_LblChkBox</vt:lpstr>
      <vt:lpstr>'RES_es-ES'!dbExponent_LblChkBox</vt:lpstr>
      <vt:lpstr>'RES_fi-FI'!dbExponent_LblChkBox</vt:lpstr>
      <vt:lpstr>'RES_fr-FR'!dbExponent_LblChkBox</vt:lpstr>
      <vt:lpstr>'RES_hr-HR'!dbExponent_LblChkBox</vt:lpstr>
      <vt:lpstr>'RES_hu-HU'!dbExponent_LblChkBox</vt:lpstr>
      <vt:lpstr>'RES_it-IT'!dbExponent_LblChkBox</vt:lpstr>
      <vt:lpstr>'RES_ja-JP'!dbExponent_LblChkBox</vt:lpstr>
      <vt:lpstr>'RES_ko-KR'!dbExponent_LblChkBox</vt:lpstr>
      <vt:lpstr>'RES_lv-LV'!dbExponent_LblChkBox</vt:lpstr>
      <vt:lpstr>'RES_nb-NO'!dbExponent_LblChkBox</vt:lpstr>
      <vt:lpstr>'RES_nl-NL'!dbExponent_LblChkBox</vt:lpstr>
      <vt:lpstr>'RES_pl-PL'!dbExponent_LblChkBox</vt:lpstr>
      <vt:lpstr>'RES_pt-BR'!dbExponent_LblChkBox</vt:lpstr>
      <vt:lpstr>'RES_pt-PT'!dbExponent_LblChkBox</vt:lpstr>
      <vt:lpstr>'RES_ro-RO'!dbExponent_LblChkBox</vt:lpstr>
      <vt:lpstr>'RES_ru-RU'!dbExponent_LblChkBox</vt:lpstr>
      <vt:lpstr>'RES_sl-SI'!dbExponent_LblChkBox</vt:lpstr>
      <vt:lpstr>'RES_sv-SE'!dbExponent_LblChkBox</vt:lpstr>
      <vt:lpstr>'RES_tr-TR'!dbExponent_LblChkBox</vt:lpstr>
      <vt:lpstr>'RES_zh-CN'!dbExponent_LblChkBox</vt:lpstr>
      <vt:lpstr>'RES_zh-TW'!dbExponent_LblChkBox</vt:lpstr>
      <vt:lpstr>'RES_cs-CZ'!dbExponent_OutOption</vt:lpstr>
      <vt:lpstr>'RES_da-DK'!dbExponent_OutOption</vt:lpstr>
      <vt:lpstr>'RES_de-DE'!dbExponent_OutOption</vt:lpstr>
      <vt:lpstr>'RES_el-GR'!dbExponent_OutOption</vt:lpstr>
      <vt:lpstr>'RES_en-US'!dbExponent_OutOption</vt:lpstr>
      <vt:lpstr>'RES_es-ES'!dbExponent_OutOption</vt:lpstr>
      <vt:lpstr>'RES_fi-FI'!dbExponent_OutOption</vt:lpstr>
      <vt:lpstr>'RES_fr-FR'!dbExponent_OutOption</vt:lpstr>
      <vt:lpstr>'RES_hr-HR'!dbExponent_OutOption</vt:lpstr>
      <vt:lpstr>'RES_hu-HU'!dbExponent_OutOption</vt:lpstr>
      <vt:lpstr>'RES_it-IT'!dbExponent_OutOption</vt:lpstr>
      <vt:lpstr>'RES_ja-JP'!dbExponent_OutOption</vt:lpstr>
      <vt:lpstr>'RES_ko-KR'!dbExponent_OutOption</vt:lpstr>
      <vt:lpstr>'RES_lv-LV'!dbExponent_OutOption</vt:lpstr>
      <vt:lpstr>'RES_nb-NO'!dbExponent_OutOption</vt:lpstr>
      <vt:lpstr>'RES_nl-NL'!dbExponent_OutOption</vt:lpstr>
      <vt:lpstr>'RES_pl-PL'!dbExponent_OutOption</vt:lpstr>
      <vt:lpstr>'RES_pt-BR'!dbExponent_OutOption</vt:lpstr>
      <vt:lpstr>'RES_pt-PT'!dbExponent_OutOption</vt:lpstr>
      <vt:lpstr>'RES_ro-RO'!dbExponent_OutOption</vt:lpstr>
      <vt:lpstr>'RES_ru-RU'!dbExponent_OutOption</vt:lpstr>
      <vt:lpstr>'RES_sl-SI'!dbExponent_OutOption</vt:lpstr>
      <vt:lpstr>'RES_sv-SE'!dbExponent_OutOption</vt:lpstr>
      <vt:lpstr>'RES_tr-TR'!dbExponent_OutOption</vt:lpstr>
      <vt:lpstr>'RES_zh-CN'!dbExponent_OutOption</vt:lpstr>
      <vt:lpstr>'RES_zh-TW'!dbExponent_OutOption</vt:lpstr>
      <vt:lpstr>'RES_cs-CZ'!dbExponent_PlyInpFld</vt:lpstr>
      <vt:lpstr>'RES_da-DK'!dbExponent_PlyInpFld</vt:lpstr>
      <vt:lpstr>'RES_de-DE'!dbExponent_PlyInpFld</vt:lpstr>
      <vt:lpstr>'RES_el-GR'!dbExponent_PlyInpFld</vt:lpstr>
      <vt:lpstr>'RES_en-US'!dbExponent_PlyInpFld</vt:lpstr>
      <vt:lpstr>'RES_es-ES'!dbExponent_PlyInpFld</vt:lpstr>
      <vt:lpstr>'RES_fi-FI'!dbExponent_PlyInpFld</vt:lpstr>
      <vt:lpstr>'RES_fr-FR'!dbExponent_PlyInpFld</vt:lpstr>
      <vt:lpstr>'RES_hr-HR'!dbExponent_PlyInpFld</vt:lpstr>
      <vt:lpstr>'RES_hu-HU'!dbExponent_PlyInpFld</vt:lpstr>
      <vt:lpstr>'RES_it-IT'!dbExponent_PlyInpFld</vt:lpstr>
      <vt:lpstr>'RES_ja-JP'!dbExponent_PlyInpFld</vt:lpstr>
      <vt:lpstr>'RES_ko-KR'!dbExponent_PlyInpFld</vt:lpstr>
      <vt:lpstr>'RES_lv-LV'!dbExponent_PlyInpFld</vt:lpstr>
      <vt:lpstr>'RES_nb-NO'!dbExponent_PlyInpFld</vt:lpstr>
      <vt:lpstr>'RES_nl-NL'!dbExponent_PlyInpFld</vt:lpstr>
      <vt:lpstr>'RES_pl-PL'!dbExponent_PlyInpFld</vt:lpstr>
      <vt:lpstr>'RES_pt-BR'!dbExponent_PlyInpFld</vt:lpstr>
      <vt:lpstr>'RES_pt-PT'!dbExponent_PlyInpFld</vt:lpstr>
      <vt:lpstr>'RES_ro-RO'!dbExponent_PlyInpFld</vt:lpstr>
      <vt:lpstr>'RES_ru-RU'!dbExponent_PlyInpFld</vt:lpstr>
      <vt:lpstr>'RES_sl-SI'!dbExponent_PlyInpFld</vt:lpstr>
      <vt:lpstr>'RES_sv-SE'!dbExponent_PlyInpFld</vt:lpstr>
      <vt:lpstr>'RES_tr-TR'!dbExponent_PlyInpFld</vt:lpstr>
      <vt:lpstr>'RES_zh-CN'!dbExponent_PlyInpFld</vt:lpstr>
      <vt:lpstr>'RES_zh-TW'!dbExponent_PlyInpFld</vt:lpstr>
      <vt:lpstr>'RES_cs-CZ'!dbExponent_PlyName</vt:lpstr>
      <vt:lpstr>'RES_da-DK'!dbExponent_PlyName</vt:lpstr>
      <vt:lpstr>'RES_de-DE'!dbExponent_PlyName</vt:lpstr>
      <vt:lpstr>'RES_el-GR'!dbExponent_PlyName</vt:lpstr>
      <vt:lpstr>'RES_en-US'!dbExponent_PlyName</vt:lpstr>
      <vt:lpstr>'RES_es-ES'!dbExponent_PlyName</vt:lpstr>
      <vt:lpstr>'RES_fi-FI'!dbExponent_PlyName</vt:lpstr>
      <vt:lpstr>'RES_fr-FR'!dbExponent_PlyName</vt:lpstr>
      <vt:lpstr>'RES_hr-HR'!dbExponent_PlyName</vt:lpstr>
      <vt:lpstr>'RES_hu-HU'!dbExponent_PlyName</vt:lpstr>
      <vt:lpstr>'RES_it-IT'!dbExponent_PlyName</vt:lpstr>
      <vt:lpstr>'RES_ja-JP'!dbExponent_PlyName</vt:lpstr>
      <vt:lpstr>'RES_ko-KR'!dbExponent_PlyName</vt:lpstr>
      <vt:lpstr>'RES_lv-LV'!dbExponent_PlyName</vt:lpstr>
      <vt:lpstr>'RES_nb-NO'!dbExponent_PlyName</vt:lpstr>
      <vt:lpstr>'RES_nl-NL'!dbExponent_PlyName</vt:lpstr>
      <vt:lpstr>'RES_pl-PL'!dbExponent_PlyName</vt:lpstr>
      <vt:lpstr>'RES_pt-BR'!dbExponent_PlyName</vt:lpstr>
      <vt:lpstr>'RES_pt-PT'!dbExponent_PlyName</vt:lpstr>
      <vt:lpstr>'RES_ro-RO'!dbExponent_PlyName</vt:lpstr>
      <vt:lpstr>'RES_ru-RU'!dbExponent_PlyName</vt:lpstr>
      <vt:lpstr>'RES_sl-SI'!dbExponent_PlyName</vt:lpstr>
      <vt:lpstr>'RES_sv-SE'!dbExponent_PlyName</vt:lpstr>
      <vt:lpstr>'RES_tr-TR'!dbExponent_PlyName</vt:lpstr>
      <vt:lpstr>'RES_zh-CN'!dbExponent_PlyName</vt:lpstr>
      <vt:lpstr>'RES_zh-TW'!dbExponent_PlyName</vt:lpstr>
      <vt:lpstr>'RES_cs-CZ'!dbExponent_RangeInpFld</vt:lpstr>
      <vt:lpstr>'RES_da-DK'!dbExponent_RangeInpFld</vt:lpstr>
      <vt:lpstr>'RES_de-DE'!dbExponent_RangeInpFld</vt:lpstr>
      <vt:lpstr>'RES_el-GR'!dbExponent_RangeInpFld</vt:lpstr>
      <vt:lpstr>'RES_en-US'!dbExponent_RangeInpFld</vt:lpstr>
      <vt:lpstr>'RES_es-ES'!dbExponent_RangeInpFld</vt:lpstr>
      <vt:lpstr>'RES_fi-FI'!dbExponent_RangeInpFld</vt:lpstr>
      <vt:lpstr>'RES_fr-FR'!dbExponent_RangeInpFld</vt:lpstr>
      <vt:lpstr>'RES_hr-HR'!dbExponent_RangeInpFld</vt:lpstr>
      <vt:lpstr>'RES_hu-HU'!dbExponent_RangeInpFld</vt:lpstr>
      <vt:lpstr>'RES_it-IT'!dbExponent_RangeInpFld</vt:lpstr>
      <vt:lpstr>'RES_ja-JP'!dbExponent_RangeInpFld</vt:lpstr>
      <vt:lpstr>'RES_ko-KR'!dbExponent_RangeInpFld</vt:lpstr>
      <vt:lpstr>'RES_lv-LV'!dbExponent_RangeInpFld</vt:lpstr>
      <vt:lpstr>'RES_nb-NO'!dbExponent_RangeInpFld</vt:lpstr>
      <vt:lpstr>'RES_nl-NL'!dbExponent_RangeInpFld</vt:lpstr>
      <vt:lpstr>'RES_pl-PL'!dbExponent_RangeInpFld</vt:lpstr>
      <vt:lpstr>'RES_pt-BR'!dbExponent_RangeInpFld</vt:lpstr>
      <vt:lpstr>'RES_pt-PT'!dbExponent_RangeInpFld</vt:lpstr>
      <vt:lpstr>'RES_ro-RO'!dbExponent_RangeInpFld</vt:lpstr>
      <vt:lpstr>'RES_ru-RU'!dbExponent_RangeInpFld</vt:lpstr>
      <vt:lpstr>'RES_sl-SI'!dbExponent_RangeInpFld</vt:lpstr>
      <vt:lpstr>'RES_sv-SE'!dbExponent_RangeInpFld</vt:lpstr>
      <vt:lpstr>'RES_tr-TR'!dbExponent_RangeInpFld</vt:lpstr>
      <vt:lpstr>'RES_zh-CN'!dbExponent_RangeInpFld</vt:lpstr>
      <vt:lpstr>'RES_zh-TW'!dbExponent_RangeInpFld</vt:lpstr>
      <vt:lpstr>'RES_cs-CZ'!dbExponent_RangeRef</vt:lpstr>
      <vt:lpstr>'RES_da-DK'!dbExponent_RangeRef</vt:lpstr>
      <vt:lpstr>'RES_de-DE'!dbExponent_RangeRef</vt:lpstr>
      <vt:lpstr>'RES_el-GR'!dbExponent_RangeRef</vt:lpstr>
      <vt:lpstr>'RES_en-US'!dbExponent_RangeRef</vt:lpstr>
      <vt:lpstr>'RES_es-ES'!dbExponent_RangeRef</vt:lpstr>
      <vt:lpstr>'RES_fi-FI'!dbExponent_RangeRef</vt:lpstr>
      <vt:lpstr>'RES_fr-FR'!dbExponent_RangeRef</vt:lpstr>
      <vt:lpstr>'RES_hr-HR'!dbExponent_RangeRef</vt:lpstr>
      <vt:lpstr>'RES_hu-HU'!dbExponent_RangeRef</vt:lpstr>
      <vt:lpstr>'RES_it-IT'!dbExponent_RangeRef</vt:lpstr>
      <vt:lpstr>'RES_ja-JP'!dbExponent_RangeRef</vt:lpstr>
      <vt:lpstr>'RES_ko-KR'!dbExponent_RangeRef</vt:lpstr>
      <vt:lpstr>'RES_lv-LV'!dbExponent_RangeRef</vt:lpstr>
      <vt:lpstr>'RES_nb-NO'!dbExponent_RangeRef</vt:lpstr>
      <vt:lpstr>'RES_nl-NL'!dbExponent_RangeRef</vt:lpstr>
      <vt:lpstr>'RES_pl-PL'!dbExponent_RangeRef</vt:lpstr>
      <vt:lpstr>'RES_pt-BR'!dbExponent_RangeRef</vt:lpstr>
      <vt:lpstr>'RES_pt-PT'!dbExponent_RangeRef</vt:lpstr>
      <vt:lpstr>'RES_ro-RO'!dbExponent_RangeRef</vt:lpstr>
      <vt:lpstr>'RES_ru-RU'!dbExponent_RangeRef</vt:lpstr>
      <vt:lpstr>'RES_sl-SI'!dbExponent_RangeRef</vt:lpstr>
      <vt:lpstr>'RES_sv-SE'!dbExponent_RangeRef</vt:lpstr>
      <vt:lpstr>'RES_tr-TR'!dbExponent_RangeRef</vt:lpstr>
      <vt:lpstr>'RES_zh-CN'!dbExponent_RangeRef</vt:lpstr>
      <vt:lpstr>'RES_zh-TW'!dbExponent_RangeRef</vt:lpstr>
      <vt:lpstr>'RES_cs-CZ'!dbExponent_StderrChkBox</vt:lpstr>
      <vt:lpstr>'RES_da-DK'!dbExponent_StderrChkBox</vt:lpstr>
      <vt:lpstr>'RES_de-DE'!dbExponent_StderrChkBox</vt:lpstr>
      <vt:lpstr>'RES_el-GR'!dbExponent_StderrChkBox</vt:lpstr>
      <vt:lpstr>'RES_en-US'!dbExponent_StderrChkBox</vt:lpstr>
      <vt:lpstr>'RES_es-ES'!dbExponent_StderrChkBox</vt:lpstr>
      <vt:lpstr>'RES_fi-FI'!dbExponent_StderrChkBox</vt:lpstr>
      <vt:lpstr>'RES_fr-FR'!dbExponent_StderrChkBox</vt:lpstr>
      <vt:lpstr>'RES_hr-HR'!dbExponent_StderrChkBox</vt:lpstr>
      <vt:lpstr>'RES_hu-HU'!dbExponent_StderrChkBox</vt:lpstr>
      <vt:lpstr>'RES_it-IT'!dbExponent_StderrChkBox</vt:lpstr>
      <vt:lpstr>'RES_ja-JP'!dbExponent_StderrChkBox</vt:lpstr>
      <vt:lpstr>'RES_ko-KR'!dbExponent_StderrChkBox</vt:lpstr>
      <vt:lpstr>'RES_lv-LV'!dbExponent_StderrChkBox</vt:lpstr>
      <vt:lpstr>'RES_nb-NO'!dbExponent_StderrChkBox</vt:lpstr>
      <vt:lpstr>'RES_nl-NL'!dbExponent_StderrChkBox</vt:lpstr>
      <vt:lpstr>'RES_pl-PL'!dbExponent_StderrChkBox</vt:lpstr>
      <vt:lpstr>'RES_pt-BR'!dbExponent_StderrChkBox</vt:lpstr>
      <vt:lpstr>'RES_pt-PT'!dbExponent_StderrChkBox</vt:lpstr>
      <vt:lpstr>'RES_ro-RO'!dbExponent_StderrChkBox</vt:lpstr>
      <vt:lpstr>'RES_ru-RU'!dbExponent_StderrChkBox</vt:lpstr>
      <vt:lpstr>'RES_sl-SI'!dbExponent_StderrChkBox</vt:lpstr>
      <vt:lpstr>'RES_sv-SE'!dbExponent_StderrChkBox</vt:lpstr>
      <vt:lpstr>'RES_tr-TR'!dbExponent_StderrChkBox</vt:lpstr>
      <vt:lpstr>'RES_zh-CN'!dbExponent_StderrChkBox</vt:lpstr>
      <vt:lpstr>'RES_zh-TW'!dbExponent_StderrChkBox</vt:lpstr>
      <vt:lpstr>'RES_cs-CZ'!dbExponentTitle</vt:lpstr>
      <vt:lpstr>'RES_da-DK'!dbExponentTitle</vt:lpstr>
      <vt:lpstr>'RES_de-DE'!dbExponentTitle</vt:lpstr>
      <vt:lpstr>'RES_el-GR'!dbExponentTitle</vt:lpstr>
      <vt:lpstr>'RES_en-US'!dbExponentTitle</vt:lpstr>
      <vt:lpstr>'RES_es-ES'!dbExponentTitle</vt:lpstr>
      <vt:lpstr>'RES_fi-FI'!dbExponentTitle</vt:lpstr>
      <vt:lpstr>'RES_fr-FR'!dbExponentTitle</vt:lpstr>
      <vt:lpstr>'RES_hr-HR'!dbExponentTitle</vt:lpstr>
      <vt:lpstr>'RES_hu-HU'!dbExponentTitle</vt:lpstr>
      <vt:lpstr>'RES_it-IT'!dbExponentTitle</vt:lpstr>
      <vt:lpstr>'RES_ja-JP'!dbExponentTitle</vt:lpstr>
      <vt:lpstr>'RES_ko-KR'!dbExponentTitle</vt:lpstr>
      <vt:lpstr>'RES_lv-LV'!dbExponentTitle</vt:lpstr>
      <vt:lpstr>'RES_nb-NO'!dbExponentTitle</vt:lpstr>
      <vt:lpstr>'RES_nl-NL'!dbExponentTitle</vt:lpstr>
      <vt:lpstr>'RES_pl-PL'!dbExponentTitle</vt:lpstr>
      <vt:lpstr>'RES_pt-BR'!dbExponentTitle</vt:lpstr>
      <vt:lpstr>'RES_pt-PT'!dbExponentTitle</vt:lpstr>
      <vt:lpstr>'RES_ro-RO'!dbExponentTitle</vt:lpstr>
      <vt:lpstr>'RES_ru-RU'!dbExponentTitle</vt:lpstr>
      <vt:lpstr>'RES_sl-SI'!dbExponentTitle</vt:lpstr>
      <vt:lpstr>'RES_sv-SE'!dbExponentTitle</vt:lpstr>
      <vt:lpstr>'RES_tr-TR'!dbExponentTitle</vt:lpstr>
      <vt:lpstr>'RES_zh-CN'!dbExponentTitle</vt:lpstr>
      <vt:lpstr>'RES_zh-TW'!dbExponentTitle</vt:lpstr>
      <vt:lpstr>'RES_cs-CZ'!dbFourier</vt:lpstr>
      <vt:lpstr>'RES_da-DK'!dbFourier</vt:lpstr>
      <vt:lpstr>'RES_de-DE'!dbFourier</vt:lpstr>
      <vt:lpstr>'RES_el-GR'!dbFourier</vt:lpstr>
      <vt:lpstr>'RES_en-US'!dbFourier</vt:lpstr>
      <vt:lpstr>'RES_es-ES'!dbFourier</vt:lpstr>
      <vt:lpstr>'RES_fi-FI'!dbFourier</vt:lpstr>
      <vt:lpstr>'RES_fr-FR'!dbFourier</vt:lpstr>
      <vt:lpstr>'RES_hr-HR'!dbFourier</vt:lpstr>
      <vt:lpstr>'RES_hu-HU'!dbFourier</vt:lpstr>
      <vt:lpstr>'RES_it-IT'!dbFourier</vt:lpstr>
      <vt:lpstr>'RES_ja-JP'!dbFourier</vt:lpstr>
      <vt:lpstr>'RES_ko-KR'!dbFourier</vt:lpstr>
      <vt:lpstr>'RES_lv-LV'!dbFourier</vt:lpstr>
      <vt:lpstr>'RES_nb-NO'!dbFourier</vt:lpstr>
      <vt:lpstr>'RES_nl-NL'!dbFourier</vt:lpstr>
      <vt:lpstr>'RES_pl-PL'!dbFourier</vt:lpstr>
      <vt:lpstr>'RES_pt-BR'!dbFourier</vt:lpstr>
      <vt:lpstr>'RES_pt-PT'!dbFourier</vt:lpstr>
      <vt:lpstr>'RES_ro-RO'!dbFourier</vt:lpstr>
      <vt:lpstr>'RES_ru-RU'!dbFourier</vt:lpstr>
      <vt:lpstr>'RES_sl-SI'!dbFourier</vt:lpstr>
      <vt:lpstr>'RES_sv-SE'!dbFourier</vt:lpstr>
      <vt:lpstr>'RES_tr-TR'!dbFourier</vt:lpstr>
      <vt:lpstr>'RES_zh-CN'!dbFourier</vt:lpstr>
      <vt:lpstr>'RES_zh-TW'!dbFourier</vt:lpstr>
      <vt:lpstr>'RES_cs-CZ'!dbFourier_InRange</vt:lpstr>
      <vt:lpstr>'RES_da-DK'!dbFourier_InRange</vt:lpstr>
      <vt:lpstr>'RES_de-DE'!dbFourier_InRange</vt:lpstr>
      <vt:lpstr>'RES_el-GR'!dbFourier_InRange</vt:lpstr>
      <vt:lpstr>'RES_en-US'!dbFourier_InRange</vt:lpstr>
      <vt:lpstr>'RES_es-ES'!dbFourier_InRange</vt:lpstr>
      <vt:lpstr>'RES_fi-FI'!dbFourier_InRange</vt:lpstr>
      <vt:lpstr>'RES_fr-FR'!dbFourier_InRange</vt:lpstr>
      <vt:lpstr>'RES_hr-HR'!dbFourier_InRange</vt:lpstr>
      <vt:lpstr>'RES_hu-HU'!dbFourier_InRange</vt:lpstr>
      <vt:lpstr>'RES_it-IT'!dbFourier_InRange</vt:lpstr>
      <vt:lpstr>'RES_ja-JP'!dbFourier_InRange</vt:lpstr>
      <vt:lpstr>'RES_ko-KR'!dbFourier_InRange</vt:lpstr>
      <vt:lpstr>'RES_lv-LV'!dbFourier_InRange</vt:lpstr>
      <vt:lpstr>'RES_nb-NO'!dbFourier_InRange</vt:lpstr>
      <vt:lpstr>'RES_nl-NL'!dbFourier_InRange</vt:lpstr>
      <vt:lpstr>'RES_pl-PL'!dbFourier_InRange</vt:lpstr>
      <vt:lpstr>'RES_pt-BR'!dbFourier_InRange</vt:lpstr>
      <vt:lpstr>'RES_pt-PT'!dbFourier_InRange</vt:lpstr>
      <vt:lpstr>'RES_ro-RO'!dbFourier_InRange</vt:lpstr>
      <vt:lpstr>'RES_ru-RU'!dbFourier_InRange</vt:lpstr>
      <vt:lpstr>'RES_sl-SI'!dbFourier_InRange</vt:lpstr>
      <vt:lpstr>'RES_sv-SE'!dbFourier_InRange</vt:lpstr>
      <vt:lpstr>'RES_tr-TR'!dbFourier_InRange</vt:lpstr>
      <vt:lpstr>'RES_zh-CN'!dbFourier_InRange</vt:lpstr>
      <vt:lpstr>'RES_zh-TW'!dbFourier_InRange</vt:lpstr>
      <vt:lpstr>'RES_cs-CZ'!dbFourier_Inverse</vt:lpstr>
      <vt:lpstr>'RES_da-DK'!dbFourier_Inverse</vt:lpstr>
      <vt:lpstr>'RES_de-DE'!dbFourier_Inverse</vt:lpstr>
      <vt:lpstr>'RES_el-GR'!dbFourier_Inverse</vt:lpstr>
      <vt:lpstr>'RES_en-US'!dbFourier_Inverse</vt:lpstr>
      <vt:lpstr>'RES_es-ES'!dbFourier_Inverse</vt:lpstr>
      <vt:lpstr>'RES_fi-FI'!dbFourier_Inverse</vt:lpstr>
      <vt:lpstr>'RES_fr-FR'!dbFourier_Inverse</vt:lpstr>
      <vt:lpstr>'RES_hr-HR'!dbFourier_Inverse</vt:lpstr>
      <vt:lpstr>'RES_hu-HU'!dbFourier_Inverse</vt:lpstr>
      <vt:lpstr>'RES_it-IT'!dbFourier_Inverse</vt:lpstr>
      <vt:lpstr>'RES_ja-JP'!dbFourier_Inverse</vt:lpstr>
      <vt:lpstr>'RES_ko-KR'!dbFourier_Inverse</vt:lpstr>
      <vt:lpstr>'RES_lv-LV'!dbFourier_Inverse</vt:lpstr>
      <vt:lpstr>'RES_nb-NO'!dbFourier_Inverse</vt:lpstr>
      <vt:lpstr>'RES_nl-NL'!dbFourier_Inverse</vt:lpstr>
      <vt:lpstr>'RES_pl-PL'!dbFourier_Inverse</vt:lpstr>
      <vt:lpstr>'RES_pt-BR'!dbFourier_Inverse</vt:lpstr>
      <vt:lpstr>'RES_pt-PT'!dbFourier_Inverse</vt:lpstr>
      <vt:lpstr>'RES_ro-RO'!dbFourier_Inverse</vt:lpstr>
      <vt:lpstr>'RES_ru-RU'!dbFourier_Inverse</vt:lpstr>
      <vt:lpstr>'RES_sl-SI'!dbFourier_Inverse</vt:lpstr>
      <vt:lpstr>'RES_sv-SE'!dbFourier_Inverse</vt:lpstr>
      <vt:lpstr>'RES_tr-TR'!dbFourier_Inverse</vt:lpstr>
      <vt:lpstr>'RES_zh-CN'!dbFourier_Inverse</vt:lpstr>
      <vt:lpstr>'RES_zh-TW'!dbFourier_Inverse</vt:lpstr>
      <vt:lpstr>'RES_cs-CZ'!dbFourier_LabelText</vt:lpstr>
      <vt:lpstr>'RES_da-DK'!dbFourier_LabelText</vt:lpstr>
      <vt:lpstr>'RES_de-DE'!dbFourier_LabelText</vt:lpstr>
      <vt:lpstr>'RES_el-GR'!dbFourier_LabelText</vt:lpstr>
      <vt:lpstr>'RES_en-US'!dbFourier_LabelText</vt:lpstr>
      <vt:lpstr>'RES_es-ES'!dbFourier_LabelText</vt:lpstr>
      <vt:lpstr>'RES_fi-FI'!dbFourier_LabelText</vt:lpstr>
      <vt:lpstr>'RES_fr-FR'!dbFourier_LabelText</vt:lpstr>
      <vt:lpstr>'RES_hr-HR'!dbFourier_LabelText</vt:lpstr>
      <vt:lpstr>'RES_hu-HU'!dbFourier_LabelText</vt:lpstr>
      <vt:lpstr>'RES_it-IT'!dbFourier_LabelText</vt:lpstr>
      <vt:lpstr>'RES_ja-JP'!dbFourier_LabelText</vt:lpstr>
      <vt:lpstr>'RES_ko-KR'!dbFourier_LabelText</vt:lpstr>
      <vt:lpstr>'RES_lv-LV'!dbFourier_LabelText</vt:lpstr>
      <vt:lpstr>'RES_nb-NO'!dbFourier_LabelText</vt:lpstr>
      <vt:lpstr>'RES_nl-NL'!dbFourier_LabelText</vt:lpstr>
      <vt:lpstr>'RES_pl-PL'!dbFourier_LabelText</vt:lpstr>
      <vt:lpstr>'RES_pt-BR'!dbFourier_LabelText</vt:lpstr>
      <vt:lpstr>'RES_pt-PT'!dbFourier_LabelText</vt:lpstr>
      <vt:lpstr>'RES_ro-RO'!dbFourier_LabelText</vt:lpstr>
      <vt:lpstr>'RES_ru-RU'!dbFourier_LabelText</vt:lpstr>
      <vt:lpstr>'RES_sl-SI'!dbFourier_LabelText</vt:lpstr>
      <vt:lpstr>'RES_sv-SE'!dbFourier_LabelText</vt:lpstr>
      <vt:lpstr>'RES_tr-TR'!dbFourier_LabelText</vt:lpstr>
      <vt:lpstr>'RES_zh-CN'!dbFourier_LabelText</vt:lpstr>
      <vt:lpstr>'RES_zh-TW'!dbFourier_LabelText</vt:lpstr>
      <vt:lpstr>'RES_cs-CZ'!dbFourier_LblChkBox</vt:lpstr>
      <vt:lpstr>'RES_da-DK'!dbFourier_LblChkBox</vt:lpstr>
      <vt:lpstr>'RES_de-DE'!dbFourier_LblChkBox</vt:lpstr>
      <vt:lpstr>'RES_el-GR'!dbFourier_LblChkBox</vt:lpstr>
      <vt:lpstr>'RES_en-US'!dbFourier_LblChkBox</vt:lpstr>
      <vt:lpstr>'RES_es-ES'!dbFourier_LblChkBox</vt:lpstr>
      <vt:lpstr>'RES_fi-FI'!dbFourier_LblChkBox</vt:lpstr>
      <vt:lpstr>'RES_fr-FR'!dbFourier_LblChkBox</vt:lpstr>
      <vt:lpstr>'RES_hr-HR'!dbFourier_LblChkBox</vt:lpstr>
      <vt:lpstr>'RES_hu-HU'!dbFourier_LblChkBox</vt:lpstr>
      <vt:lpstr>'RES_it-IT'!dbFourier_LblChkBox</vt:lpstr>
      <vt:lpstr>'RES_ja-JP'!dbFourier_LblChkBox</vt:lpstr>
      <vt:lpstr>'RES_ko-KR'!dbFourier_LblChkBox</vt:lpstr>
      <vt:lpstr>'RES_lv-LV'!dbFourier_LblChkBox</vt:lpstr>
      <vt:lpstr>'RES_nb-NO'!dbFourier_LblChkBox</vt:lpstr>
      <vt:lpstr>'RES_nl-NL'!dbFourier_LblChkBox</vt:lpstr>
      <vt:lpstr>'RES_pl-PL'!dbFourier_LblChkBox</vt:lpstr>
      <vt:lpstr>'RES_pt-BR'!dbFourier_LblChkBox</vt:lpstr>
      <vt:lpstr>'RES_pt-PT'!dbFourier_LblChkBox</vt:lpstr>
      <vt:lpstr>'RES_ro-RO'!dbFourier_LblChkBox</vt:lpstr>
      <vt:lpstr>'RES_ru-RU'!dbFourier_LblChkBox</vt:lpstr>
      <vt:lpstr>'RES_sl-SI'!dbFourier_LblChkBox</vt:lpstr>
      <vt:lpstr>'RES_sv-SE'!dbFourier_LblChkBox</vt:lpstr>
      <vt:lpstr>'RES_tr-TR'!dbFourier_LblChkBox</vt:lpstr>
      <vt:lpstr>'RES_zh-CN'!dbFourier_LblChkBox</vt:lpstr>
      <vt:lpstr>'RES_zh-TW'!dbFourier_LblChkBox</vt:lpstr>
      <vt:lpstr>'RES_cs-CZ'!dbFourier_OutOption</vt:lpstr>
      <vt:lpstr>'RES_da-DK'!dbFourier_OutOption</vt:lpstr>
      <vt:lpstr>'RES_de-DE'!dbFourier_OutOption</vt:lpstr>
      <vt:lpstr>'RES_el-GR'!dbFourier_OutOption</vt:lpstr>
      <vt:lpstr>'RES_en-US'!dbFourier_OutOption</vt:lpstr>
      <vt:lpstr>'RES_es-ES'!dbFourier_OutOption</vt:lpstr>
      <vt:lpstr>'RES_fi-FI'!dbFourier_OutOption</vt:lpstr>
      <vt:lpstr>'RES_fr-FR'!dbFourier_OutOption</vt:lpstr>
      <vt:lpstr>'RES_hr-HR'!dbFourier_OutOption</vt:lpstr>
      <vt:lpstr>'RES_hu-HU'!dbFourier_OutOption</vt:lpstr>
      <vt:lpstr>'RES_it-IT'!dbFourier_OutOption</vt:lpstr>
      <vt:lpstr>'RES_ja-JP'!dbFourier_OutOption</vt:lpstr>
      <vt:lpstr>'RES_ko-KR'!dbFourier_OutOption</vt:lpstr>
      <vt:lpstr>'RES_lv-LV'!dbFourier_OutOption</vt:lpstr>
      <vt:lpstr>'RES_nb-NO'!dbFourier_OutOption</vt:lpstr>
      <vt:lpstr>'RES_nl-NL'!dbFourier_OutOption</vt:lpstr>
      <vt:lpstr>'RES_pl-PL'!dbFourier_OutOption</vt:lpstr>
      <vt:lpstr>'RES_pt-BR'!dbFourier_OutOption</vt:lpstr>
      <vt:lpstr>'RES_pt-PT'!dbFourier_OutOption</vt:lpstr>
      <vt:lpstr>'RES_ro-RO'!dbFourier_OutOption</vt:lpstr>
      <vt:lpstr>'RES_ru-RU'!dbFourier_OutOption</vt:lpstr>
      <vt:lpstr>'RES_sl-SI'!dbFourier_OutOption</vt:lpstr>
      <vt:lpstr>'RES_sv-SE'!dbFourier_OutOption</vt:lpstr>
      <vt:lpstr>'RES_tr-TR'!dbFourier_OutOption</vt:lpstr>
      <vt:lpstr>'RES_zh-CN'!dbFourier_OutOption</vt:lpstr>
      <vt:lpstr>'RES_zh-TW'!dbFourier_OutOption</vt:lpstr>
      <vt:lpstr>'RES_cs-CZ'!dbFourier_PlyInpFld</vt:lpstr>
      <vt:lpstr>'RES_da-DK'!dbFourier_PlyInpFld</vt:lpstr>
      <vt:lpstr>'RES_de-DE'!dbFourier_PlyInpFld</vt:lpstr>
      <vt:lpstr>'RES_el-GR'!dbFourier_PlyInpFld</vt:lpstr>
      <vt:lpstr>'RES_en-US'!dbFourier_PlyInpFld</vt:lpstr>
      <vt:lpstr>'RES_es-ES'!dbFourier_PlyInpFld</vt:lpstr>
      <vt:lpstr>'RES_fi-FI'!dbFourier_PlyInpFld</vt:lpstr>
      <vt:lpstr>'RES_fr-FR'!dbFourier_PlyInpFld</vt:lpstr>
      <vt:lpstr>'RES_hr-HR'!dbFourier_PlyInpFld</vt:lpstr>
      <vt:lpstr>'RES_hu-HU'!dbFourier_PlyInpFld</vt:lpstr>
      <vt:lpstr>'RES_it-IT'!dbFourier_PlyInpFld</vt:lpstr>
      <vt:lpstr>'RES_ja-JP'!dbFourier_PlyInpFld</vt:lpstr>
      <vt:lpstr>'RES_ko-KR'!dbFourier_PlyInpFld</vt:lpstr>
      <vt:lpstr>'RES_lv-LV'!dbFourier_PlyInpFld</vt:lpstr>
      <vt:lpstr>'RES_nb-NO'!dbFourier_PlyInpFld</vt:lpstr>
      <vt:lpstr>'RES_nl-NL'!dbFourier_PlyInpFld</vt:lpstr>
      <vt:lpstr>'RES_pl-PL'!dbFourier_PlyInpFld</vt:lpstr>
      <vt:lpstr>'RES_pt-BR'!dbFourier_PlyInpFld</vt:lpstr>
      <vt:lpstr>'RES_pt-PT'!dbFourier_PlyInpFld</vt:lpstr>
      <vt:lpstr>'RES_ro-RO'!dbFourier_PlyInpFld</vt:lpstr>
      <vt:lpstr>'RES_ru-RU'!dbFourier_PlyInpFld</vt:lpstr>
      <vt:lpstr>'RES_sl-SI'!dbFourier_PlyInpFld</vt:lpstr>
      <vt:lpstr>'RES_sv-SE'!dbFourier_PlyInpFld</vt:lpstr>
      <vt:lpstr>'RES_tr-TR'!dbFourier_PlyInpFld</vt:lpstr>
      <vt:lpstr>'RES_zh-CN'!dbFourier_PlyInpFld</vt:lpstr>
      <vt:lpstr>'RES_zh-TW'!dbFourier_PlyInpFld</vt:lpstr>
      <vt:lpstr>'RES_cs-CZ'!dbFourier_PlyName</vt:lpstr>
      <vt:lpstr>'RES_da-DK'!dbFourier_PlyName</vt:lpstr>
      <vt:lpstr>'RES_de-DE'!dbFourier_PlyName</vt:lpstr>
      <vt:lpstr>'RES_el-GR'!dbFourier_PlyName</vt:lpstr>
      <vt:lpstr>'RES_en-US'!dbFourier_PlyName</vt:lpstr>
      <vt:lpstr>'RES_es-ES'!dbFourier_PlyName</vt:lpstr>
      <vt:lpstr>'RES_fi-FI'!dbFourier_PlyName</vt:lpstr>
      <vt:lpstr>'RES_fr-FR'!dbFourier_PlyName</vt:lpstr>
      <vt:lpstr>'RES_hr-HR'!dbFourier_PlyName</vt:lpstr>
      <vt:lpstr>'RES_hu-HU'!dbFourier_PlyName</vt:lpstr>
      <vt:lpstr>'RES_it-IT'!dbFourier_PlyName</vt:lpstr>
      <vt:lpstr>'RES_ja-JP'!dbFourier_PlyName</vt:lpstr>
      <vt:lpstr>'RES_ko-KR'!dbFourier_PlyName</vt:lpstr>
      <vt:lpstr>'RES_lv-LV'!dbFourier_PlyName</vt:lpstr>
      <vt:lpstr>'RES_nb-NO'!dbFourier_PlyName</vt:lpstr>
      <vt:lpstr>'RES_nl-NL'!dbFourier_PlyName</vt:lpstr>
      <vt:lpstr>'RES_pl-PL'!dbFourier_PlyName</vt:lpstr>
      <vt:lpstr>'RES_pt-BR'!dbFourier_PlyName</vt:lpstr>
      <vt:lpstr>'RES_pt-PT'!dbFourier_PlyName</vt:lpstr>
      <vt:lpstr>'RES_ro-RO'!dbFourier_PlyName</vt:lpstr>
      <vt:lpstr>'RES_ru-RU'!dbFourier_PlyName</vt:lpstr>
      <vt:lpstr>'RES_sl-SI'!dbFourier_PlyName</vt:lpstr>
      <vt:lpstr>'RES_sv-SE'!dbFourier_PlyName</vt:lpstr>
      <vt:lpstr>'RES_tr-TR'!dbFourier_PlyName</vt:lpstr>
      <vt:lpstr>'RES_zh-CN'!dbFourier_PlyName</vt:lpstr>
      <vt:lpstr>'RES_zh-TW'!dbFourier_PlyName</vt:lpstr>
      <vt:lpstr>'RES_cs-CZ'!dbFourier_RangeInpFld</vt:lpstr>
      <vt:lpstr>'RES_da-DK'!dbFourier_RangeInpFld</vt:lpstr>
      <vt:lpstr>'RES_de-DE'!dbFourier_RangeInpFld</vt:lpstr>
      <vt:lpstr>'RES_el-GR'!dbFourier_RangeInpFld</vt:lpstr>
      <vt:lpstr>'RES_en-US'!dbFourier_RangeInpFld</vt:lpstr>
      <vt:lpstr>'RES_es-ES'!dbFourier_RangeInpFld</vt:lpstr>
      <vt:lpstr>'RES_fi-FI'!dbFourier_RangeInpFld</vt:lpstr>
      <vt:lpstr>'RES_fr-FR'!dbFourier_RangeInpFld</vt:lpstr>
      <vt:lpstr>'RES_hr-HR'!dbFourier_RangeInpFld</vt:lpstr>
      <vt:lpstr>'RES_hu-HU'!dbFourier_RangeInpFld</vt:lpstr>
      <vt:lpstr>'RES_it-IT'!dbFourier_RangeInpFld</vt:lpstr>
      <vt:lpstr>'RES_ja-JP'!dbFourier_RangeInpFld</vt:lpstr>
      <vt:lpstr>'RES_ko-KR'!dbFourier_RangeInpFld</vt:lpstr>
      <vt:lpstr>'RES_lv-LV'!dbFourier_RangeInpFld</vt:lpstr>
      <vt:lpstr>'RES_nb-NO'!dbFourier_RangeInpFld</vt:lpstr>
      <vt:lpstr>'RES_nl-NL'!dbFourier_RangeInpFld</vt:lpstr>
      <vt:lpstr>'RES_pl-PL'!dbFourier_RangeInpFld</vt:lpstr>
      <vt:lpstr>'RES_pt-BR'!dbFourier_RangeInpFld</vt:lpstr>
      <vt:lpstr>'RES_pt-PT'!dbFourier_RangeInpFld</vt:lpstr>
      <vt:lpstr>'RES_ro-RO'!dbFourier_RangeInpFld</vt:lpstr>
      <vt:lpstr>'RES_ru-RU'!dbFourier_RangeInpFld</vt:lpstr>
      <vt:lpstr>'RES_sl-SI'!dbFourier_RangeInpFld</vt:lpstr>
      <vt:lpstr>'RES_sv-SE'!dbFourier_RangeInpFld</vt:lpstr>
      <vt:lpstr>'RES_tr-TR'!dbFourier_RangeInpFld</vt:lpstr>
      <vt:lpstr>'RES_zh-CN'!dbFourier_RangeInpFld</vt:lpstr>
      <vt:lpstr>'RES_zh-TW'!dbFourier_RangeInpFld</vt:lpstr>
      <vt:lpstr>'RES_cs-CZ'!dbFourier_RangeRef</vt:lpstr>
      <vt:lpstr>'RES_da-DK'!dbFourier_RangeRef</vt:lpstr>
      <vt:lpstr>'RES_de-DE'!dbFourier_RangeRef</vt:lpstr>
      <vt:lpstr>'RES_el-GR'!dbFourier_RangeRef</vt:lpstr>
      <vt:lpstr>'RES_en-US'!dbFourier_RangeRef</vt:lpstr>
      <vt:lpstr>'RES_es-ES'!dbFourier_RangeRef</vt:lpstr>
      <vt:lpstr>'RES_fi-FI'!dbFourier_RangeRef</vt:lpstr>
      <vt:lpstr>'RES_fr-FR'!dbFourier_RangeRef</vt:lpstr>
      <vt:lpstr>'RES_hr-HR'!dbFourier_RangeRef</vt:lpstr>
      <vt:lpstr>'RES_hu-HU'!dbFourier_RangeRef</vt:lpstr>
      <vt:lpstr>'RES_it-IT'!dbFourier_RangeRef</vt:lpstr>
      <vt:lpstr>'RES_ja-JP'!dbFourier_RangeRef</vt:lpstr>
      <vt:lpstr>'RES_ko-KR'!dbFourier_RangeRef</vt:lpstr>
      <vt:lpstr>'RES_lv-LV'!dbFourier_RangeRef</vt:lpstr>
      <vt:lpstr>'RES_nb-NO'!dbFourier_RangeRef</vt:lpstr>
      <vt:lpstr>'RES_nl-NL'!dbFourier_RangeRef</vt:lpstr>
      <vt:lpstr>'RES_pl-PL'!dbFourier_RangeRef</vt:lpstr>
      <vt:lpstr>'RES_pt-BR'!dbFourier_RangeRef</vt:lpstr>
      <vt:lpstr>'RES_pt-PT'!dbFourier_RangeRef</vt:lpstr>
      <vt:lpstr>'RES_ro-RO'!dbFourier_RangeRef</vt:lpstr>
      <vt:lpstr>'RES_ru-RU'!dbFourier_RangeRef</vt:lpstr>
      <vt:lpstr>'RES_sl-SI'!dbFourier_RangeRef</vt:lpstr>
      <vt:lpstr>'RES_sv-SE'!dbFourier_RangeRef</vt:lpstr>
      <vt:lpstr>'RES_tr-TR'!dbFourier_RangeRef</vt:lpstr>
      <vt:lpstr>'RES_zh-CN'!dbFourier_RangeRef</vt:lpstr>
      <vt:lpstr>'RES_zh-TW'!dbFourier_RangeRef</vt:lpstr>
      <vt:lpstr>'RES_cs-CZ'!dbFourierTitle</vt:lpstr>
      <vt:lpstr>'RES_da-DK'!dbFourierTitle</vt:lpstr>
      <vt:lpstr>'RES_de-DE'!dbFourierTitle</vt:lpstr>
      <vt:lpstr>'RES_el-GR'!dbFourierTitle</vt:lpstr>
      <vt:lpstr>'RES_en-US'!dbFourierTitle</vt:lpstr>
      <vt:lpstr>'RES_es-ES'!dbFourierTitle</vt:lpstr>
      <vt:lpstr>'RES_fi-FI'!dbFourierTitle</vt:lpstr>
      <vt:lpstr>'RES_fr-FR'!dbFourierTitle</vt:lpstr>
      <vt:lpstr>'RES_hr-HR'!dbFourierTitle</vt:lpstr>
      <vt:lpstr>'RES_hu-HU'!dbFourierTitle</vt:lpstr>
      <vt:lpstr>'RES_it-IT'!dbFourierTitle</vt:lpstr>
      <vt:lpstr>'RES_ja-JP'!dbFourierTitle</vt:lpstr>
      <vt:lpstr>'RES_ko-KR'!dbFourierTitle</vt:lpstr>
      <vt:lpstr>'RES_lv-LV'!dbFourierTitle</vt:lpstr>
      <vt:lpstr>'RES_nb-NO'!dbFourierTitle</vt:lpstr>
      <vt:lpstr>'RES_nl-NL'!dbFourierTitle</vt:lpstr>
      <vt:lpstr>'RES_pl-PL'!dbFourierTitle</vt:lpstr>
      <vt:lpstr>'RES_pt-BR'!dbFourierTitle</vt:lpstr>
      <vt:lpstr>'RES_pt-PT'!dbFourierTitle</vt:lpstr>
      <vt:lpstr>'RES_ro-RO'!dbFourierTitle</vt:lpstr>
      <vt:lpstr>'RES_ru-RU'!dbFourierTitle</vt:lpstr>
      <vt:lpstr>'RES_sl-SI'!dbFourierTitle</vt:lpstr>
      <vt:lpstr>'RES_sv-SE'!dbFourierTitle</vt:lpstr>
      <vt:lpstr>'RES_tr-TR'!dbFourierTitle</vt:lpstr>
      <vt:lpstr>'RES_zh-CN'!dbFourierTitle</vt:lpstr>
      <vt:lpstr>'RES_zh-TW'!dbFourierTitle</vt:lpstr>
      <vt:lpstr>'RES_cs-CZ'!dbFTest</vt:lpstr>
      <vt:lpstr>'RES_da-DK'!dbFTest</vt:lpstr>
      <vt:lpstr>'RES_de-DE'!dbFTest</vt:lpstr>
      <vt:lpstr>'RES_el-GR'!dbFTest</vt:lpstr>
      <vt:lpstr>'RES_en-US'!dbFTest</vt:lpstr>
      <vt:lpstr>'RES_es-ES'!dbFTest</vt:lpstr>
      <vt:lpstr>'RES_fi-FI'!dbFTest</vt:lpstr>
      <vt:lpstr>'RES_fr-FR'!dbFTest</vt:lpstr>
      <vt:lpstr>'RES_hr-HR'!dbFTest</vt:lpstr>
      <vt:lpstr>'RES_hu-HU'!dbFTest</vt:lpstr>
      <vt:lpstr>'RES_it-IT'!dbFTest</vt:lpstr>
      <vt:lpstr>'RES_ja-JP'!dbFTest</vt:lpstr>
      <vt:lpstr>'RES_ko-KR'!dbFTest</vt:lpstr>
      <vt:lpstr>'RES_lv-LV'!dbFTest</vt:lpstr>
      <vt:lpstr>'RES_nb-NO'!dbFTest</vt:lpstr>
      <vt:lpstr>'RES_nl-NL'!dbFTest</vt:lpstr>
      <vt:lpstr>'RES_pl-PL'!dbFTest</vt:lpstr>
      <vt:lpstr>'RES_pt-BR'!dbFTest</vt:lpstr>
      <vt:lpstr>'RES_pt-PT'!dbFTest</vt:lpstr>
      <vt:lpstr>'RES_ro-RO'!dbFTest</vt:lpstr>
      <vt:lpstr>'RES_ru-RU'!dbFTest</vt:lpstr>
      <vt:lpstr>'RES_sl-SI'!dbFTest</vt:lpstr>
      <vt:lpstr>'RES_sv-SE'!dbFTest</vt:lpstr>
      <vt:lpstr>'RES_tr-TR'!dbFTest</vt:lpstr>
      <vt:lpstr>'RES_zh-CN'!dbFTest</vt:lpstr>
      <vt:lpstr>'RES_zh-TW'!dbFTest</vt:lpstr>
      <vt:lpstr>'RES_cs-CZ'!dbFTest_AlphaValue</vt:lpstr>
      <vt:lpstr>'RES_da-DK'!dbFTest_AlphaValue</vt:lpstr>
      <vt:lpstr>'RES_de-DE'!dbFTest_AlphaValue</vt:lpstr>
      <vt:lpstr>'RES_el-GR'!dbFTest_AlphaValue</vt:lpstr>
      <vt:lpstr>'RES_en-US'!dbFTest_AlphaValue</vt:lpstr>
      <vt:lpstr>'RES_es-ES'!dbFTest_AlphaValue</vt:lpstr>
      <vt:lpstr>'RES_fi-FI'!dbFTest_AlphaValue</vt:lpstr>
      <vt:lpstr>'RES_fr-FR'!dbFTest_AlphaValue</vt:lpstr>
      <vt:lpstr>'RES_hr-HR'!dbFTest_AlphaValue</vt:lpstr>
      <vt:lpstr>'RES_hu-HU'!dbFTest_AlphaValue</vt:lpstr>
      <vt:lpstr>'RES_it-IT'!dbFTest_AlphaValue</vt:lpstr>
      <vt:lpstr>'RES_ja-JP'!dbFTest_AlphaValue</vt:lpstr>
      <vt:lpstr>'RES_ko-KR'!dbFTest_AlphaValue</vt:lpstr>
      <vt:lpstr>'RES_lv-LV'!dbFTest_AlphaValue</vt:lpstr>
      <vt:lpstr>'RES_nb-NO'!dbFTest_AlphaValue</vt:lpstr>
      <vt:lpstr>'RES_nl-NL'!dbFTest_AlphaValue</vt:lpstr>
      <vt:lpstr>'RES_pl-PL'!dbFTest_AlphaValue</vt:lpstr>
      <vt:lpstr>'RES_pt-BR'!dbFTest_AlphaValue</vt:lpstr>
      <vt:lpstr>'RES_pt-PT'!dbFTest_AlphaValue</vt:lpstr>
      <vt:lpstr>'RES_ro-RO'!dbFTest_AlphaValue</vt:lpstr>
      <vt:lpstr>'RES_ru-RU'!dbFTest_AlphaValue</vt:lpstr>
      <vt:lpstr>'RES_sl-SI'!dbFTest_AlphaValue</vt:lpstr>
      <vt:lpstr>'RES_sv-SE'!dbFTest_AlphaValue</vt:lpstr>
      <vt:lpstr>'RES_tr-TR'!dbFTest_AlphaValue</vt:lpstr>
      <vt:lpstr>'RES_zh-CN'!dbFTest_AlphaValue</vt:lpstr>
      <vt:lpstr>'RES_zh-TW'!dbFTest_AlphaValue</vt:lpstr>
      <vt:lpstr>'RES_cs-CZ'!dbFTest_LabelText</vt:lpstr>
      <vt:lpstr>'RES_da-DK'!dbFTest_LabelText</vt:lpstr>
      <vt:lpstr>'RES_de-DE'!dbFTest_LabelText</vt:lpstr>
      <vt:lpstr>'RES_el-GR'!dbFTest_LabelText</vt:lpstr>
      <vt:lpstr>'RES_en-US'!dbFTest_LabelText</vt:lpstr>
      <vt:lpstr>'RES_es-ES'!dbFTest_LabelText</vt:lpstr>
      <vt:lpstr>'RES_fi-FI'!dbFTest_LabelText</vt:lpstr>
      <vt:lpstr>'RES_fr-FR'!dbFTest_LabelText</vt:lpstr>
      <vt:lpstr>'RES_hr-HR'!dbFTest_LabelText</vt:lpstr>
      <vt:lpstr>'RES_hu-HU'!dbFTest_LabelText</vt:lpstr>
      <vt:lpstr>'RES_it-IT'!dbFTest_LabelText</vt:lpstr>
      <vt:lpstr>'RES_ja-JP'!dbFTest_LabelText</vt:lpstr>
      <vt:lpstr>'RES_ko-KR'!dbFTest_LabelText</vt:lpstr>
      <vt:lpstr>'RES_lv-LV'!dbFTest_LabelText</vt:lpstr>
      <vt:lpstr>'RES_nb-NO'!dbFTest_LabelText</vt:lpstr>
      <vt:lpstr>'RES_nl-NL'!dbFTest_LabelText</vt:lpstr>
      <vt:lpstr>'RES_pl-PL'!dbFTest_LabelText</vt:lpstr>
      <vt:lpstr>'RES_pt-BR'!dbFTest_LabelText</vt:lpstr>
      <vt:lpstr>'RES_pt-PT'!dbFTest_LabelText</vt:lpstr>
      <vt:lpstr>'RES_ro-RO'!dbFTest_LabelText</vt:lpstr>
      <vt:lpstr>'RES_ru-RU'!dbFTest_LabelText</vt:lpstr>
      <vt:lpstr>'RES_sl-SI'!dbFTest_LabelText</vt:lpstr>
      <vt:lpstr>'RES_sv-SE'!dbFTest_LabelText</vt:lpstr>
      <vt:lpstr>'RES_tr-TR'!dbFTest_LabelText</vt:lpstr>
      <vt:lpstr>'RES_zh-CN'!dbFTest_LabelText</vt:lpstr>
      <vt:lpstr>'RES_zh-TW'!dbFTest_LabelText</vt:lpstr>
      <vt:lpstr>'RES_cs-CZ'!dbFTest_LblChkBox</vt:lpstr>
      <vt:lpstr>'RES_da-DK'!dbFTest_LblChkBox</vt:lpstr>
      <vt:lpstr>'RES_de-DE'!dbFTest_LblChkBox</vt:lpstr>
      <vt:lpstr>'RES_el-GR'!dbFTest_LblChkBox</vt:lpstr>
      <vt:lpstr>'RES_en-US'!dbFTest_LblChkBox</vt:lpstr>
      <vt:lpstr>'RES_es-ES'!dbFTest_LblChkBox</vt:lpstr>
      <vt:lpstr>'RES_fi-FI'!dbFTest_LblChkBox</vt:lpstr>
      <vt:lpstr>'RES_fr-FR'!dbFTest_LblChkBox</vt:lpstr>
      <vt:lpstr>'RES_hr-HR'!dbFTest_LblChkBox</vt:lpstr>
      <vt:lpstr>'RES_hu-HU'!dbFTest_LblChkBox</vt:lpstr>
      <vt:lpstr>'RES_it-IT'!dbFTest_LblChkBox</vt:lpstr>
      <vt:lpstr>'RES_ja-JP'!dbFTest_LblChkBox</vt:lpstr>
      <vt:lpstr>'RES_ko-KR'!dbFTest_LblChkBox</vt:lpstr>
      <vt:lpstr>'RES_lv-LV'!dbFTest_LblChkBox</vt:lpstr>
      <vt:lpstr>'RES_nb-NO'!dbFTest_LblChkBox</vt:lpstr>
      <vt:lpstr>'RES_nl-NL'!dbFTest_LblChkBox</vt:lpstr>
      <vt:lpstr>'RES_pl-PL'!dbFTest_LblChkBox</vt:lpstr>
      <vt:lpstr>'RES_pt-BR'!dbFTest_LblChkBox</vt:lpstr>
      <vt:lpstr>'RES_pt-PT'!dbFTest_LblChkBox</vt:lpstr>
      <vt:lpstr>'RES_ro-RO'!dbFTest_LblChkBox</vt:lpstr>
      <vt:lpstr>'RES_ru-RU'!dbFTest_LblChkBox</vt:lpstr>
      <vt:lpstr>'RES_sl-SI'!dbFTest_LblChkBox</vt:lpstr>
      <vt:lpstr>'RES_sv-SE'!dbFTest_LblChkBox</vt:lpstr>
      <vt:lpstr>'RES_tr-TR'!dbFTest_LblChkBox</vt:lpstr>
      <vt:lpstr>'RES_zh-CN'!dbFTest_LblChkBox</vt:lpstr>
      <vt:lpstr>'RES_zh-TW'!dbFTest_LblChkBox</vt:lpstr>
      <vt:lpstr>'RES_cs-CZ'!dbFTest_OutOption</vt:lpstr>
      <vt:lpstr>'RES_da-DK'!dbFTest_OutOption</vt:lpstr>
      <vt:lpstr>'RES_de-DE'!dbFTest_OutOption</vt:lpstr>
      <vt:lpstr>'RES_el-GR'!dbFTest_OutOption</vt:lpstr>
      <vt:lpstr>'RES_en-US'!dbFTest_OutOption</vt:lpstr>
      <vt:lpstr>'RES_es-ES'!dbFTest_OutOption</vt:lpstr>
      <vt:lpstr>'RES_fi-FI'!dbFTest_OutOption</vt:lpstr>
      <vt:lpstr>'RES_fr-FR'!dbFTest_OutOption</vt:lpstr>
      <vt:lpstr>'RES_hr-HR'!dbFTest_OutOption</vt:lpstr>
      <vt:lpstr>'RES_hu-HU'!dbFTest_OutOption</vt:lpstr>
      <vt:lpstr>'RES_it-IT'!dbFTest_OutOption</vt:lpstr>
      <vt:lpstr>'RES_ja-JP'!dbFTest_OutOption</vt:lpstr>
      <vt:lpstr>'RES_ko-KR'!dbFTest_OutOption</vt:lpstr>
      <vt:lpstr>'RES_lv-LV'!dbFTest_OutOption</vt:lpstr>
      <vt:lpstr>'RES_nb-NO'!dbFTest_OutOption</vt:lpstr>
      <vt:lpstr>'RES_nl-NL'!dbFTest_OutOption</vt:lpstr>
      <vt:lpstr>'RES_pl-PL'!dbFTest_OutOption</vt:lpstr>
      <vt:lpstr>'RES_pt-BR'!dbFTest_OutOption</vt:lpstr>
      <vt:lpstr>'RES_pt-PT'!dbFTest_OutOption</vt:lpstr>
      <vt:lpstr>'RES_ro-RO'!dbFTest_OutOption</vt:lpstr>
      <vt:lpstr>'RES_ru-RU'!dbFTest_OutOption</vt:lpstr>
      <vt:lpstr>'RES_sl-SI'!dbFTest_OutOption</vt:lpstr>
      <vt:lpstr>'RES_sv-SE'!dbFTest_OutOption</vt:lpstr>
      <vt:lpstr>'RES_tr-TR'!dbFTest_OutOption</vt:lpstr>
      <vt:lpstr>'RES_zh-CN'!dbFTest_OutOption</vt:lpstr>
      <vt:lpstr>'RES_zh-TW'!dbFTest_OutOption</vt:lpstr>
      <vt:lpstr>'RES_cs-CZ'!dbFTest_PlyInpFld</vt:lpstr>
      <vt:lpstr>'RES_da-DK'!dbFTest_PlyInpFld</vt:lpstr>
      <vt:lpstr>'RES_de-DE'!dbFTest_PlyInpFld</vt:lpstr>
      <vt:lpstr>'RES_el-GR'!dbFTest_PlyInpFld</vt:lpstr>
      <vt:lpstr>'RES_en-US'!dbFTest_PlyInpFld</vt:lpstr>
      <vt:lpstr>'RES_es-ES'!dbFTest_PlyInpFld</vt:lpstr>
      <vt:lpstr>'RES_fi-FI'!dbFTest_PlyInpFld</vt:lpstr>
      <vt:lpstr>'RES_fr-FR'!dbFTest_PlyInpFld</vt:lpstr>
      <vt:lpstr>'RES_hr-HR'!dbFTest_PlyInpFld</vt:lpstr>
      <vt:lpstr>'RES_hu-HU'!dbFTest_PlyInpFld</vt:lpstr>
      <vt:lpstr>'RES_it-IT'!dbFTest_PlyInpFld</vt:lpstr>
      <vt:lpstr>'RES_ja-JP'!dbFTest_PlyInpFld</vt:lpstr>
      <vt:lpstr>'RES_ko-KR'!dbFTest_PlyInpFld</vt:lpstr>
      <vt:lpstr>'RES_lv-LV'!dbFTest_PlyInpFld</vt:lpstr>
      <vt:lpstr>'RES_nb-NO'!dbFTest_PlyInpFld</vt:lpstr>
      <vt:lpstr>'RES_nl-NL'!dbFTest_PlyInpFld</vt:lpstr>
      <vt:lpstr>'RES_pl-PL'!dbFTest_PlyInpFld</vt:lpstr>
      <vt:lpstr>'RES_pt-BR'!dbFTest_PlyInpFld</vt:lpstr>
      <vt:lpstr>'RES_pt-PT'!dbFTest_PlyInpFld</vt:lpstr>
      <vt:lpstr>'RES_ro-RO'!dbFTest_PlyInpFld</vt:lpstr>
      <vt:lpstr>'RES_ru-RU'!dbFTest_PlyInpFld</vt:lpstr>
      <vt:lpstr>'RES_sl-SI'!dbFTest_PlyInpFld</vt:lpstr>
      <vt:lpstr>'RES_sv-SE'!dbFTest_PlyInpFld</vt:lpstr>
      <vt:lpstr>'RES_tr-TR'!dbFTest_PlyInpFld</vt:lpstr>
      <vt:lpstr>'RES_zh-CN'!dbFTest_PlyInpFld</vt:lpstr>
      <vt:lpstr>'RES_zh-TW'!dbFTest_PlyInpFld</vt:lpstr>
      <vt:lpstr>'RES_cs-CZ'!dbFTest_PlyName</vt:lpstr>
      <vt:lpstr>'RES_da-DK'!dbFTest_PlyName</vt:lpstr>
      <vt:lpstr>'RES_de-DE'!dbFTest_PlyName</vt:lpstr>
      <vt:lpstr>'RES_el-GR'!dbFTest_PlyName</vt:lpstr>
      <vt:lpstr>'RES_en-US'!dbFTest_PlyName</vt:lpstr>
      <vt:lpstr>'RES_es-ES'!dbFTest_PlyName</vt:lpstr>
      <vt:lpstr>'RES_fi-FI'!dbFTest_PlyName</vt:lpstr>
      <vt:lpstr>'RES_fr-FR'!dbFTest_PlyName</vt:lpstr>
      <vt:lpstr>'RES_hr-HR'!dbFTest_PlyName</vt:lpstr>
      <vt:lpstr>'RES_hu-HU'!dbFTest_PlyName</vt:lpstr>
      <vt:lpstr>'RES_it-IT'!dbFTest_PlyName</vt:lpstr>
      <vt:lpstr>'RES_ja-JP'!dbFTest_PlyName</vt:lpstr>
      <vt:lpstr>'RES_ko-KR'!dbFTest_PlyName</vt:lpstr>
      <vt:lpstr>'RES_lv-LV'!dbFTest_PlyName</vt:lpstr>
      <vt:lpstr>'RES_nb-NO'!dbFTest_PlyName</vt:lpstr>
      <vt:lpstr>'RES_nl-NL'!dbFTest_PlyName</vt:lpstr>
      <vt:lpstr>'RES_pl-PL'!dbFTest_PlyName</vt:lpstr>
      <vt:lpstr>'RES_pt-BR'!dbFTest_PlyName</vt:lpstr>
      <vt:lpstr>'RES_pt-PT'!dbFTest_PlyName</vt:lpstr>
      <vt:lpstr>'RES_ro-RO'!dbFTest_PlyName</vt:lpstr>
      <vt:lpstr>'RES_ru-RU'!dbFTest_PlyName</vt:lpstr>
      <vt:lpstr>'RES_sl-SI'!dbFTest_PlyName</vt:lpstr>
      <vt:lpstr>'RES_sv-SE'!dbFTest_PlyName</vt:lpstr>
      <vt:lpstr>'RES_tr-TR'!dbFTest_PlyName</vt:lpstr>
      <vt:lpstr>'RES_zh-CN'!dbFTest_PlyName</vt:lpstr>
      <vt:lpstr>'RES_zh-TW'!dbFTest_PlyName</vt:lpstr>
      <vt:lpstr>'RES_cs-CZ'!dbFTest_RangeInpFld</vt:lpstr>
      <vt:lpstr>'RES_da-DK'!dbFTest_RangeInpFld</vt:lpstr>
      <vt:lpstr>'RES_de-DE'!dbFTest_RangeInpFld</vt:lpstr>
      <vt:lpstr>'RES_el-GR'!dbFTest_RangeInpFld</vt:lpstr>
      <vt:lpstr>'RES_en-US'!dbFTest_RangeInpFld</vt:lpstr>
      <vt:lpstr>'RES_es-ES'!dbFTest_RangeInpFld</vt:lpstr>
      <vt:lpstr>'RES_fi-FI'!dbFTest_RangeInpFld</vt:lpstr>
      <vt:lpstr>'RES_fr-FR'!dbFTest_RangeInpFld</vt:lpstr>
      <vt:lpstr>'RES_hr-HR'!dbFTest_RangeInpFld</vt:lpstr>
      <vt:lpstr>'RES_hu-HU'!dbFTest_RangeInpFld</vt:lpstr>
      <vt:lpstr>'RES_it-IT'!dbFTest_RangeInpFld</vt:lpstr>
      <vt:lpstr>'RES_ja-JP'!dbFTest_RangeInpFld</vt:lpstr>
      <vt:lpstr>'RES_ko-KR'!dbFTest_RangeInpFld</vt:lpstr>
      <vt:lpstr>'RES_lv-LV'!dbFTest_RangeInpFld</vt:lpstr>
      <vt:lpstr>'RES_nb-NO'!dbFTest_RangeInpFld</vt:lpstr>
      <vt:lpstr>'RES_nl-NL'!dbFTest_RangeInpFld</vt:lpstr>
      <vt:lpstr>'RES_pl-PL'!dbFTest_RangeInpFld</vt:lpstr>
      <vt:lpstr>'RES_pt-BR'!dbFTest_RangeInpFld</vt:lpstr>
      <vt:lpstr>'RES_pt-PT'!dbFTest_RangeInpFld</vt:lpstr>
      <vt:lpstr>'RES_ro-RO'!dbFTest_RangeInpFld</vt:lpstr>
      <vt:lpstr>'RES_ru-RU'!dbFTest_RangeInpFld</vt:lpstr>
      <vt:lpstr>'RES_sl-SI'!dbFTest_RangeInpFld</vt:lpstr>
      <vt:lpstr>'RES_sv-SE'!dbFTest_RangeInpFld</vt:lpstr>
      <vt:lpstr>'RES_tr-TR'!dbFTest_RangeInpFld</vt:lpstr>
      <vt:lpstr>'RES_zh-CN'!dbFTest_RangeInpFld</vt:lpstr>
      <vt:lpstr>'RES_zh-TW'!dbFTest_RangeInpFld</vt:lpstr>
      <vt:lpstr>'RES_cs-CZ'!dbFTest_RangeRef</vt:lpstr>
      <vt:lpstr>'RES_da-DK'!dbFTest_RangeRef</vt:lpstr>
      <vt:lpstr>'RES_de-DE'!dbFTest_RangeRef</vt:lpstr>
      <vt:lpstr>'RES_el-GR'!dbFTest_RangeRef</vt:lpstr>
      <vt:lpstr>'RES_en-US'!dbFTest_RangeRef</vt:lpstr>
      <vt:lpstr>'RES_es-ES'!dbFTest_RangeRef</vt:lpstr>
      <vt:lpstr>'RES_fi-FI'!dbFTest_RangeRef</vt:lpstr>
      <vt:lpstr>'RES_fr-FR'!dbFTest_RangeRef</vt:lpstr>
      <vt:lpstr>'RES_hr-HR'!dbFTest_RangeRef</vt:lpstr>
      <vt:lpstr>'RES_hu-HU'!dbFTest_RangeRef</vt:lpstr>
      <vt:lpstr>'RES_it-IT'!dbFTest_RangeRef</vt:lpstr>
      <vt:lpstr>'RES_ja-JP'!dbFTest_RangeRef</vt:lpstr>
      <vt:lpstr>'RES_ko-KR'!dbFTest_RangeRef</vt:lpstr>
      <vt:lpstr>'RES_lv-LV'!dbFTest_RangeRef</vt:lpstr>
      <vt:lpstr>'RES_nb-NO'!dbFTest_RangeRef</vt:lpstr>
      <vt:lpstr>'RES_nl-NL'!dbFTest_RangeRef</vt:lpstr>
      <vt:lpstr>'RES_pl-PL'!dbFTest_RangeRef</vt:lpstr>
      <vt:lpstr>'RES_pt-BR'!dbFTest_RangeRef</vt:lpstr>
      <vt:lpstr>'RES_pt-PT'!dbFTest_RangeRef</vt:lpstr>
      <vt:lpstr>'RES_ro-RO'!dbFTest_RangeRef</vt:lpstr>
      <vt:lpstr>'RES_ru-RU'!dbFTest_RangeRef</vt:lpstr>
      <vt:lpstr>'RES_sl-SI'!dbFTest_RangeRef</vt:lpstr>
      <vt:lpstr>'RES_sv-SE'!dbFTest_RangeRef</vt:lpstr>
      <vt:lpstr>'RES_tr-TR'!dbFTest_RangeRef</vt:lpstr>
      <vt:lpstr>'RES_zh-CN'!dbFTest_RangeRef</vt:lpstr>
      <vt:lpstr>'RES_zh-TW'!dbFTest_RangeRef</vt:lpstr>
      <vt:lpstr>'RES_cs-CZ'!dbFTest_VarRng1</vt:lpstr>
      <vt:lpstr>'RES_da-DK'!dbFTest_VarRng1</vt:lpstr>
      <vt:lpstr>'RES_de-DE'!dbFTest_VarRng1</vt:lpstr>
      <vt:lpstr>'RES_el-GR'!dbFTest_VarRng1</vt:lpstr>
      <vt:lpstr>'RES_en-US'!dbFTest_VarRng1</vt:lpstr>
      <vt:lpstr>'RES_es-ES'!dbFTest_VarRng1</vt:lpstr>
      <vt:lpstr>'RES_fi-FI'!dbFTest_VarRng1</vt:lpstr>
      <vt:lpstr>'RES_fr-FR'!dbFTest_VarRng1</vt:lpstr>
      <vt:lpstr>'RES_hr-HR'!dbFTest_VarRng1</vt:lpstr>
      <vt:lpstr>'RES_hu-HU'!dbFTest_VarRng1</vt:lpstr>
      <vt:lpstr>'RES_it-IT'!dbFTest_VarRng1</vt:lpstr>
      <vt:lpstr>'RES_ja-JP'!dbFTest_VarRng1</vt:lpstr>
      <vt:lpstr>'RES_ko-KR'!dbFTest_VarRng1</vt:lpstr>
      <vt:lpstr>'RES_lv-LV'!dbFTest_VarRng1</vt:lpstr>
      <vt:lpstr>'RES_nb-NO'!dbFTest_VarRng1</vt:lpstr>
      <vt:lpstr>'RES_nl-NL'!dbFTest_VarRng1</vt:lpstr>
      <vt:lpstr>'RES_pl-PL'!dbFTest_VarRng1</vt:lpstr>
      <vt:lpstr>'RES_pt-BR'!dbFTest_VarRng1</vt:lpstr>
      <vt:lpstr>'RES_pt-PT'!dbFTest_VarRng1</vt:lpstr>
      <vt:lpstr>'RES_ro-RO'!dbFTest_VarRng1</vt:lpstr>
      <vt:lpstr>'RES_ru-RU'!dbFTest_VarRng1</vt:lpstr>
      <vt:lpstr>'RES_sl-SI'!dbFTest_VarRng1</vt:lpstr>
      <vt:lpstr>'RES_sv-SE'!dbFTest_VarRng1</vt:lpstr>
      <vt:lpstr>'RES_tr-TR'!dbFTest_VarRng1</vt:lpstr>
      <vt:lpstr>'RES_zh-CN'!dbFTest_VarRng1</vt:lpstr>
      <vt:lpstr>'RES_zh-TW'!dbFTest_VarRng1</vt:lpstr>
      <vt:lpstr>'RES_cs-CZ'!dbFTest_VarRng2</vt:lpstr>
      <vt:lpstr>'RES_da-DK'!dbFTest_VarRng2</vt:lpstr>
      <vt:lpstr>'RES_de-DE'!dbFTest_VarRng2</vt:lpstr>
      <vt:lpstr>'RES_el-GR'!dbFTest_VarRng2</vt:lpstr>
      <vt:lpstr>'RES_en-US'!dbFTest_VarRng2</vt:lpstr>
      <vt:lpstr>'RES_es-ES'!dbFTest_VarRng2</vt:lpstr>
      <vt:lpstr>'RES_fi-FI'!dbFTest_VarRng2</vt:lpstr>
      <vt:lpstr>'RES_fr-FR'!dbFTest_VarRng2</vt:lpstr>
      <vt:lpstr>'RES_hr-HR'!dbFTest_VarRng2</vt:lpstr>
      <vt:lpstr>'RES_hu-HU'!dbFTest_VarRng2</vt:lpstr>
      <vt:lpstr>'RES_it-IT'!dbFTest_VarRng2</vt:lpstr>
      <vt:lpstr>'RES_ja-JP'!dbFTest_VarRng2</vt:lpstr>
      <vt:lpstr>'RES_ko-KR'!dbFTest_VarRng2</vt:lpstr>
      <vt:lpstr>'RES_lv-LV'!dbFTest_VarRng2</vt:lpstr>
      <vt:lpstr>'RES_nb-NO'!dbFTest_VarRng2</vt:lpstr>
      <vt:lpstr>'RES_nl-NL'!dbFTest_VarRng2</vt:lpstr>
      <vt:lpstr>'RES_pl-PL'!dbFTest_VarRng2</vt:lpstr>
      <vt:lpstr>'RES_pt-BR'!dbFTest_VarRng2</vt:lpstr>
      <vt:lpstr>'RES_pt-PT'!dbFTest_VarRng2</vt:lpstr>
      <vt:lpstr>'RES_ro-RO'!dbFTest_VarRng2</vt:lpstr>
      <vt:lpstr>'RES_ru-RU'!dbFTest_VarRng2</vt:lpstr>
      <vt:lpstr>'RES_sl-SI'!dbFTest_VarRng2</vt:lpstr>
      <vt:lpstr>'RES_sv-SE'!dbFTest_VarRng2</vt:lpstr>
      <vt:lpstr>'RES_tr-TR'!dbFTest_VarRng2</vt:lpstr>
      <vt:lpstr>'RES_zh-CN'!dbFTest_VarRng2</vt:lpstr>
      <vt:lpstr>'RES_zh-TW'!dbFTest_VarRng2</vt:lpstr>
      <vt:lpstr>'RES_cs-CZ'!dbFTestTitle</vt:lpstr>
      <vt:lpstr>'RES_da-DK'!dbFTestTitle</vt:lpstr>
      <vt:lpstr>'RES_de-DE'!dbFTestTitle</vt:lpstr>
      <vt:lpstr>'RES_el-GR'!dbFTestTitle</vt:lpstr>
      <vt:lpstr>'RES_en-US'!dbFTestTitle</vt:lpstr>
      <vt:lpstr>'RES_es-ES'!dbFTestTitle</vt:lpstr>
      <vt:lpstr>'RES_fi-FI'!dbFTestTitle</vt:lpstr>
      <vt:lpstr>'RES_fr-FR'!dbFTestTitle</vt:lpstr>
      <vt:lpstr>'RES_hr-HR'!dbFTestTitle</vt:lpstr>
      <vt:lpstr>'RES_hu-HU'!dbFTestTitle</vt:lpstr>
      <vt:lpstr>'RES_it-IT'!dbFTestTitle</vt:lpstr>
      <vt:lpstr>'RES_ja-JP'!dbFTestTitle</vt:lpstr>
      <vt:lpstr>'RES_ko-KR'!dbFTestTitle</vt:lpstr>
      <vt:lpstr>'RES_lv-LV'!dbFTestTitle</vt:lpstr>
      <vt:lpstr>'RES_nb-NO'!dbFTestTitle</vt:lpstr>
      <vt:lpstr>'RES_nl-NL'!dbFTestTitle</vt:lpstr>
      <vt:lpstr>'RES_pl-PL'!dbFTestTitle</vt:lpstr>
      <vt:lpstr>'RES_pt-BR'!dbFTestTitle</vt:lpstr>
      <vt:lpstr>'RES_pt-PT'!dbFTestTitle</vt:lpstr>
      <vt:lpstr>'RES_ro-RO'!dbFTestTitle</vt:lpstr>
      <vt:lpstr>'RES_ru-RU'!dbFTestTitle</vt:lpstr>
      <vt:lpstr>'RES_sl-SI'!dbFTestTitle</vt:lpstr>
      <vt:lpstr>'RES_sv-SE'!dbFTestTitle</vt:lpstr>
      <vt:lpstr>'RES_tr-TR'!dbFTestTitle</vt:lpstr>
      <vt:lpstr>'RES_zh-CN'!dbFTestTitle</vt:lpstr>
      <vt:lpstr>'RES_zh-TW'!dbFTestTitle</vt:lpstr>
      <vt:lpstr>'RES_cs-CZ'!dBHistogram</vt:lpstr>
      <vt:lpstr>'RES_da-DK'!dBHistogram</vt:lpstr>
      <vt:lpstr>'RES_de-DE'!dBHistogram</vt:lpstr>
      <vt:lpstr>'RES_el-GR'!dBHistogram</vt:lpstr>
      <vt:lpstr>'RES_en-US'!dBHistogram</vt:lpstr>
      <vt:lpstr>'RES_es-ES'!dBHistogram</vt:lpstr>
      <vt:lpstr>'RES_fi-FI'!dBHistogram</vt:lpstr>
      <vt:lpstr>'RES_fr-FR'!dBHistogram</vt:lpstr>
      <vt:lpstr>'RES_hr-HR'!dBHistogram</vt:lpstr>
      <vt:lpstr>'RES_hu-HU'!dBHistogram</vt:lpstr>
      <vt:lpstr>'RES_it-IT'!dBHistogram</vt:lpstr>
      <vt:lpstr>'RES_ja-JP'!dBHistogram</vt:lpstr>
      <vt:lpstr>'RES_ko-KR'!dBHistogram</vt:lpstr>
      <vt:lpstr>'RES_lv-LV'!dBHistogram</vt:lpstr>
      <vt:lpstr>'RES_nb-NO'!dBHistogram</vt:lpstr>
      <vt:lpstr>'RES_nl-NL'!dBHistogram</vt:lpstr>
      <vt:lpstr>'RES_pl-PL'!dBHistogram</vt:lpstr>
      <vt:lpstr>'RES_pt-BR'!dBHistogram</vt:lpstr>
      <vt:lpstr>'RES_pt-PT'!dBHistogram</vt:lpstr>
      <vt:lpstr>'RES_ro-RO'!dBHistogram</vt:lpstr>
      <vt:lpstr>'RES_ru-RU'!dBHistogram</vt:lpstr>
      <vt:lpstr>'RES_sl-SI'!dBHistogram</vt:lpstr>
      <vt:lpstr>'RES_sv-SE'!dBHistogram</vt:lpstr>
      <vt:lpstr>'RES_tr-TR'!dBHistogram</vt:lpstr>
      <vt:lpstr>'RES_zh-CN'!dBHistogram</vt:lpstr>
      <vt:lpstr>'RES_zh-TW'!dBHistogram</vt:lpstr>
      <vt:lpstr>'RES_cs-CZ'!dbHistogram_BinRange</vt:lpstr>
      <vt:lpstr>'RES_da-DK'!dbHistogram_BinRange</vt:lpstr>
      <vt:lpstr>'RES_de-DE'!dbHistogram_BinRange</vt:lpstr>
      <vt:lpstr>'RES_el-GR'!dbHistogram_BinRange</vt:lpstr>
      <vt:lpstr>'RES_en-US'!dbHistogram_BinRange</vt:lpstr>
      <vt:lpstr>'RES_es-ES'!dbHistogram_BinRange</vt:lpstr>
      <vt:lpstr>'RES_fi-FI'!dbHistogram_BinRange</vt:lpstr>
      <vt:lpstr>'RES_fr-FR'!dbHistogram_BinRange</vt:lpstr>
      <vt:lpstr>'RES_hr-HR'!dbHistogram_BinRange</vt:lpstr>
      <vt:lpstr>'RES_hu-HU'!dbHistogram_BinRange</vt:lpstr>
      <vt:lpstr>'RES_it-IT'!dbHistogram_BinRange</vt:lpstr>
      <vt:lpstr>'RES_ja-JP'!dbHistogram_BinRange</vt:lpstr>
      <vt:lpstr>'RES_ko-KR'!dbHistogram_BinRange</vt:lpstr>
      <vt:lpstr>'RES_lv-LV'!dbHistogram_BinRange</vt:lpstr>
      <vt:lpstr>'RES_nb-NO'!dbHistogram_BinRange</vt:lpstr>
      <vt:lpstr>'RES_nl-NL'!dbHistogram_BinRange</vt:lpstr>
      <vt:lpstr>'RES_pl-PL'!dbHistogram_BinRange</vt:lpstr>
      <vt:lpstr>'RES_pt-BR'!dbHistogram_BinRange</vt:lpstr>
      <vt:lpstr>'RES_pt-PT'!dbHistogram_BinRange</vt:lpstr>
      <vt:lpstr>'RES_ro-RO'!dbHistogram_BinRange</vt:lpstr>
      <vt:lpstr>'RES_ru-RU'!dbHistogram_BinRange</vt:lpstr>
      <vt:lpstr>'RES_sl-SI'!dbHistogram_BinRange</vt:lpstr>
      <vt:lpstr>'RES_sv-SE'!dbHistogram_BinRange</vt:lpstr>
      <vt:lpstr>'RES_tr-TR'!dbHistogram_BinRange</vt:lpstr>
      <vt:lpstr>'RES_zh-CN'!dbHistogram_BinRange</vt:lpstr>
      <vt:lpstr>'RES_zh-TW'!dbHistogram_BinRange</vt:lpstr>
      <vt:lpstr>'RES_cs-CZ'!dbHistogram_ChartChkBox</vt:lpstr>
      <vt:lpstr>'RES_da-DK'!dbHistogram_ChartChkBox</vt:lpstr>
      <vt:lpstr>'RES_de-DE'!dbHistogram_ChartChkBox</vt:lpstr>
      <vt:lpstr>'RES_el-GR'!dbHistogram_ChartChkBox</vt:lpstr>
      <vt:lpstr>'RES_en-US'!dbHistogram_ChartChkBox</vt:lpstr>
      <vt:lpstr>'RES_es-ES'!dbHistogram_ChartChkBox</vt:lpstr>
      <vt:lpstr>'RES_fi-FI'!dbHistogram_ChartChkBox</vt:lpstr>
      <vt:lpstr>'RES_fr-FR'!dbHistogram_ChartChkBox</vt:lpstr>
      <vt:lpstr>'RES_hr-HR'!dbHistogram_ChartChkBox</vt:lpstr>
      <vt:lpstr>'RES_hu-HU'!dbHistogram_ChartChkBox</vt:lpstr>
      <vt:lpstr>'RES_it-IT'!dbHistogram_ChartChkBox</vt:lpstr>
      <vt:lpstr>'RES_ja-JP'!dbHistogram_ChartChkBox</vt:lpstr>
      <vt:lpstr>'RES_ko-KR'!dbHistogram_ChartChkBox</vt:lpstr>
      <vt:lpstr>'RES_lv-LV'!dbHistogram_ChartChkBox</vt:lpstr>
      <vt:lpstr>'RES_nb-NO'!dbHistogram_ChartChkBox</vt:lpstr>
      <vt:lpstr>'RES_nl-NL'!dbHistogram_ChartChkBox</vt:lpstr>
      <vt:lpstr>'RES_pl-PL'!dbHistogram_ChartChkBox</vt:lpstr>
      <vt:lpstr>'RES_pt-BR'!dbHistogram_ChartChkBox</vt:lpstr>
      <vt:lpstr>'RES_pt-PT'!dbHistogram_ChartChkBox</vt:lpstr>
      <vt:lpstr>'RES_ro-RO'!dbHistogram_ChartChkBox</vt:lpstr>
      <vt:lpstr>'RES_ru-RU'!dbHistogram_ChartChkBox</vt:lpstr>
      <vt:lpstr>'RES_sl-SI'!dbHistogram_ChartChkBox</vt:lpstr>
      <vt:lpstr>'RES_sv-SE'!dbHistogram_ChartChkBox</vt:lpstr>
      <vt:lpstr>'RES_tr-TR'!dbHistogram_ChartChkBox</vt:lpstr>
      <vt:lpstr>'RES_zh-CN'!dbHistogram_ChartChkBox</vt:lpstr>
      <vt:lpstr>'RES_zh-TW'!dbHistogram_ChartChkBox</vt:lpstr>
      <vt:lpstr>'RES_cs-CZ'!dbHistogram_CumuChkBox</vt:lpstr>
      <vt:lpstr>'RES_da-DK'!dbHistogram_CumuChkBox</vt:lpstr>
      <vt:lpstr>'RES_de-DE'!dbHistogram_CumuChkBox</vt:lpstr>
      <vt:lpstr>'RES_el-GR'!dbHistogram_CumuChkBox</vt:lpstr>
      <vt:lpstr>'RES_en-US'!dbHistogram_CumuChkBox</vt:lpstr>
      <vt:lpstr>'RES_es-ES'!dbHistogram_CumuChkBox</vt:lpstr>
      <vt:lpstr>'RES_fi-FI'!dbHistogram_CumuChkBox</vt:lpstr>
      <vt:lpstr>'RES_fr-FR'!dbHistogram_CumuChkBox</vt:lpstr>
      <vt:lpstr>'RES_hr-HR'!dbHistogram_CumuChkBox</vt:lpstr>
      <vt:lpstr>'RES_hu-HU'!dbHistogram_CumuChkBox</vt:lpstr>
      <vt:lpstr>'RES_it-IT'!dbHistogram_CumuChkBox</vt:lpstr>
      <vt:lpstr>'RES_ja-JP'!dbHistogram_CumuChkBox</vt:lpstr>
      <vt:lpstr>'RES_ko-KR'!dbHistogram_CumuChkBox</vt:lpstr>
      <vt:lpstr>'RES_lv-LV'!dbHistogram_CumuChkBox</vt:lpstr>
      <vt:lpstr>'RES_nb-NO'!dbHistogram_CumuChkBox</vt:lpstr>
      <vt:lpstr>'RES_nl-NL'!dbHistogram_CumuChkBox</vt:lpstr>
      <vt:lpstr>'RES_pl-PL'!dbHistogram_CumuChkBox</vt:lpstr>
      <vt:lpstr>'RES_pt-BR'!dbHistogram_CumuChkBox</vt:lpstr>
      <vt:lpstr>'RES_pt-PT'!dbHistogram_CumuChkBox</vt:lpstr>
      <vt:lpstr>'RES_ro-RO'!dbHistogram_CumuChkBox</vt:lpstr>
      <vt:lpstr>'RES_ru-RU'!dbHistogram_CumuChkBox</vt:lpstr>
      <vt:lpstr>'RES_sl-SI'!dbHistogram_CumuChkBox</vt:lpstr>
      <vt:lpstr>'RES_sv-SE'!dbHistogram_CumuChkBox</vt:lpstr>
      <vt:lpstr>'RES_tr-TR'!dbHistogram_CumuChkBox</vt:lpstr>
      <vt:lpstr>'RES_zh-CN'!dbHistogram_CumuChkBox</vt:lpstr>
      <vt:lpstr>'RES_zh-TW'!dbHistogram_CumuChkBox</vt:lpstr>
      <vt:lpstr>'RES_cs-CZ'!dbHistogram_InRange</vt:lpstr>
      <vt:lpstr>'RES_da-DK'!dbHistogram_InRange</vt:lpstr>
      <vt:lpstr>'RES_de-DE'!dbHistogram_InRange</vt:lpstr>
      <vt:lpstr>'RES_el-GR'!dbHistogram_InRange</vt:lpstr>
      <vt:lpstr>'RES_en-US'!dbHistogram_InRange</vt:lpstr>
      <vt:lpstr>'RES_es-ES'!dbHistogram_InRange</vt:lpstr>
      <vt:lpstr>'RES_fi-FI'!dbHistogram_InRange</vt:lpstr>
      <vt:lpstr>'RES_fr-FR'!dbHistogram_InRange</vt:lpstr>
      <vt:lpstr>'RES_hr-HR'!dbHistogram_InRange</vt:lpstr>
      <vt:lpstr>'RES_hu-HU'!dbHistogram_InRange</vt:lpstr>
      <vt:lpstr>'RES_it-IT'!dbHistogram_InRange</vt:lpstr>
      <vt:lpstr>'RES_ja-JP'!dbHistogram_InRange</vt:lpstr>
      <vt:lpstr>'RES_ko-KR'!dbHistogram_InRange</vt:lpstr>
      <vt:lpstr>'RES_lv-LV'!dbHistogram_InRange</vt:lpstr>
      <vt:lpstr>'RES_nb-NO'!dbHistogram_InRange</vt:lpstr>
      <vt:lpstr>'RES_nl-NL'!dbHistogram_InRange</vt:lpstr>
      <vt:lpstr>'RES_pl-PL'!dbHistogram_InRange</vt:lpstr>
      <vt:lpstr>'RES_pt-BR'!dbHistogram_InRange</vt:lpstr>
      <vt:lpstr>'RES_pt-PT'!dbHistogram_InRange</vt:lpstr>
      <vt:lpstr>'RES_ro-RO'!dbHistogram_InRange</vt:lpstr>
      <vt:lpstr>'RES_ru-RU'!dbHistogram_InRange</vt:lpstr>
      <vt:lpstr>'RES_sl-SI'!dbHistogram_InRange</vt:lpstr>
      <vt:lpstr>'RES_sv-SE'!dbHistogram_InRange</vt:lpstr>
      <vt:lpstr>'RES_tr-TR'!dbHistogram_InRange</vt:lpstr>
      <vt:lpstr>'RES_zh-CN'!dbHistogram_InRange</vt:lpstr>
      <vt:lpstr>'RES_zh-TW'!dbHistogram_InRange</vt:lpstr>
      <vt:lpstr>'RES_cs-CZ'!dbHistogram_LabelText</vt:lpstr>
      <vt:lpstr>'RES_da-DK'!dbHistogram_LabelText</vt:lpstr>
      <vt:lpstr>'RES_de-DE'!dbHistogram_LabelText</vt:lpstr>
      <vt:lpstr>'RES_el-GR'!dbHistogram_LabelText</vt:lpstr>
      <vt:lpstr>'RES_en-US'!dbHistogram_LabelText</vt:lpstr>
      <vt:lpstr>'RES_es-ES'!dbHistogram_LabelText</vt:lpstr>
      <vt:lpstr>'RES_fi-FI'!dbHistogram_LabelText</vt:lpstr>
      <vt:lpstr>'RES_fr-FR'!dbHistogram_LabelText</vt:lpstr>
      <vt:lpstr>'RES_hr-HR'!dbHistogram_LabelText</vt:lpstr>
      <vt:lpstr>'RES_hu-HU'!dbHistogram_LabelText</vt:lpstr>
      <vt:lpstr>'RES_it-IT'!dbHistogram_LabelText</vt:lpstr>
      <vt:lpstr>'RES_ja-JP'!dbHistogram_LabelText</vt:lpstr>
      <vt:lpstr>'RES_ko-KR'!dbHistogram_LabelText</vt:lpstr>
      <vt:lpstr>'RES_lv-LV'!dbHistogram_LabelText</vt:lpstr>
      <vt:lpstr>'RES_nb-NO'!dbHistogram_LabelText</vt:lpstr>
      <vt:lpstr>'RES_nl-NL'!dbHistogram_LabelText</vt:lpstr>
      <vt:lpstr>'RES_pl-PL'!dbHistogram_LabelText</vt:lpstr>
      <vt:lpstr>'RES_pt-BR'!dbHistogram_LabelText</vt:lpstr>
      <vt:lpstr>'RES_pt-PT'!dbHistogram_LabelText</vt:lpstr>
      <vt:lpstr>'RES_ro-RO'!dbHistogram_LabelText</vt:lpstr>
      <vt:lpstr>'RES_ru-RU'!dbHistogram_LabelText</vt:lpstr>
      <vt:lpstr>'RES_sl-SI'!dbHistogram_LabelText</vt:lpstr>
      <vt:lpstr>'RES_sv-SE'!dbHistogram_LabelText</vt:lpstr>
      <vt:lpstr>'RES_tr-TR'!dbHistogram_LabelText</vt:lpstr>
      <vt:lpstr>'RES_zh-CN'!dbHistogram_LabelText</vt:lpstr>
      <vt:lpstr>'RES_zh-TW'!dbHistogram_LabelText</vt:lpstr>
      <vt:lpstr>'RES_cs-CZ'!dbHistogram_LblChkBox</vt:lpstr>
      <vt:lpstr>'RES_da-DK'!dbHistogram_LblChkBox</vt:lpstr>
      <vt:lpstr>'RES_de-DE'!dbHistogram_LblChkBox</vt:lpstr>
      <vt:lpstr>'RES_el-GR'!dbHistogram_LblChkBox</vt:lpstr>
      <vt:lpstr>'RES_en-US'!dbHistogram_LblChkBox</vt:lpstr>
      <vt:lpstr>'RES_es-ES'!dbHistogram_LblChkBox</vt:lpstr>
      <vt:lpstr>'RES_fi-FI'!dbHistogram_LblChkBox</vt:lpstr>
      <vt:lpstr>'RES_fr-FR'!dbHistogram_LblChkBox</vt:lpstr>
      <vt:lpstr>'RES_hr-HR'!dbHistogram_LblChkBox</vt:lpstr>
      <vt:lpstr>'RES_hu-HU'!dbHistogram_LblChkBox</vt:lpstr>
      <vt:lpstr>'RES_it-IT'!dbHistogram_LblChkBox</vt:lpstr>
      <vt:lpstr>'RES_ja-JP'!dbHistogram_LblChkBox</vt:lpstr>
      <vt:lpstr>'RES_ko-KR'!dbHistogram_LblChkBox</vt:lpstr>
      <vt:lpstr>'RES_lv-LV'!dbHistogram_LblChkBox</vt:lpstr>
      <vt:lpstr>'RES_nb-NO'!dbHistogram_LblChkBox</vt:lpstr>
      <vt:lpstr>'RES_nl-NL'!dbHistogram_LblChkBox</vt:lpstr>
      <vt:lpstr>'RES_pl-PL'!dbHistogram_LblChkBox</vt:lpstr>
      <vt:lpstr>'RES_pt-BR'!dbHistogram_LblChkBox</vt:lpstr>
      <vt:lpstr>'RES_pt-PT'!dbHistogram_LblChkBox</vt:lpstr>
      <vt:lpstr>'RES_ro-RO'!dbHistogram_LblChkBox</vt:lpstr>
      <vt:lpstr>'RES_ru-RU'!dbHistogram_LblChkBox</vt:lpstr>
      <vt:lpstr>'RES_sl-SI'!dbHistogram_LblChkBox</vt:lpstr>
      <vt:lpstr>'RES_sv-SE'!dbHistogram_LblChkBox</vt:lpstr>
      <vt:lpstr>'RES_tr-TR'!dbHistogram_LblChkBox</vt:lpstr>
      <vt:lpstr>'RES_zh-CN'!dbHistogram_LblChkBox</vt:lpstr>
      <vt:lpstr>'RES_zh-TW'!dbHistogram_LblChkBox</vt:lpstr>
      <vt:lpstr>'RES_cs-CZ'!dbHistogram_OutOption</vt:lpstr>
      <vt:lpstr>'RES_da-DK'!dbHistogram_OutOption</vt:lpstr>
      <vt:lpstr>'RES_de-DE'!dbHistogram_OutOption</vt:lpstr>
      <vt:lpstr>'RES_el-GR'!dbHistogram_OutOption</vt:lpstr>
      <vt:lpstr>'RES_en-US'!dbHistogram_OutOption</vt:lpstr>
      <vt:lpstr>'RES_es-ES'!dbHistogram_OutOption</vt:lpstr>
      <vt:lpstr>'RES_fi-FI'!dbHistogram_OutOption</vt:lpstr>
      <vt:lpstr>'RES_fr-FR'!dbHistogram_OutOption</vt:lpstr>
      <vt:lpstr>'RES_hr-HR'!dbHistogram_OutOption</vt:lpstr>
      <vt:lpstr>'RES_hu-HU'!dbHistogram_OutOption</vt:lpstr>
      <vt:lpstr>'RES_it-IT'!dbHistogram_OutOption</vt:lpstr>
      <vt:lpstr>'RES_ja-JP'!dbHistogram_OutOption</vt:lpstr>
      <vt:lpstr>'RES_ko-KR'!dbHistogram_OutOption</vt:lpstr>
      <vt:lpstr>'RES_lv-LV'!dbHistogram_OutOption</vt:lpstr>
      <vt:lpstr>'RES_nb-NO'!dbHistogram_OutOption</vt:lpstr>
      <vt:lpstr>'RES_nl-NL'!dbHistogram_OutOption</vt:lpstr>
      <vt:lpstr>'RES_pl-PL'!dbHistogram_OutOption</vt:lpstr>
      <vt:lpstr>'RES_pt-BR'!dbHistogram_OutOption</vt:lpstr>
      <vt:lpstr>'RES_pt-PT'!dbHistogram_OutOption</vt:lpstr>
      <vt:lpstr>'RES_ro-RO'!dbHistogram_OutOption</vt:lpstr>
      <vt:lpstr>'RES_ru-RU'!dbHistogram_OutOption</vt:lpstr>
      <vt:lpstr>'RES_sl-SI'!dbHistogram_OutOption</vt:lpstr>
      <vt:lpstr>'RES_sv-SE'!dbHistogram_OutOption</vt:lpstr>
      <vt:lpstr>'RES_tr-TR'!dbHistogram_OutOption</vt:lpstr>
      <vt:lpstr>'RES_zh-CN'!dbHistogram_OutOption</vt:lpstr>
      <vt:lpstr>'RES_zh-TW'!dbHistogram_OutOption</vt:lpstr>
      <vt:lpstr>'RES_cs-CZ'!dbHistogram_ParetoChkBox</vt:lpstr>
      <vt:lpstr>'RES_da-DK'!dbHistogram_ParetoChkBox</vt:lpstr>
      <vt:lpstr>'RES_de-DE'!dbHistogram_ParetoChkBox</vt:lpstr>
      <vt:lpstr>'RES_el-GR'!dbHistogram_ParetoChkBox</vt:lpstr>
      <vt:lpstr>'RES_en-US'!dbHistogram_ParetoChkBox</vt:lpstr>
      <vt:lpstr>'RES_es-ES'!dbHistogram_ParetoChkBox</vt:lpstr>
      <vt:lpstr>'RES_fi-FI'!dbHistogram_ParetoChkBox</vt:lpstr>
      <vt:lpstr>'RES_fr-FR'!dbHistogram_ParetoChkBox</vt:lpstr>
      <vt:lpstr>'RES_hr-HR'!dbHistogram_ParetoChkBox</vt:lpstr>
      <vt:lpstr>'RES_hu-HU'!dbHistogram_ParetoChkBox</vt:lpstr>
      <vt:lpstr>'RES_it-IT'!dbHistogram_ParetoChkBox</vt:lpstr>
      <vt:lpstr>'RES_ja-JP'!dbHistogram_ParetoChkBox</vt:lpstr>
      <vt:lpstr>'RES_ko-KR'!dbHistogram_ParetoChkBox</vt:lpstr>
      <vt:lpstr>'RES_lv-LV'!dbHistogram_ParetoChkBox</vt:lpstr>
      <vt:lpstr>'RES_nb-NO'!dbHistogram_ParetoChkBox</vt:lpstr>
      <vt:lpstr>'RES_nl-NL'!dbHistogram_ParetoChkBox</vt:lpstr>
      <vt:lpstr>'RES_pl-PL'!dbHistogram_ParetoChkBox</vt:lpstr>
      <vt:lpstr>'RES_pt-BR'!dbHistogram_ParetoChkBox</vt:lpstr>
      <vt:lpstr>'RES_pt-PT'!dbHistogram_ParetoChkBox</vt:lpstr>
      <vt:lpstr>'RES_ro-RO'!dbHistogram_ParetoChkBox</vt:lpstr>
      <vt:lpstr>'RES_ru-RU'!dbHistogram_ParetoChkBox</vt:lpstr>
      <vt:lpstr>'RES_sl-SI'!dbHistogram_ParetoChkBox</vt:lpstr>
      <vt:lpstr>'RES_sv-SE'!dbHistogram_ParetoChkBox</vt:lpstr>
      <vt:lpstr>'RES_tr-TR'!dbHistogram_ParetoChkBox</vt:lpstr>
      <vt:lpstr>'RES_zh-CN'!dbHistogram_ParetoChkBox</vt:lpstr>
      <vt:lpstr>'RES_zh-TW'!dbHistogram_ParetoChkBox</vt:lpstr>
      <vt:lpstr>'RES_cs-CZ'!dbHistogram_PlyInpFld</vt:lpstr>
      <vt:lpstr>'RES_da-DK'!dbHistogram_PlyInpFld</vt:lpstr>
      <vt:lpstr>'RES_de-DE'!dbHistogram_PlyInpFld</vt:lpstr>
      <vt:lpstr>'RES_el-GR'!dbHistogram_PlyInpFld</vt:lpstr>
      <vt:lpstr>'RES_en-US'!dbHistogram_PlyInpFld</vt:lpstr>
      <vt:lpstr>'RES_es-ES'!dbHistogram_PlyInpFld</vt:lpstr>
      <vt:lpstr>'RES_fi-FI'!dbHistogram_PlyInpFld</vt:lpstr>
      <vt:lpstr>'RES_fr-FR'!dbHistogram_PlyInpFld</vt:lpstr>
      <vt:lpstr>'RES_hr-HR'!dbHistogram_PlyInpFld</vt:lpstr>
      <vt:lpstr>'RES_hu-HU'!dbHistogram_PlyInpFld</vt:lpstr>
      <vt:lpstr>'RES_it-IT'!dbHistogram_PlyInpFld</vt:lpstr>
      <vt:lpstr>'RES_ja-JP'!dbHistogram_PlyInpFld</vt:lpstr>
      <vt:lpstr>'RES_ko-KR'!dbHistogram_PlyInpFld</vt:lpstr>
      <vt:lpstr>'RES_lv-LV'!dbHistogram_PlyInpFld</vt:lpstr>
      <vt:lpstr>'RES_nb-NO'!dbHistogram_PlyInpFld</vt:lpstr>
      <vt:lpstr>'RES_nl-NL'!dbHistogram_PlyInpFld</vt:lpstr>
      <vt:lpstr>'RES_pl-PL'!dbHistogram_PlyInpFld</vt:lpstr>
      <vt:lpstr>'RES_pt-BR'!dbHistogram_PlyInpFld</vt:lpstr>
      <vt:lpstr>'RES_pt-PT'!dbHistogram_PlyInpFld</vt:lpstr>
      <vt:lpstr>'RES_ro-RO'!dbHistogram_PlyInpFld</vt:lpstr>
      <vt:lpstr>'RES_ru-RU'!dbHistogram_PlyInpFld</vt:lpstr>
      <vt:lpstr>'RES_sl-SI'!dbHistogram_PlyInpFld</vt:lpstr>
      <vt:lpstr>'RES_sv-SE'!dbHistogram_PlyInpFld</vt:lpstr>
      <vt:lpstr>'RES_tr-TR'!dbHistogram_PlyInpFld</vt:lpstr>
      <vt:lpstr>'RES_zh-CN'!dbHistogram_PlyInpFld</vt:lpstr>
      <vt:lpstr>'RES_zh-TW'!dbHistogram_PlyInpFld</vt:lpstr>
      <vt:lpstr>'RES_cs-CZ'!dbHistogram_PlyName</vt:lpstr>
      <vt:lpstr>'RES_da-DK'!dbHistogram_PlyName</vt:lpstr>
      <vt:lpstr>'RES_de-DE'!dbHistogram_PlyName</vt:lpstr>
      <vt:lpstr>'RES_el-GR'!dbHistogram_PlyName</vt:lpstr>
      <vt:lpstr>'RES_en-US'!dbHistogram_PlyName</vt:lpstr>
      <vt:lpstr>'RES_es-ES'!dbHistogram_PlyName</vt:lpstr>
      <vt:lpstr>'RES_fi-FI'!dbHistogram_PlyName</vt:lpstr>
      <vt:lpstr>'RES_fr-FR'!dbHistogram_PlyName</vt:lpstr>
      <vt:lpstr>'RES_hr-HR'!dbHistogram_PlyName</vt:lpstr>
      <vt:lpstr>'RES_hu-HU'!dbHistogram_PlyName</vt:lpstr>
      <vt:lpstr>'RES_it-IT'!dbHistogram_PlyName</vt:lpstr>
      <vt:lpstr>'RES_ja-JP'!dbHistogram_PlyName</vt:lpstr>
      <vt:lpstr>'RES_ko-KR'!dbHistogram_PlyName</vt:lpstr>
      <vt:lpstr>'RES_lv-LV'!dbHistogram_PlyName</vt:lpstr>
      <vt:lpstr>'RES_nb-NO'!dbHistogram_PlyName</vt:lpstr>
      <vt:lpstr>'RES_nl-NL'!dbHistogram_PlyName</vt:lpstr>
      <vt:lpstr>'RES_pl-PL'!dbHistogram_PlyName</vt:lpstr>
      <vt:lpstr>'RES_pt-BR'!dbHistogram_PlyName</vt:lpstr>
      <vt:lpstr>'RES_pt-PT'!dbHistogram_PlyName</vt:lpstr>
      <vt:lpstr>'RES_ro-RO'!dbHistogram_PlyName</vt:lpstr>
      <vt:lpstr>'RES_ru-RU'!dbHistogram_PlyName</vt:lpstr>
      <vt:lpstr>'RES_sl-SI'!dbHistogram_PlyName</vt:lpstr>
      <vt:lpstr>'RES_sv-SE'!dbHistogram_PlyName</vt:lpstr>
      <vt:lpstr>'RES_tr-TR'!dbHistogram_PlyName</vt:lpstr>
      <vt:lpstr>'RES_zh-CN'!dbHistogram_PlyName</vt:lpstr>
      <vt:lpstr>'RES_zh-TW'!dbHistogram_PlyName</vt:lpstr>
      <vt:lpstr>'RES_cs-CZ'!dbHistogram_RangeInpFld</vt:lpstr>
      <vt:lpstr>'RES_da-DK'!dbHistogram_RangeInpFld</vt:lpstr>
      <vt:lpstr>'RES_de-DE'!dbHistogram_RangeInpFld</vt:lpstr>
      <vt:lpstr>'RES_el-GR'!dbHistogram_RangeInpFld</vt:lpstr>
      <vt:lpstr>'RES_en-US'!dbHistogram_RangeInpFld</vt:lpstr>
      <vt:lpstr>'RES_es-ES'!dbHistogram_RangeInpFld</vt:lpstr>
      <vt:lpstr>'RES_fi-FI'!dbHistogram_RangeInpFld</vt:lpstr>
      <vt:lpstr>'RES_fr-FR'!dbHistogram_RangeInpFld</vt:lpstr>
      <vt:lpstr>'RES_hr-HR'!dbHistogram_RangeInpFld</vt:lpstr>
      <vt:lpstr>'RES_hu-HU'!dbHistogram_RangeInpFld</vt:lpstr>
      <vt:lpstr>'RES_it-IT'!dbHistogram_RangeInpFld</vt:lpstr>
      <vt:lpstr>'RES_ja-JP'!dbHistogram_RangeInpFld</vt:lpstr>
      <vt:lpstr>'RES_ko-KR'!dbHistogram_RangeInpFld</vt:lpstr>
      <vt:lpstr>'RES_lv-LV'!dbHistogram_RangeInpFld</vt:lpstr>
      <vt:lpstr>'RES_nb-NO'!dbHistogram_RangeInpFld</vt:lpstr>
      <vt:lpstr>'RES_nl-NL'!dbHistogram_RangeInpFld</vt:lpstr>
      <vt:lpstr>'RES_pl-PL'!dbHistogram_RangeInpFld</vt:lpstr>
      <vt:lpstr>'RES_pt-BR'!dbHistogram_RangeInpFld</vt:lpstr>
      <vt:lpstr>'RES_pt-PT'!dbHistogram_RangeInpFld</vt:lpstr>
      <vt:lpstr>'RES_ro-RO'!dbHistogram_RangeInpFld</vt:lpstr>
      <vt:lpstr>'RES_ru-RU'!dbHistogram_RangeInpFld</vt:lpstr>
      <vt:lpstr>'RES_sl-SI'!dbHistogram_RangeInpFld</vt:lpstr>
      <vt:lpstr>'RES_sv-SE'!dbHistogram_RangeInpFld</vt:lpstr>
      <vt:lpstr>'RES_tr-TR'!dbHistogram_RangeInpFld</vt:lpstr>
      <vt:lpstr>'RES_zh-CN'!dbHistogram_RangeInpFld</vt:lpstr>
      <vt:lpstr>'RES_zh-TW'!dbHistogram_RangeInpFld</vt:lpstr>
      <vt:lpstr>'RES_cs-CZ'!dbHistogram_RangeRef</vt:lpstr>
      <vt:lpstr>'RES_da-DK'!dbHistogram_RangeRef</vt:lpstr>
      <vt:lpstr>'RES_de-DE'!dbHistogram_RangeRef</vt:lpstr>
      <vt:lpstr>'RES_el-GR'!dbHistogram_RangeRef</vt:lpstr>
      <vt:lpstr>'RES_en-US'!dbHistogram_RangeRef</vt:lpstr>
      <vt:lpstr>'RES_es-ES'!dbHistogram_RangeRef</vt:lpstr>
      <vt:lpstr>'RES_fi-FI'!dbHistogram_RangeRef</vt:lpstr>
      <vt:lpstr>'RES_fr-FR'!dbHistogram_RangeRef</vt:lpstr>
      <vt:lpstr>'RES_hr-HR'!dbHistogram_RangeRef</vt:lpstr>
      <vt:lpstr>'RES_hu-HU'!dbHistogram_RangeRef</vt:lpstr>
      <vt:lpstr>'RES_it-IT'!dbHistogram_RangeRef</vt:lpstr>
      <vt:lpstr>'RES_ja-JP'!dbHistogram_RangeRef</vt:lpstr>
      <vt:lpstr>'RES_ko-KR'!dbHistogram_RangeRef</vt:lpstr>
      <vt:lpstr>'RES_lv-LV'!dbHistogram_RangeRef</vt:lpstr>
      <vt:lpstr>'RES_nb-NO'!dbHistogram_RangeRef</vt:lpstr>
      <vt:lpstr>'RES_nl-NL'!dbHistogram_RangeRef</vt:lpstr>
      <vt:lpstr>'RES_pl-PL'!dbHistogram_RangeRef</vt:lpstr>
      <vt:lpstr>'RES_pt-BR'!dbHistogram_RangeRef</vt:lpstr>
      <vt:lpstr>'RES_pt-PT'!dbHistogram_RangeRef</vt:lpstr>
      <vt:lpstr>'RES_ro-RO'!dbHistogram_RangeRef</vt:lpstr>
      <vt:lpstr>'RES_ru-RU'!dbHistogram_RangeRef</vt:lpstr>
      <vt:lpstr>'RES_sl-SI'!dbHistogram_RangeRef</vt:lpstr>
      <vt:lpstr>'RES_sv-SE'!dbHistogram_RangeRef</vt:lpstr>
      <vt:lpstr>'RES_tr-TR'!dbHistogram_RangeRef</vt:lpstr>
      <vt:lpstr>'RES_zh-CN'!dbHistogram_RangeRef</vt:lpstr>
      <vt:lpstr>'RES_zh-TW'!dbHistogram_RangeRef</vt:lpstr>
      <vt:lpstr>'RES_cs-CZ'!dbHistogramTitle</vt:lpstr>
      <vt:lpstr>'RES_da-DK'!dbHistogramTitle</vt:lpstr>
      <vt:lpstr>'RES_de-DE'!dbHistogramTitle</vt:lpstr>
      <vt:lpstr>'RES_el-GR'!dbHistogramTitle</vt:lpstr>
      <vt:lpstr>'RES_en-US'!dbHistogramTitle</vt:lpstr>
      <vt:lpstr>'RES_es-ES'!dbHistogramTitle</vt:lpstr>
      <vt:lpstr>'RES_fi-FI'!dbHistogramTitle</vt:lpstr>
      <vt:lpstr>'RES_fr-FR'!dbHistogramTitle</vt:lpstr>
      <vt:lpstr>'RES_hr-HR'!dbHistogramTitle</vt:lpstr>
      <vt:lpstr>'RES_hu-HU'!dbHistogramTitle</vt:lpstr>
      <vt:lpstr>'RES_it-IT'!dbHistogramTitle</vt:lpstr>
      <vt:lpstr>'RES_ja-JP'!dbHistogramTitle</vt:lpstr>
      <vt:lpstr>'RES_ko-KR'!dbHistogramTitle</vt:lpstr>
      <vt:lpstr>'RES_lv-LV'!dbHistogramTitle</vt:lpstr>
      <vt:lpstr>'RES_nb-NO'!dbHistogramTitle</vt:lpstr>
      <vt:lpstr>'RES_nl-NL'!dbHistogramTitle</vt:lpstr>
      <vt:lpstr>'RES_pl-PL'!dbHistogramTitle</vt:lpstr>
      <vt:lpstr>'RES_pt-BR'!dbHistogramTitle</vt:lpstr>
      <vt:lpstr>'RES_pt-PT'!dbHistogramTitle</vt:lpstr>
      <vt:lpstr>'RES_ro-RO'!dbHistogramTitle</vt:lpstr>
      <vt:lpstr>'RES_ru-RU'!dbHistogramTitle</vt:lpstr>
      <vt:lpstr>'RES_sl-SI'!dbHistogramTitle</vt:lpstr>
      <vt:lpstr>'RES_sv-SE'!dbHistogramTitle</vt:lpstr>
      <vt:lpstr>'RES_tr-TR'!dbHistogramTitle</vt:lpstr>
      <vt:lpstr>'RES_zh-CN'!dbHistogramTitle</vt:lpstr>
      <vt:lpstr>'RES_zh-TW'!dbHistogramTitle</vt:lpstr>
      <vt:lpstr>'RES_cs-CZ'!dbMoving</vt:lpstr>
      <vt:lpstr>'RES_da-DK'!dbMoving</vt:lpstr>
      <vt:lpstr>'RES_de-DE'!dbMoving</vt:lpstr>
      <vt:lpstr>'RES_el-GR'!dbMoving</vt:lpstr>
      <vt:lpstr>'RES_en-US'!dbMoving</vt:lpstr>
      <vt:lpstr>'RES_es-ES'!dbMoving</vt:lpstr>
      <vt:lpstr>'RES_fi-FI'!dbMoving</vt:lpstr>
      <vt:lpstr>'RES_fr-FR'!dbMoving</vt:lpstr>
      <vt:lpstr>'RES_hr-HR'!dbMoving</vt:lpstr>
      <vt:lpstr>'RES_hu-HU'!dbMoving</vt:lpstr>
      <vt:lpstr>'RES_it-IT'!dbMoving</vt:lpstr>
      <vt:lpstr>'RES_ja-JP'!dbMoving</vt:lpstr>
      <vt:lpstr>'RES_ko-KR'!dbMoving</vt:lpstr>
      <vt:lpstr>'RES_lv-LV'!dbMoving</vt:lpstr>
      <vt:lpstr>'RES_nb-NO'!dbMoving</vt:lpstr>
      <vt:lpstr>'RES_nl-NL'!dbMoving</vt:lpstr>
      <vt:lpstr>'RES_pl-PL'!dbMoving</vt:lpstr>
      <vt:lpstr>'RES_pt-BR'!dbMoving</vt:lpstr>
      <vt:lpstr>'RES_pt-PT'!dbMoving</vt:lpstr>
      <vt:lpstr>'RES_ro-RO'!dbMoving</vt:lpstr>
      <vt:lpstr>'RES_ru-RU'!dbMoving</vt:lpstr>
      <vt:lpstr>'RES_sl-SI'!dbMoving</vt:lpstr>
      <vt:lpstr>'RES_sv-SE'!dbMoving</vt:lpstr>
      <vt:lpstr>'RES_tr-TR'!dbMoving</vt:lpstr>
      <vt:lpstr>'RES_zh-CN'!dbMoving</vt:lpstr>
      <vt:lpstr>'RES_zh-TW'!dbMoving</vt:lpstr>
      <vt:lpstr>'RES_cs-CZ'!dbMoving_ChartChkBox</vt:lpstr>
      <vt:lpstr>'RES_da-DK'!dbMoving_ChartChkBox</vt:lpstr>
      <vt:lpstr>'RES_de-DE'!dbMoving_ChartChkBox</vt:lpstr>
      <vt:lpstr>'RES_el-GR'!dbMoving_ChartChkBox</vt:lpstr>
      <vt:lpstr>'RES_en-US'!dbMoving_ChartChkBox</vt:lpstr>
      <vt:lpstr>'RES_es-ES'!dbMoving_ChartChkBox</vt:lpstr>
      <vt:lpstr>'RES_fi-FI'!dbMoving_ChartChkBox</vt:lpstr>
      <vt:lpstr>'RES_fr-FR'!dbMoving_ChartChkBox</vt:lpstr>
      <vt:lpstr>'RES_hr-HR'!dbMoving_ChartChkBox</vt:lpstr>
      <vt:lpstr>'RES_hu-HU'!dbMoving_ChartChkBox</vt:lpstr>
      <vt:lpstr>'RES_it-IT'!dbMoving_ChartChkBox</vt:lpstr>
      <vt:lpstr>'RES_ja-JP'!dbMoving_ChartChkBox</vt:lpstr>
      <vt:lpstr>'RES_ko-KR'!dbMoving_ChartChkBox</vt:lpstr>
      <vt:lpstr>'RES_lv-LV'!dbMoving_ChartChkBox</vt:lpstr>
      <vt:lpstr>'RES_nb-NO'!dbMoving_ChartChkBox</vt:lpstr>
      <vt:lpstr>'RES_nl-NL'!dbMoving_ChartChkBox</vt:lpstr>
      <vt:lpstr>'RES_pl-PL'!dbMoving_ChartChkBox</vt:lpstr>
      <vt:lpstr>'RES_pt-BR'!dbMoving_ChartChkBox</vt:lpstr>
      <vt:lpstr>'RES_pt-PT'!dbMoving_ChartChkBox</vt:lpstr>
      <vt:lpstr>'RES_ro-RO'!dbMoving_ChartChkBox</vt:lpstr>
      <vt:lpstr>'RES_ru-RU'!dbMoving_ChartChkBox</vt:lpstr>
      <vt:lpstr>'RES_sl-SI'!dbMoving_ChartChkBox</vt:lpstr>
      <vt:lpstr>'RES_sv-SE'!dbMoving_ChartChkBox</vt:lpstr>
      <vt:lpstr>'RES_tr-TR'!dbMoving_ChartChkBox</vt:lpstr>
      <vt:lpstr>'RES_zh-CN'!dbMoving_ChartChkBox</vt:lpstr>
      <vt:lpstr>'RES_zh-TW'!dbMoving_ChartChkBox</vt:lpstr>
      <vt:lpstr>'RES_cs-CZ'!dbMoving_InRange</vt:lpstr>
      <vt:lpstr>'RES_da-DK'!dbMoving_InRange</vt:lpstr>
      <vt:lpstr>'RES_de-DE'!dbMoving_InRange</vt:lpstr>
      <vt:lpstr>'RES_el-GR'!dbMoving_InRange</vt:lpstr>
      <vt:lpstr>'RES_en-US'!dbMoving_InRange</vt:lpstr>
      <vt:lpstr>'RES_es-ES'!dbMoving_InRange</vt:lpstr>
      <vt:lpstr>'RES_fi-FI'!dbMoving_InRange</vt:lpstr>
      <vt:lpstr>'RES_fr-FR'!dbMoving_InRange</vt:lpstr>
      <vt:lpstr>'RES_hr-HR'!dbMoving_InRange</vt:lpstr>
      <vt:lpstr>'RES_hu-HU'!dbMoving_InRange</vt:lpstr>
      <vt:lpstr>'RES_it-IT'!dbMoving_InRange</vt:lpstr>
      <vt:lpstr>'RES_ja-JP'!dbMoving_InRange</vt:lpstr>
      <vt:lpstr>'RES_ko-KR'!dbMoving_InRange</vt:lpstr>
      <vt:lpstr>'RES_lv-LV'!dbMoving_InRange</vt:lpstr>
      <vt:lpstr>'RES_nb-NO'!dbMoving_InRange</vt:lpstr>
      <vt:lpstr>'RES_nl-NL'!dbMoving_InRange</vt:lpstr>
      <vt:lpstr>'RES_pl-PL'!dbMoving_InRange</vt:lpstr>
      <vt:lpstr>'RES_pt-BR'!dbMoving_InRange</vt:lpstr>
      <vt:lpstr>'RES_pt-PT'!dbMoving_InRange</vt:lpstr>
      <vt:lpstr>'RES_ro-RO'!dbMoving_InRange</vt:lpstr>
      <vt:lpstr>'RES_ru-RU'!dbMoving_InRange</vt:lpstr>
      <vt:lpstr>'RES_sl-SI'!dbMoving_InRange</vt:lpstr>
      <vt:lpstr>'RES_sv-SE'!dbMoving_InRange</vt:lpstr>
      <vt:lpstr>'RES_tr-TR'!dbMoving_InRange</vt:lpstr>
      <vt:lpstr>'RES_zh-CN'!dbMoving_InRange</vt:lpstr>
      <vt:lpstr>'RES_zh-TW'!dbMoving_InRange</vt:lpstr>
      <vt:lpstr>'RES_cs-CZ'!dbMoving_Interval</vt:lpstr>
      <vt:lpstr>'RES_da-DK'!dbMoving_Interval</vt:lpstr>
      <vt:lpstr>'RES_de-DE'!dbMoving_Interval</vt:lpstr>
      <vt:lpstr>'RES_el-GR'!dbMoving_Interval</vt:lpstr>
      <vt:lpstr>'RES_en-US'!dbMoving_Interval</vt:lpstr>
      <vt:lpstr>'RES_es-ES'!dbMoving_Interval</vt:lpstr>
      <vt:lpstr>'RES_fi-FI'!dbMoving_Interval</vt:lpstr>
      <vt:lpstr>'RES_fr-FR'!dbMoving_Interval</vt:lpstr>
      <vt:lpstr>'RES_hr-HR'!dbMoving_Interval</vt:lpstr>
      <vt:lpstr>'RES_hu-HU'!dbMoving_Interval</vt:lpstr>
      <vt:lpstr>'RES_it-IT'!dbMoving_Interval</vt:lpstr>
      <vt:lpstr>'RES_ja-JP'!dbMoving_Interval</vt:lpstr>
      <vt:lpstr>'RES_ko-KR'!dbMoving_Interval</vt:lpstr>
      <vt:lpstr>'RES_lv-LV'!dbMoving_Interval</vt:lpstr>
      <vt:lpstr>'RES_nb-NO'!dbMoving_Interval</vt:lpstr>
      <vt:lpstr>'RES_nl-NL'!dbMoving_Interval</vt:lpstr>
      <vt:lpstr>'RES_pl-PL'!dbMoving_Interval</vt:lpstr>
      <vt:lpstr>'RES_pt-BR'!dbMoving_Interval</vt:lpstr>
      <vt:lpstr>'RES_pt-PT'!dbMoving_Interval</vt:lpstr>
      <vt:lpstr>'RES_ro-RO'!dbMoving_Interval</vt:lpstr>
      <vt:lpstr>'RES_ru-RU'!dbMoving_Interval</vt:lpstr>
      <vt:lpstr>'RES_sl-SI'!dbMoving_Interval</vt:lpstr>
      <vt:lpstr>'RES_sv-SE'!dbMoving_Interval</vt:lpstr>
      <vt:lpstr>'RES_tr-TR'!dbMoving_Interval</vt:lpstr>
      <vt:lpstr>'RES_zh-CN'!dbMoving_Interval</vt:lpstr>
      <vt:lpstr>'RES_zh-TW'!dbMoving_Interval</vt:lpstr>
      <vt:lpstr>'RES_cs-CZ'!dbMoving_LabelFlag</vt:lpstr>
      <vt:lpstr>'RES_da-DK'!dbMoving_LabelFlag</vt:lpstr>
      <vt:lpstr>'RES_de-DE'!dbMoving_LabelFlag</vt:lpstr>
      <vt:lpstr>'RES_el-GR'!dbMoving_LabelFlag</vt:lpstr>
      <vt:lpstr>'RES_en-US'!dbMoving_LabelFlag</vt:lpstr>
      <vt:lpstr>'RES_es-ES'!dbMoving_LabelFlag</vt:lpstr>
      <vt:lpstr>'RES_fi-FI'!dbMoving_LabelFlag</vt:lpstr>
      <vt:lpstr>'RES_fr-FR'!dbMoving_LabelFlag</vt:lpstr>
      <vt:lpstr>'RES_hr-HR'!dbMoving_LabelFlag</vt:lpstr>
      <vt:lpstr>'RES_hu-HU'!dbMoving_LabelFlag</vt:lpstr>
      <vt:lpstr>'RES_it-IT'!dbMoving_LabelFlag</vt:lpstr>
      <vt:lpstr>'RES_ja-JP'!dbMoving_LabelFlag</vt:lpstr>
      <vt:lpstr>'RES_ko-KR'!dbMoving_LabelFlag</vt:lpstr>
      <vt:lpstr>'RES_lv-LV'!dbMoving_LabelFlag</vt:lpstr>
      <vt:lpstr>'RES_nb-NO'!dbMoving_LabelFlag</vt:lpstr>
      <vt:lpstr>'RES_nl-NL'!dbMoving_LabelFlag</vt:lpstr>
      <vt:lpstr>'RES_pl-PL'!dbMoving_LabelFlag</vt:lpstr>
      <vt:lpstr>'RES_pt-BR'!dbMoving_LabelFlag</vt:lpstr>
      <vt:lpstr>'RES_pt-PT'!dbMoving_LabelFlag</vt:lpstr>
      <vt:lpstr>'RES_ro-RO'!dbMoving_LabelFlag</vt:lpstr>
      <vt:lpstr>'RES_ru-RU'!dbMoving_LabelFlag</vt:lpstr>
      <vt:lpstr>'RES_sl-SI'!dbMoving_LabelFlag</vt:lpstr>
      <vt:lpstr>'RES_sv-SE'!dbMoving_LabelFlag</vt:lpstr>
      <vt:lpstr>'RES_tr-TR'!dbMoving_LabelFlag</vt:lpstr>
      <vt:lpstr>'RES_zh-CN'!dbMoving_LabelFlag</vt:lpstr>
      <vt:lpstr>'RES_zh-TW'!dbMoving_LabelFlag</vt:lpstr>
      <vt:lpstr>'RES_cs-CZ'!dbMoving_LblChkBox</vt:lpstr>
      <vt:lpstr>'RES_da-DK'!dbMoving_LblChkBox</vt:lpstr>
      <vt:lpstr>'RES_de-DE'!dbMoving_LblChkBox</vt:lpstr>
      <vt:lpstr>'RES_el-GR'!dbMoving_LblChkBox</vt:lpstr>
      <vt:lpstr>'RES_en-US'!dbMoving_LblChkBox</vt:lpstr>
      <vt:lpstr>'RES_es-ES'!dbMoving_LblChkBox</vt:lpstr>
      <vt:lpstr>'RES_fi-FI'!dbMoving_LblChkBox</vt:lpstr>
      <vt:lpstr>'RES_fr-FR'!dbMoving_LblChkBox</vt:lpstr>
      <vt:lpstr>'RES_hr-HR'!dbMoving_LblChkBox</vt:lpstr>
      <vt:lpstr>'RES_hu-HU'!dbMoving_LblChkBox</vt:lpstr>
      <vt:lpstr>'RES_it-IT'!dbMoving_LblChkBox</vt:lpstr>
      <vt:lpstr>'RES_ja-JP'!dbMoving_LblChkBox</vt:lpstr>
      <vt:lpstr>'RES_ko-KR'!dbMoving_LblChkBox</vt:lpstr>
      <vt:lpstr>'RES_lv-LV'!dbMoving_LblChkBox</vt:lpstr>
      <vt:lpstr>'RES_nb-NO'!dbMoving_LblChkBox</vt:lpstr>
      <vt:lpstr>'RES_nl-NL'!dbMoving_LblChkBox</vt:lpstr>
      <vt:lpstr>'RES_pl-PL'!dbMoving_LblChkBox</vt:lpstr>
      <vt:lpstr>'RES_pt-BR'!dbMoving_LblChkBox</vt:lpstr>
      <vt:lpstr>'RES_pt-PT'!dbMoving_LblChkBox</vt:lpstr>
      <vt:lpstr>'RES_ro-RO'!dbMoving_LblChkBox</vt:lpstr>
      <vt:lpstr>'RES_ru-RU'!dbMoving_LblChkBox</vt:lpstr>
      <vt:lpstr>'RES_sl-SI'!dbMoving_LblChkBox</vt:lpstr>
      <vt:lpstr>'RES_sv-SE'!dbMoving_LblChkBox</vt:lpstr>
      <vt:lpstr>'RES_tr-TR'!dbMoving_LblChkBox</vt:lpstr>
      <vt:lpstr>'RES_zh-CN'!dbMoving_LblChkBox</vt:lpstr>
      <vt:lpstr>'RES_zh-TW'!dbMoving_LblChkBox</vt:lpstr>
      <vt:lpstr>'RES_cs-CZ'!dbMoving_OutOption</vt:lpstr>
      <vt:lpstr>'RES_da-DK'!dbMoving_OutOption</vt:lpstr>
      <vt:lpstr>'RES_de-DE'!dbMoving_OutOption</vt:lpstr>
      <vt:lpstr>'RES_el-GR'!dbMoving_OutOption</vt:lpstr>
      <vt:lpstr>'RES_en-US'!dbMoving_OutOption</vt:lpstr>
      <vt:lpstr>'RES_es-ES'!dbMoving_OutOption</vt:lpstr>
      <vt:lpstr>'RES_fi-FI'!dbMoving_OutOption</vt:lpstr>
      <vt:lpstr>'RES_fr-FR'!dbMoving_OutOption</vt:lpstr>
      <vt:lpstr>'RES_hr-HR'!dbMoving_OutOption</vt:lpstr>
      <vt:lpstr>'RES_hu-HU'!dbMoving_OutOption</vt:lpstr>
      <vt:lpstr>'RES_it-IT'!dbMoving_OutOption</vt:lpstr>
      <vt:lpstr>'RES_ja-JP'!dbMoving_OutOption</vt:lpstr>
      <vt:lpstr>'RES_ko-KR'!dbMoving_OutOption</vt:lpstr>
      <vt:lpstr>'RES_lv-LV'!dbMoving_OutOption</vt:lpstr>
      <vt:lpstr>'RES_nb-NO'!dbMoving_OutOption</vt:lpstr>
      <vt:lpstr>'RES_nl-NL'!dbMoving_OutOption</vt:lpstr>
      <vt:lpstr>'RES_pl-PL'!dbMoving_OutOption</vt:lpstr>
      <vt:lpstr>'RES_pt-BR'!dbMoving_OutOption</vt:lpstr>
      <vt:lpstr>'RES_pt-PT'!dbMoving_OutOption</vt:lpstr>
      <vt:lpstr>'RES_ro-RO'!dbMoving_OutOption</vt:lpstr>
      <vt:lpstr>'RES_ru-RU'!dbMoving_OutOption</vt:lpstr>
      <vt:lpstr>'RES_sl-SI'!dbMoving_OutOption</vt:lpstr>
      <vt:lpstr>'RES_sv-SE'!dbMoving_OutOption</vt:lpstr>
      <vt:lpstr>'RES_tr-TR'!dbMoving_OutOption</vt:lpstr>
      <vt:lpstr>'RES_zh-CN'!dbMoving_OutOption</vt:lpstr>
      <vt:lpstr>'RES_zh-TW'!dbMoving_OutOption</vt:lpstr>
      <vt:lpstr>'RES_cs-CZ'!dbMoving_PlyInpFld</vt:lpstr>
      <vt:lpstr>'RES_da-DK'!dbMoving_PlyInpFld</vt:lpstr>
      <vt:lpstr>'RES_de-DE'!dbMoving_PlyInpFld</vt:lpstr>
      <vt:lpstr>'RES_el-GR'!dbMoving_PlyInpFld</vt:lpstr>
      <vt:lpstr>'RES_en-US'!dbMoving_PlyInpFld</vt:lpstr>
      <vt:lpstr>'RES_es-ES'!dbMoving_PlyInpFld</vt:lpstr>
      <vt:lpstr>'RES_fi-FI'!dbMoving_PlyInpFld</vt:lpstr>
      <vt:lpstr>'RES_fr-FR'!dbMoving_PlyInpFld</vt:lpstr>
      <vt:lpstr>'RES_hr-HR'!dbMoving_PlyInpFld</vt:lpstr>
      <vt:lpstr>'RES_hu-HU'!dbMoving_PlyInpFld</vt:lpstr>
      <vt:lpstr>'RES_it-IT'!dbMoving_PlyInpFld</vt:lpstr>
      <vt:lpstr>'RES_ja-JP'!dbMoving_PlyInpFld</vt:lpstr>
      <vt:lpstr>'RES_ko-KR'!dbMoving_PlyInpFld</vt:lpstr>
      <vt:lpstr>'RES_lv-LV'!dbMoving_PlyInpFld</vt:lpstr>
      <vt:lpstr>'RES_nb-NO'!dbMoving_PlyInpFld</vt:lpstr>
      <vt:lpstr>'RES_nl-NL'!dbMoving_PlyInpFld</vt:lpstr>
      <vt:lpstr>'RES_pl-PL'!dbMoving_PlyInpFld</vt:lpstr>
      <vt:lpstr>'RES_pt-BR'!dbMoving_PlyInpFld</vt:lpstr>
      <vt:lpstr>'RES_pt-PT'!dbMoving_PlyInpFld</vt:lpstr>
      <vt:lpstr>'RES_ro-RO'!dbMoving_PlyInpFld</vt:lpstr>
      <vt:lpstr>'RES_ru-RU'!dbMoving_PlyInpFld</vt:lpstr>
      <vt:lpstr>'RES_sl-SI'!dbMoving_PlyInpFld</vt:lpstr>
      <vt:lpstr>'RES_sv-SE'!dbMoving_PlyInpFld</vt:lpstr>
      <vt:lpstr>'RES_tr-TR'!dbMoving_PlyInpFld</vt:lpstr>
      <vt:lpstr>'RES_zh-CN'!dbMoving_PlyInpFld</vt:lpstr>
      <vt:lpstr>'RES_zh-TW'!dbMoving_PlyInpFld</vt:lpstr>
      <vt:lpstr>'RES_cs-CZ'!dbMoving_PlyName</vt:lpstr>
      <vt:lpstr>'RES_da-DK'!dbMoving_PlyName</vt:lpstr>
      <vt:lpstr>'RES_de-DE'!dbMoving_PlyName</vt:lpstr>
      <vt:lpstr>'RES_el-GR'!dbMoving_PlyName</vt:lpstr>
      <vt:lpstr>'RES_en-US'!dbMoving_PlyName</vt:lpstr>
      <vt:lpstr>'RES_es-ES'!dbMoving_PlyName</vt:lpstr>
      <vt:lpstr>'RES_fi-FI'!dbMoving_PlyName</vt:lpstr>
      <vt:lpstr>'RES_fr-FR'!dbMoving_PlyName</vt:lpstr>
      <vt:lpstr>'RES_hr-HR'!dbMoving_PlyName</vt:lpstr>
      <vt:lpstr>'RES_hu-HU'!dbMoving_PlyName</vt:lpstr>
      <vt:lpstr>'RES_it-IT'!dbMoving_PlyName</vt:lpstr>
      <vt:lpstr>'RES_ja-JP'!dbMoving_PlyName</vt:lpstr>
      <vt:lpstr>'RES_ko-KR'!dbMoving_PlyName</vt:lpstr>
      <vt:lpstr>'RES_lv-LV'!dbMoving_PlyName</vt:lpstr>
      <vt:lpstr>'RES_nb-NO'!dbMoving_PlyName</vt:lpstr>
      <vt:lpstr>'RES_nl-NL'!dbMoving_PlyName</vt:lpstr>
      <vt:lpstr>'RES_pl-PL'!dbMoving_PlyName</vt:lpstr>
      <vt:lpstr>'RES_pt-BR'!dbMoving_PlyName</vt:lpstr>
      <vt:lpstr>'RES_pt-PT'!dbMoving_PlyName</vt:lpstr>
      <vt:lpstr>'RES_ro-RO'!dbMoving_PlyName</vt:lpstr>
      <vt:lpstr>'RES_ru-RU'!dbMoving_PlyName</vt:lpstr>
      <vt:lpstr>'RES_sl-SI'!dbMoving_PlyName</vt:lpstr>
      <vt:lpstr>'RES_sv-SE'!dbMoving_PlyName</vt:lpstr>
      <vt:lpstr>'RES_tr-TR'!dbMoving_PlyName</vt:lpstr>
      <vt:lpstr>'RES_zh-CN'!dbMoving_PlyName</vt:lpstr>
      <vt:lpstr>'RES_zh-TW'!dbMoving_PlyName</vt:lpstr>
      <vt:lpstr>'RES_cs-CZ'!dbMoving_RangeInpFld</vt:lpstr>
      <vt:lpstr>'RES_da-DK'!dbMoving_RangeInpFld</vt:lpstr>
      <vt:lpstr>'RES_de-DE'!dbMoving_RangeInpFld</vt:lpstr>
      <vt:lpstr>'RES_el-GR'!dbMoving_RangeInpFld</vt:lpstr>
      <vt:lpstr>'RES_en-US'!dbMoving_RangeInpFld</vt:lpstr>
      <vt:lpstr>'RES_es-ES'!dbMoving_RangeInpFld</vt:lpstr>
      <vt:lpstr>'RES_fi-FI'!dbMoving_RangeInpFld</vt:lpstr>
      <vt:lpstr>'RES_fr-FR'!dbMoving_RangeInpFld</vt:lpstr>
      <vt:lpstr>'RES_hr-HR'!dbMoving_RangeInpFld</vt:lpstr>
      <vt:lpstr>'RES_hu-HU'!dbMoving_RangeInpFld</vt:lpstr>
      <vt:lpstr>'RES_it-IT'!dbMoving_RangeInpFld</vt:lpstr>
      <vt:lpstr>'RES_ja-JP'!dbMoving_RangeInpFld</vt:lpstr>
      <vt:lpstr>'RES_ko-KR'!dbMoving_RangeInpFld</vt:lpstr>
      <vt:lpstr>'RES_lv-LV'!dbMoving_RangeInpFld</vt:lpstr>
      <vt:lpstr>'RES_nb-NO'!dbMoving_RangeInpFld</vt:lpstr>
      <vt:lpstr>'RES_nl-NL'!dbMoving_RangeInpFld</vt:lpstr>
      <vt:lpstr>'RES_pl-PL'!dbMoving_RangeInpFld</vt:lpstr>
      <vt:lpstr>'RES_pt-BR'!dbMoving_RangeInpFld</vt:lpstr>
      <vt:lpstr>'RES_pt-PT'!dbMoving_RangeInpFld</vt:lpstr>
      <vt:lpstr>'RES_ro-RO'!dbMoving_RangeInpFld</vt:lpstr>
      <vt:lpstr>'RES_ru-RU'!dbMoving_RangeInpFld</vt:lpstr>
      <vt:lpstr>'RES_sl-SI'!dbMoving_RangeInpFld</vt:lpstr>
      <vt:lpstr>'RES_sv-SE'!dbMoving_RangeInpFld</vt:lpstr>
      <vt:lpstr>'RES_tr-TR'!dbMoving_RangeInpFld</vt:lpstr>
      <vt:lpstr>'RES_zh-CN'!dbMoving_RangeInpFld</vt:lpstr>
      <vt:lpstr>'RES_zh-TW'!dbMoving_RangeInpFld</vt:lpstr>
      <vt:lpstr>'RES_cs-CZ'!dbMoving_RangeRef</vt:lpstr>
      <vt:lpstr>'RES_da-DK'!dbMoving_RangeRef</vt:lpstr>
      <vt:lpstr>'RES_de-DE'!dbMoving_RangeRef</vt:lpstr>
      <vt:lpstr>'RES_el-GR'!dbMoving_RangeRef</vt:lpstr>
      <vt:lpstr>'RES_en-US'!dbMoving_RangeRef</vt:lpstr>
      <vt:lpstr>'RES_es-ES'!dbMoving_RangeRef</vt:lpstr>
      <vt:lpstr>'RES_fi-FI'!dbMoving_RangeRef</vt:lpstr>
      <vt:lpstr>'RES_fr-FR'!dbMoving_RangeRef</vt:lpstr>
      <vt:lpstr>'RES_hr-HR'!dbMoving_RangeRef</vt:lpstr>
      <vt:lpstr>'RES_hu-HU'!dbMoving_RangeRef</vt:lpstr>
      <vt:lpstr>'RES_it-IT'!dbMoving_RangeRef</vt:lpstr>
      <vt:lpstr>'RES_ja-JP'!dbMoving_RangeRef</vt:lpstr>
      <vt:lpstr>'RES_ko-KR'!dbMoving_RangeRef</vt:lpstr>
      <vt:lpstr>'RES_lv-LV'!dbMoving_RangeRef</vt:lpstr>
      <vt:lpstr>'RES_nb-NO'!dbMoving_RangeRef</vt:lpstr>
      <vt:lpstr>'RES_nl-NL'!dbMoving_RangeRef</vt:lpstr>
      <vt:lpstr>'RES_pl-PL'!dbMoving_RangeRef</vt:lpstr>
      <vt:lpstr>'RES_pt-BR'!dbMoving_RangeRef</vt:lpstr>
      <vt:lpstr>'RES_pt-PT'!dbMoving_RangeRef</vt:lpstr>
      <vt:lpstr>'RES_ro-RO'!dbMoving_RangeRef</vt:lpstr>
      <vt:lpstr>'RES_ru-RU'!dbMoving_RangeRef</vt:lpstr>
      <vt:lpstr>'RES_sl-SI'!dbMoving_RangeRef</vt:lpstr>
      <vt:lpstr>'RES_sv-SE'!dbMoving_RangeRef</vt:lpstr>
      <vt:lpstr>'RES_tr-TR'!dbMoving_RangeRef</vt:lpstr>
      <vt:lpstr>'RES_zh-CN'!dbMoving_RangeRef</vt:lpstr>
      <vt:lpstr>'RES_zh-TW'!dbMoving_RangeRef</vt:lpstr>
      <vt:lpstr>'RES_cs-CZ'!dbMoving_StderrChkBox</vt:lpstr>
      <vt:lpstr>'RES_da-DK'!dbMoving_StderrChkBox</vt:lpstr>
      <vt:lpstr>'RES_de-DE'!dbMoving_StderrChkBox</vt:lpstr>
      <vt:lpstr>'RES_el-GR'!dbMoving_StderrChkBox</vt:lpstr>
      <vt:lpstr>'RES_en-US'!dbMoving_StderrChkBox</vt:lpstr>
      <vt:lpstr>'RES_es-ES'!dbMoving_StderrChkBox</vt:lpstr>
      <vt:lpstr>'RES_fi-FI'!dbMoving_StderrChkBox</vt:lpstr>
      <vt:lpstr>'RES_fr-FR'!dbMoving_StderrChkBox</vt:lpstr>
      <vt:lpstr>'RES_hr-HR'!dbMoving_StderrChkBox</vt:lpstr>
      <vt:lpstr>'RES_hu-HU'!dbMoving_StderrChkBox</vt:lpstr>
      <vt:lpstr>'RES_it-IT'!dbMoving_StderrChkBox</vt:lpstr>
      <vt:lpstr>'RES_ja-JP'!dbMoving_StderrChkBox</vt:lpstr>
      <vt:lpstr>'RES_ko-KR'!dbMoving_StderrChkBox</vt:lpstr>
      <vt:lpstr>'RES_lv-LV'!dbMoving_StderrChkBox</vt:lpstr>
      <vt:lpstr>'RES_nb-NO'!dbMoving_StderrChkBox</vt:lpstr>
      <vt:lpstr>'RES_nl-NL'!dbMoving_StderrChkBox</vt:lpstr>
      <vt:lpstr>'RES_pl-PL'!dbMoving_StderrChkBox</vt:lpstr>
      <vt:lpstr>'RES_pt-BR'!dbMoving_StderrChkBox</vt:lpstr>
      <vt:lpstr>'RES_pt-PT'!dbMoving_StderrChkBox</vt:lpstr>
      <vt:lpstr>'RES_ro-RO'!dbMoving_StderrChkBox</vt:lpstr>
      <vt:lpstr>'RES_ru-RU'!dbMoving_StderrChkBox</vt:lpstr>
      <vt:lpstr>'RES_sl-SI'!dbMoving_StderrChkBox</vt:lpstr>
      <vt:lpstr>'RES_sv-SE'!dbMoving_StderrChkBox</vt:lpstr>
      <vt:lpstr>'RES_tr-TR'!dbMoving_StderrChkBox</vt:lpstr>
      <vt:lpstr>'RES_zh-CN'!dbMoving_StderrChkBox</vt:lpstr>
      <vt:lpstr>'RES_zh-TW'!dbMoving_StderrChkBox</vt:lpstr>
      <vt:lpstr>'RES_cs-CZ'!dbMovingTitle</vt:lpstr>
      <vt:lpstr>'RES_da-DK'!dbMovingTitle</vt:lpstr>
      <vt:lpstr>'RES_de-DE'!dbMovingTitle</vt:lpstr>
      <vt:lpstr>'RES_el-GR'!dbMovingTitle</vt:lpstr>
      <vt:lpstr>'RES_en-US'!dbMovingTitle</vt:lpstr>
      <vt:lpstr>'RES_es-ES'!dbMovingTitle</vt:lpstr>
      <vt:lpstr>'RES_fi-FI'!dbMovingTitle</vt:lpstr>
      <vt:lpstr>'RES_fr-FR'!dbMovingTitle</vt:lpstr>
      <vt:lpstr>'RES_hr-HR'!dbMovingTitle</vt:lpstr>
      <vt:lpstr>'RES_hu-HU'!dbMovingTitle</vt:lpstr>
      <vt:lpstr>'RES_it-IT'!dbMovingTitle</vt:lpstr>
      <vt:lpstr>'RES_ja-JP'!dbMovingTitle</vt:lpstr>
      <vt:lpstr>'RES_ko-KR'!dbMovingTitle</vt:lpstr>
      <vt:lpstr>'RES_lv-LV'!dbMovingTitle</vt:lpstr>
      <vt:lpstr>'RES_nb-NO'!dbMovingTitle</vt:lpstr>
      <vt:lpstr>'RES_nl-NL'!dbMovingTitle</vt:lpstr>
      <vt:lpstr>'RES_pl-PL'!dbMovingTitle</vt:lpstr>
      <vt:lpstr>'RES_pt-BR'!dbMovingTitle</vt:lpstr>
      <vt:lpstr>'RES_pt-PT'!dbMovingTitle</vt:lpstr>
      <vt:lpstr>'RES_ro-RO'!dbMovingTitle</vt:lpstr>
      <vt:lpstr>'RES_ru-RU'!dbMovingTitle</vt:lpstr>
      <vt:lpstr>'RES_sl-SI'!dbMovingTitle</vt:lpstr>
      <vt:lpstr>'RES_sv-SE'!dbMovingTitle</vt:lpstr>
      <vt:lpstr>'RES_tr-TR'!dbMovingTitle</vt:lpstr>
      <vt:lpstr>'RES_zh-CN'!dbMovingTitle</vt:lpstr>
      <vt:lpstr>'RES_zh-TW'!dbMovingTitle</vt:lpstr>
      <vt:lpstr>'RES_cs-CZ'!dbNormal</vt:lpstr>
      <vt:lpstr>'RES_da-DK'!dbNormal</vt:lpstr>
      <vt:lpstr>'RES_de-DE'!dbNormal</vt:lpstr>
      <vt:lpstr>'RES_el-GR'!dbNormal</vt:lpstr>
      <vt:lpstr>'RES_en-US'!dbNormal</vt:lpstr>
      <vt:lpstr>'RES_es-ES'!dbNormal</vt:lpstr>
      <vt:lpstr>'RES_fi-FI'!dbNormal</vt:lpstr>
      <vt:lpstr>'RES_fr-FR'!dbNormal</vt:lpstr>
      <vt:lpstr>'RES_hr-HR'!dbNormal</vt:lpstr>
      <vt:lpstr>'RES_hu-HU'!dbNormal</vt:lpstr>
      <vt:lpstr>'RES_it-IT'!dbNormal</vt:lpstr>
      <vt:lpstr>'RES_ja-JP'!dbNormal</vt:lpstr>
      <vt:lpstr>'RES_ko-KR'!dbNormal</vt:lpstr>
      <vt:lpstr>'RES_lv-LV'!dbNormal</vt:lpstr>
      <vt:lpstr>'RES_nb-NO'!dbNormal</vt:lpstr>
      <vt:lpstr>'RES_nl-NL'!dbNormal</vt:lpstr>
      <vt:lpstr>'RES_pl-PL'!dbNormal</vt:lpstr>
      <vt:lpstr>'RES_pt-BR'!dbNormal</vt:lpstr>
      <vt:lpstr>'RES_pt-PT'!dbNormal</vt:lpstr>
      <vt:lpstr>'RES_ro-RO'!dbNormal</vt:lpstr>
      <vt:lpstr>'RES_ru-RU'!dbNormal</vt:lpstr>
      <vt:lpstr>'RES_sl-SI'!dbNormal</vt:lpstr>
      <vt:lpstr>'RES_sv-SE'!dbNormal</vt:lpstr>
      <vt:lpstr>'RES_tr-TR'!dbNormal</vt:lpstr>
      <vt:lpstr>'RES_zh-CN'!dbNormal</vt:lpstr>
      <vt:lpstr>'RES_zh-TW'!dbNormal</vt:lpstr>
      <vt:lpstr>'RES_cs-CZ'!dbOutput</vt:lpstr>
      <vt:lpstr>'RES_da-DK'!dbOutput</vt:lpstr>
      <vt:lpstr>'RES_de-DE'!dbOutput</vt:lpstr>
      <vt:lpstr>'RES_el-GR'!dbOutput</vt:lpstr>
      <vt:lpstr>'RES_en-US'!dbOutput</vt:lpstr>
      <vt:lpstr>'RES_es-ES'!dbOutput</vt:lpstr>
      <vt:lpstr>'RES_fi-FI'!dbOutput</vt:lpstr>
      <vt:lpstr>'RES_fr-FR'!dbOutput</vt:lpstr>
      <vt:lpstr>'RES_hr-HR'!dbOutput</vt:lpstr>
      <vt:lpstr>'RES_hu-HU'!dbOutput</vt:lpstr>
      <vt:lpstr>'RES_it-IT'!dbOutput</vt:lpstr>
      <vt:lpstr>'RES_ja-JP'!dbOutput</vt:lpstr>
      <vt:lpstr>'RES_ko-KR'!dbOutput</vt:lpstr>
      <vt:lpstr>'RES_lv-LV'!dbOutput</vt:lpstr>
      <vt:lpstr>'RES_nb-NO'!dbOutput</vt:lpstr>
      <vt:lpstr>'RES_nl-NL'!dbOutput</vt:lpstr>
      <vt:lpstr>'RES_pl-PL'!dbOutput</vt:lpstr>
      <vt:lpstr>'RES_pt-BR'!dbOutput</vt:lpstr>
      <vt:lpstr>'RES_pt-PT'!dbOutput</vt:lpstr>
      <vt:lpstr>'RES_ro-RO'!dbOutput</vt:lpstr>
      <vt:lpstr>'RES_ru-RU'!dbOutput</vt:lpstr>
      <vt:lpstr>'RES_sl-SI'!dbOutput</vt:lpstr>
      <vt:lpstr>'RES_sv-SE'!dbOutput</vt:lpstr>
      <vt:lpstr>'RES_tr-TR'!dbOutput</vt:lpstr>
      <vt:lpstr>'RES_zh-CN'!dbOutput</vt:lpstr>
      <vt:lpstr>'RES_zh-TW'!dbOutput</vt:lpstr>
      <vt:lpstr>'RES_cs-CZ'!dbOutput_NewRef</vt:lpstr>
      <vt:lpstr>'RES_da-DK'!dbOutput_NewRef</vt:lpstr>
      <vt:lpstr>'RES_de-DE'!dbOutput_NewRef</vt:lpstr>
      <vt:lpstr>'RES_el-GR'!dbOutput_NewRef</vt:lpstr>
      <vt:lpstr>'RES_en-US'!dbOutput_NewRef</vt:lpstr>
      <vt:lpstr>'RES_es-ES'!dbOutput_NewRef</vt:lpstr>
      <vt:lpstr>'RES_fi-FI'!dbOutput_NewRef</vt:lpstr>
      <vt:lpstr>'RES_fr-FR'!dbOutput_NewRef</vt:lpstr>
      <vt:lpstr>'RES_hr-HR'!dbOutput_NewRef</vt:lpstr>
      <vt:lpstr>'RES_hu-HU'!dbOutput_NewRef</vt:lpstr>
      <vt:lpstr>'RES_it-IT'!dbOutput_NewRef</vt:lpstr>
      <vt:lpstr>'RES_ja-JP'!dbOutput_NewRef</vt:lpstr>
      <vt:lpstr>'RES_ko-KR'!dbOutput_NewRef</vt:lpstr>
      <vt:lpstr>'RES_lv-LV'!dbOutput_NewRef</vt:lpstr>
      <vt:lpstr>'RES_nb-NO'!dbOutput_NewRef</vt:lpstr>
      <vt:lpstr>'RES_nl-NL'!dbOutput_NewRef</vt:lpstr>
      <vt:lpstr>'RES_pl-PL'!dbOutput_NewRef</vt:lpstr>
      <vt:lpstr>'RES_pt-BR'!dbOutput_NewRef</vt:lpstr>
      <vt:lpstr>'RES_pt-PT'!dbOutput_NewRef</vt:lpstr>
      <vt:lpstr>'RES_ro-RO'!dbOutput_NewRef</vt:lpstr>
      <vt:lpstr>'RES_ru-RU'!dbOutput_NewRef</vt:lpstr>
      <vt:lpstr>'RES_sl-SI'!dbOutput_NewRef</vt:lpstr>
      <vt:lpstr>'RES_sv-SE'!dbOutput_NewRef</vt:lpstr>
      <vt:lpstr>'RES_tr-TR'!dbOutput_NewRef</vt:lpstr>
      <vt:lpstr>'RES_zh-CN'!dbOutput_NewRef</vt:lpstr>
      <vt:lpstr>'RES_zh-TW'!dbOutput_NewRef</vt:lpstr>
      <vt:lpstr>'RES_cs-CZ'!dbOutput_NewType</vt:lpstr>
      <vt:lpstr>'RES_da-DK'!dbOutput_NewType</vt:lpstr>
      <vt:lpstr>'RES_de-DE'!dbOutput_NewType</vt:lpstr>
      <vt:lpstr>'RES_el-GR'!dbOutput_NewType</vt:lpstr>
      <vt:lpstr>'RES_en-US'!dbOutput_NewType</vt:lpstr>
      <vt:lpstr>'RES_es-ES'!dbOutput_NewType</vt:lpstr>
      <vt:lpstr>'RES_fi-FI'!dbOutput_NewType</vt:lpstr>
      <vt:lpstr>'RES_fr-FR'!dbOutput_NewType</vt:lpstr>
      <vt:lpstr>'RES_hr-HR'!dbOutput_NewType</vt:lpstr>
      <vt:lpstr>'RES_hu-HU'!dbOutput_NewType</vt:lpstr>
      <vt:lpstr>'RES_it-IT'!dbOutput_NewType</vt:lpstr>
      <vt:lpstr>'RES_ja-JP'!dbOutput_NewType</vt:lpstr>
      <vt:lpstr>'RES_ko-KR'!dbOutput_NewType</vt:lpstr>
      <vt:lpstr>'RES_lv-LV'!dbOutput_NewType</vt:lpstr>
      <vt:lpstr>'RES_nb-NO'!dbOutput_NewType</vt:lpstr>
      <vt:lpstr>'RES_nl-NL'!dbOutput_NewType</vt:lpstr>
      <vt:lpstr>'RES_pl-PL'!dbOutput_NewType</vt:lpstr>
      <vt:lpstr>'RES_pt-BR'!dbOutput_NewType</vt:lpstr>
      <vt:lpstr>'RES_pt-PT'!dbOutput_NewType</vt:lpstr>
      <vt:lpstr>'RES_ro-RO'!dbOutput_NewType</vt:lpstr>
      <vt:lpstr>'RES_ru-RU'!dbOutput_NewType</vt:lpstr>
      <vt:lpstr>'RES_sl-SI'!dbOutput_NewType</vt:lpstr>
      <vt:lpstr>'RES_sv-SE'!dbOutput_NewType</vt:lpstr>
      <vt:lpstr>'RES_tr-TR'!dbOutput_NewType</vt:lpstr>
      <vt:lpstr>'RES_zh-CN'!dbOutput_NewType</vt:lpstr>
      <vt:lpstr>'RES_zh-TW'!dbOutput_NewType</vt:lpstr>
      <vt:lpstr>'RES_cs-CZ'!dbOutput_OutOption</vt:lpstr>
      <vt:lpstr>'RES_da-DK'!dbOutput_OutOption</vt:lpstr>
      <vt:lpstr>'RES_de-DE'!dbOutput_OutOption</vt:lpstr>
      <vt:lpstr>'RES_el-GR'!dbOutput_OutOption</vt:lpstr>
      <vt:lpstr>'RES_en-US'!dbOutput_OutOption</vt:lpstr>
      <vt:lpstr>'RES_es-ES'!dbOutput_OutOption</vt:lpstr>
      <vt:lpstr>'RES_fi-FI'!dbOutput_OutOption</vt:lpstr>
      <vt:lpstr>'RES_fr-FR'!dbOutput_OutOption</vt:lpstr>
      <vt:lpstr>'RES_hr-HR'!dbOutput_OutOption</vt:lpstr>
      <vt:lpstr>'RES_hu-HU'!dbOutput_OutOption</vt:lpstr>
      <vt:lpstr>'RES_it-IT'!dbOutput_OutOption</vt:lpstr>
      <vt:lpstr>'RES_ja-JP'!dbOutput_OutOption</vt:lpstr>
      <vt:lpstr>'RES_ko-KR'!dbOutput_OutOption</vt:lpstr>
      <vt:lpstr>'RES_lv-LV'!dbOutput_OutOption</vt:lpstr>
      <vt:lpstr>'RES_nb-NO'!dbOutput_OutOption</vt:lpstr>
      <vt:lpstr>'RES_nl-NL'!dbOutput_OutOption</vt:lpstr>
      <vt:lpstr>'RES_pl-PL'!dbOutput_OutOption</vt:lpstr>
      <vt:lpstr>'RES_pt-BR'!dbOutput_OutOption</vt:lpstr>
      <vt:lpstr>'RES_pt-PT'!dbOutput_OutOption</vt:lpstr>
      <vt:lpstr>'RES_ro-RO'!dbOutput_OutOption</vt:lpstr>
      <vt:lpstr>'RES_ru-RU'!dbOutput_OutOption</vt:lpstr>
      <vt:lpstr>'RES_sl-SI'!dbOutput_OutOption</vt:lpstr>
      <vt:lpstr>'RES_sv-SE'!dbOutput_OutOption</vt:lpstr>
      <vt:lpstr>'RES_tr-TR'!dbOutput_OutOption</vt:lpstr>
      <vt:lpstr>'RES_zh-CN'!dbOutput_OutOption</vt:lpstr>
      <vt:lpstr>'RES_zh-TW'!dbOutput_OutOption</vt:lpstr>
      <vt:lpstr>'RES_cs-CZ'!dbOutput_OutRef</vt:lpstr>
      <vt:lpstr>'RES_da-DK'!dbOutput_OutRef</vt:lpstr>
      <vt:lpstr>'RES_de-DE'!dbOutput_OutRef</vt:lpstr>
      <vt:lpstr>'RES_el-GR'!dbOutput_OutRef</vt:lpstr>
      <vt:lpstr>'RES_en-US'!dbOutput_OutRef</vt:lpstr>
      <vt:lpstr>'RES_es-ES'!dbOutput_OutRef</vt:lpstr>
      <vt:lpstr>'RES_fi-FI'!dbOutput_OutRef</vt:lpstr>
      <vt:lpstr>'RES_fr-FR'!dbOutput_OutRef</vt:lpstr>
      <vt:lpstr>'RES_hr-HR'!dbOutput_OutRef</vt:lpstr>
      <vt:lpstr>'RES_hu-HU'!dbOutput_OutRef</vt:lpstr>
      <vt:lpstr>'RES_it-IT'!dbOutput_OutRef</vt:lpstr>
      <vt:lpstr>'RES_ja-JP'!dbOutput_OutRef</vt:lpstr>
      <vt:lpstr>'RES_ko-KR'!dbOutput_OutRef</vt:lpstr>
      <vt:lpstr>'RES_lv-LV'!dbOutput_OutRef</vt:lpstr>
      <vt:lpstr>'RES_nb-NO'!dbOutput_OutRef</vt:lpstr>
      <vt:lpstr>'RES_nl-NL'!dbOutput_OutRef</vt:lpstr>
      <vt:lpstr>'RES_pl-PL'!dbOutput_OutRef</vt:lpstr>
      <vt:lpstr>'RES_pt-BR'!dbOutput_OutRef</vt:lpstr>
      <vt:lpstr>'RES_pt-PT'!dbOutput_OutRef</vt:lpstr>
      <vt:lpstr>'RES_ro-RO'!dbOutput_OutRef</vt:lpstr>
      <vt:lpstr>'RES_ru-RU'!dbOutput_OutRef</vt:lpstr>
      <vt:lpstr>'RES_sl-SI'!dbOutput_OutRef</vt:lpstr>
      <vt:lpstr>'RES_sv-SE'!dbOutput_OutRef</vt:lpstr>
      <vt:lpstr>'RES_tr-TR'!dbOutput_OutRef</vt:lpstr>
      <vt:lpstr>'RES_zh-CN'!dbOutput_OutRef</vt:lpstr>
      <vt:lpstr>'RES_zh-TW'!dbOutput_OutRef</vt:lpstr>
      <vt:lpstr>'RES_cs-CZ'!dbOutput_OutType</vt:lpstr>
      <vt:lpstr>'RES_da-DK'!dbOutput_OutType</vt:lpstr>
      <vt:lpstr>'RES_de-DE'!dbOutput_OutType</vt:lpstr>
      <vt:lpstr>'RES_el-GR'!dbOutput_OutType</vt:lpstr>
      <vt:lpstr>'RES_en-US'!dbOutput_OutType</vt:lpstr>
      <vt:lpstr>'RES_es-ES'!dbOutput_OutType</vt:lpstr>
      <vt:lpstr>'RES_fi-FI'!dbOutput_OutType</vt:lpstr>
      <vt:lpstr>'RES_fr-FR'!dbOutput_OutType</vt:lpstr>
      <vt:lpstr>'RES_hr-HR'!dbOutput_OutType</vt:lpstr>
      <vt:lpstr>'RES_hu-HU'!dbOutput_OutType</vt:lpstr>
      <vt:lpstr>'RES_it-IT'!dbOutput_OutType</vt:lpstr>
      <vt:lpstr>'RES_ja-JP'!dbOutput_OutType</vt:lpstr>
      <vt:lpstr>'RES_ko-KR'!dbOutput_OutType</vt:lpstr>
      <vt:lpstr>'RES_lv-LV'!dbOutput_OutType</vt:lpstr>
      <vt:lpstr>'RES_nb-NO'!dbOutput_OutType</vt:lpstr>
      <vt:lpstr>'RES_nl-NL'!dbOutput_OutType</vt:lpstr>
      <vt:lpstr>'RES_pl-PL'!dbOutput_OutType</vt:lpstr>
      <vt:lpstr>'RES_pt-BR'!dbOutput_OutType</vt:lpstr>
      <vt:lpstr>'RES_pt-PT'!dbOutput_OutType</vt:lpstr>
      <vt:lpstr>'RES_ro-RO'!dbOutput_OutType</vt:lpstr>
      <vt:lpstr>'RES_ru-RU'!dbOutput_OutType</vt:lpstr>
      <vt:lpstr>'RES_sl-SI'!dbOutput_OutType</vt:lpstr>
      <vt:lpstr>'RES_sv-SE'!dbOutput_OutType</vt:lpstr>
      <vt:lpstr>'RES_tr-TR'!dbOutput_OutType</vt:lpstr>
      <vt:lpstr>'RES_zh-CN'!dbOutput_OutType</vt:lpstr>
      <vt:lpstr>'RES_zh-TW'!dbOutput_OutType</vt:lpstr>
      <vt:lpstr>'RES_cs-CZ'!dbOutput_OWriteRange</vt:lpstr>
      <vt:lpstr>'RES_da-DK'!dbOutput_OWriteRange</vt:lpstr>
      <vt:lpstr>'RES_de-DE'!dbOutput_OWriteRange</vt:lpstr>
      <vt:lpstr>'RES_el-GR'!dbOutput_OWriteRange</vt:lpstr>
      <vt:lpstr>'RES_en-US'!dbOutput_OWriteRange</vt:lpstr>
      <vt:lpstr>'RES_es-ES'!dbOutput_OWriteRange</vt:lpstr>
      <vt:lpstr>'RES_fi-FI'!dbOutput_OWriteRange</vt:lpstr>
      <vt:lpstr>'RES_fr-FR'!dbOutput_OWriteRange</vt:lpstr>
      <vt:lpstr>'RES_hr-HR'!dbOutput_OWriteRange</vt:lpstr>
      <vt:lpstr>'RES_hu-HU'!dbOutput_OWriteRange</vt:lpstr>
      <vt:lpstr>'RES_it-IT'!dbOutput_OWriteRange</vt:lpstr>
      <vt:lpstr>'RES_ja-JP'!dbOutput_OWriteRange</vt:lpstr>
      <vt:lpstr>'RES_ko-KR'!dbOutput_OWriteRange</vt:lpstr>
      <vt:lpstr>'RES_lv-LV'!dbOutput_OWriteRange</vt:lpstr>
      <vt:lpstr>'RES_nb-NO'!dbOutput_OWriteRange</vt:lpstr>
      <vt:lpstr>'RES_nl-NL'!dbOutput_OWriteRange</vt:lpstr>
      <vt:lpstr>'RES_pl-PL'!dbOutput_OWriteRange</vt:lpstr>
      <vt:lpstr>'RES_pt-BR'!dbOutput_OWriteRange</vt:lpstr>
      <vt:lpstr>'RES_pt-PT'!dbOutput_OWriteRange</vt:lpstr>
      <vt:lpstr>'RES_ro-RO'!dbOutput_OWriteRange</vt:lpstr>
      <vt:lpstr>'RES_ru-RU'!dbOutput_OWriteRange</vt:lpstr>
      <vt:lpstr>'RES_sl-SI'!dbOutput_OWriteRange</vt:lpstr>
      <vt:lpstr>'RES_sv-SE'!dbOutput_OWriteRange</vt:lpstr>
      <vt:lpstr>'RES_tr-TR'!dbOutput_OWriteRange</vt:lpstr>
      <vt:lpstr>'RES_zh-CN'!dbOutput_OWriteRange</vt:lpstr>
      <vt:lpstr>'RES_zh-TW'!dbOutput_OWriteRange</vt:lpstr>
      <vt:lpstr>'RES_cs-CZ'!dbPatterned</vt:lpstr>
      <vt:lpstr>'RES_da-DK'!dbPatterned</vt:lpstr>
      <vt:lpstr>'RES_de-DE'!dbPatterned</vt:lpstr>
      <vt:lpstr>'RES_el-GR'!dbPatterned</vt:lpstr>
      <vt:lpstr>'RES_en-US'!dbPatterned</vt:lpstr>
      <vt:lpstr>'RES_es-ES'!dbPatterned</vt:lpstr>
      <vt:lpstr>'RES_fi-FI'!dbPatterned</vt:lpstr>
      <vt:lpstr>'RES_fr-FR'!dbPatterned</vt:lpstr>
      <vt:lpstr>'RES_hr-HR'!dbPatterned</vt:lpstr>
      <vt:lpstr>'RES_hu-HU'!dbPatterned</vt:lpstr>
      <vt:lpstr>'RES_it-IT'!dbPatterned</vt:lpstr>
      <vt:lpstr>'RES_ja-JP'!dbPatterned</vt:lpstr>
      <vt:lpstr>'RES_ko-KR'!dbPatterned</vt:lpstr>
      <vt:lpstr>'RES_lv-LV'!dbPatterned</vt:lpstr>
      <vt:lpstr>'RES_nb-NO'!dbPatterned</vt:lpstr>
      <vt:lpstr>'RES_nl-NL'!dbPatterned</vt:lpstr>
      <vt:lpstr>'RES_pl-PL'!dbPatterned</vt:lpstr>
      <vt:lpstr>'RES_pt-BR'!dbPatterned</vt:lpstr>
      <vt:lpstr>'RES_pt-PT'!dbPatterned</vt:lpstr>
      <vt:lpstr>'RES_ro-RO'!dbPatterned</vt:lpstr>
      <vt:lpstr>'RES_ru-RU'!dbPatterned</vt:lpstr>
      <vt:lpstr>'RES_sl-SI'!dbPatterned</vt:lpstr>
      <vt:lpstr>'RES_sv-SE'!dbPatterned</vt:lpstr>
      <vt:lpstr>'RES_tr-TR'!dbPatterned</vt:lpstr>
      <vt:lpstr>'RES_zh-CN'!dbPatterned</vt:lpstr>
      <vt:lpstr>'RES_zh-TW'!dbPatterned</vt:lpstr>
      <vt:lpstr>'RES_cs-CZ'!dbPoisson</vt:lpstr>
      <vt:lpstr>'RES_da-DK'!dbPoisson</vt:lpstr>
      <vt:lpstr>'RES_de-DE'!dbPoisson</vt:lpstr>
      <vt:lpstr>'RES_el-GR'!dbPoisson</vt:lpstr>
      <vt:lpstr>'RES_en-US'!dbPoisson</vt:lpstr>
      <vt:lpstr>'RES_es-ES'!dbPoisson</vt:lpstr>
      <vt:lpstr>'RES_fi-FI'!dbPoisson</vt:lpstr>
      <vt:lpstr>'RES_fr-FR'!dbPoisson</vt:lpstr>
      <vt:lpstr>'RES_hr-HR'!dbPoisson</vt:lpstr>
      <vt:lpstr>'RES_hu-HU'!dbPoisson</vt:lpstr>
      <vt:lpstr>'RES_it-IT'!dbPoisson</vt:lpstr>
      <vt:lpstr>'RES_ja-JP'!dbPoisson</vt:lpstr>
      <vt:lpstr>'RES_ko-KR'!dbPoisson</vt:lpstr>
      <vt:lpstr>'RES_lv-LV'!dbPoisson</vt:lpstr>
      <vt:lpstr>'RES_nb-NO'!dbPoisson</vt:lpstr>
      <vt:lpstr>'RES_nl-NL'!dbPoisson</vt:lpstr>
      <vt:lpstr>'RES_pl-PL'!dbPoisson</vt:lpstr>
      <vt:lpstr>'RES_pt-BR'!dbPoisson</vt:lpstr>
      <vt:lpstr>'RES_pt-PT'!dbPoisson</vt:lpstr>
      <vt:lpstr>'RES_ro-RO'!dbPoisson</vt:lpstr>
      <vt:lpstr>'RES_ru-RU'!dbPoisson</vt:lpstr>
      <vt:lpstr>'RES_sl-SI'!dbPoisson</vt:lpstr>
      <vt:lpstr>'RES_sv-SE'!dbPoisson</vt:lpstr>
      <vt:lpstr>'RES_tr-TR'!dbPoisson</vt:lpstr>
      <vt:lpstr>'RES_zh-CN'!dbPoisson</vt:lpstr>
      <vt:lpstr>'RES_zh-TW'!dbPoisson</vt:lpstr>
      <vt:lpstr>'RES_cs-CZ'!dbRandom</vt:lpstr>
      <vt:lpstr>'RES_da-DK'!dbRandom</vt:lpstr>
      <vt:lpstr>'RES_de-DE'!dbRandom</vt:lpstr>
      <vt:lpstr>'RES_el-GR'!dbRandom</vt:lpstr>
      <vt:lpstr>'RES_en-US'!dbRandom</vt:lpstr>
      <vt:lpstr>'RES_es-ES'!dbRandom</vt:lpstr>
      <vt:lpstr>'RES_fi-FI'!dbRandom</vt:lpstr>
      <vt:lpstr>'RES_fr-FR'!dbRandom</vt:lpstr>
      <vt:lpstr>'RES_hr-HR'!dbRandom</vt:lpstr>
      <vt:lpstr>'RES_hu-HU'!dbRandom</vt:lpstr>
      <vt:lpstr>'RES_it-IT'!dbRandom</vt:lpstr>
      <vt:lpstr>'RES_ja-JP'!dbRandom</vt:lpstr>
      <vt:lpstr>'RES_ko-KR'!dbRandom</vt:lpstr>
      <vt:lpstr>'RES_lv-LV'!dbRandom</vt:lpstr>
      <vt:lpstr>'RES_nb-NO'!dbRandom</vt:lpstr>
      <vt:lpstr>'RES_nl-NL'!dbRandom</vt:lpstr>
      <vt:lpstr>'RES_pl-PL'!dbRandom</vt:lpstr>
      <vt:lpstr>'RES_pt-BR'!dbRandom</vt:lpstr>
      <vt:lpstr>'RES_pt-PT'!dbRandom</vt:lpstr>
      <vt:lpstr>'RES_ro-RO'!dbRandom</vt:lpstr>
      <vt:lpstr>'RES_ru-RU'!dbRandom</vt:lpstr>
      <vt:lpstr>'RES_sl-SI'!dbRandom</vt:lpstr>
      <vt:lpstr>'RES_sv-SE'!dbRandom</vt:lpstr>
      <vt:lpstr>'RES_tr-TR'!dbRandom</vt:lpstr>
      <vt:lpstr>'RES_zh-CN'!dbRandom</vt:lpstr>
      <vt:lpstr>'RES_zh-TW'!dbRandom</vt:lpstr>
      <vt:lpstr>'RES_cs-CZ'!dbRandom_And</vt:lpstr>
      <vt:lpstr>'RES_da-DK'!dbRandom_And</vt:lpstr>
      <vt:lpstr>'RES_de-DE'!dbRandom_And</vt:lpstr>
      <vt:lpstr>'RES_el-GR'!dbRandom_And</vt:lpstr>
      <vt:lpstr>'RES_en-US'!dbRandom_And</vt:lpstr>
      <vt:lpstr>'RES_es-ES'!dbRandom_And</vt:lpstr>
      <vt:lpstr>'RES_fi-FI'!dbRandom_And</vt:lpstr>
      <vt:lpstr>'RES_fr-FR'!dbRandom_And</vt:lpstr>
      <vt:lpstr>'RES_hr-HR'!dbRandom_And</vt:lpstr>
      <vt:lpstr>'RES_hu-HU'!dbRandom_And</vt:lpstr>
      <vt:lpstr>'RES_it-IT'!dbRandom_And</vt:lpstr>
      <vt:lpstr>'RES_ja-JP'!dbRandom_And</vt:lpstr>
      <vt:lpstr>'RES_ko-KR'!dbRandom_And</vt:lpstr>
      <vt:lpstr>'RES_lv-LV'!dbRandom_And</vt:lpstr>
      <vt:lpstr>'RES_nb-NO'!dbRandom_And</vt:lpstr>
      <vt:lpstr>'RES_nl-NL'!dbRandom_And</vt:lpstr>
      <vt:lpstr>'RES_pl-PL'!dbRandom_And</vt:lpstr>
      <vt:lpstr>'RES_pt-BR'!dbRandom_And</vt:lpstr>
      <vt:lpstr>'RES_pt-PT'!dbRandom_And</vt:lpstr>
      <vt:lpstr>'RES_ro-RO'!dbRandom_And</vt:lpstr>
      <vt:lpstr>'RES_ru-RU'!dbRandom_And</vt:lpstr>
      <vt:lpstr>'RES_sl-SI'!dbRandom_And</vt:lpstr>
      <vt:lpstr>'RES_sv-SE'!dbRandom_And</vt:lpstr>
      <vt:lpstr>'RES_tr-TR'!dbRandom_And</vt:lpstr>
      <vt:lpstr>'RES_zh-CN'!dbRandom_And</vt:lpstr>
      <vt:lpstr>'RES_zh-TW'!dbRandom_And</vt:lpstr>
      <vt:lpstr>'RES_cs-CZ'!dbRandom_Between</vt:lpstr>
      <vt:lpstr>'RES_da-DK'!dbRandom_Between</vt:lpstr>
      <vt:lpstr>'RES_de-DE'!dbRandom_Between</vt:lpstr>
      <vt:lpstr>'RES_el-GR'!dbRandom_Between</vt:lpstr>
      <vt:lpstr>'RES_en-US'!dbRandom_Between</vt:lpstr>
      <vt:lpstr>'RES_es-ES'!dbRandom_Between</vt:lpstr>
      <vt:lpstr>'RES_fi-FI'!dbRandom_Between</vt:lpstr>
      <vt:lpstr>'RES_fr-FR'!dbRandom_Between</vt:lpstr>
      <vt:lpstr>'RES_hr-HR'!dbRandom_Between</vt:lpstr>
      <vt:lpstr>'RES_hu-HU'!dbRandom_Between</vt:lpstr>
      <vt:lpstr>'RES_it-IT'!dbRandom_Between</vt:lpstr>
      <vt:lpstr>'RES_ja-JP'!dbRandom_Between</vt:lpstr>
      <vt:lpstr>'RES_ko-KR'!dbRandom_Between</vt:lpstr>
      <vt:lpstr>'RES_lv-LV'!dbRandom_Between</vt:lpstr>
      <vt:lpstr>'RES_nb-NO'!dbRandom_Between</vt:lpstr>
      <vt:lpstr>'RES_nl-NL'!dbRandom_Between</vt:lpstr>
      <vt:lpstr>'RES_pl-PL'!dbRandom_Between</vt:lpstr>
      <vt:lpstr>'RES_pt-BR'!dbRandom_Between</vt:lpstr>
      <vt:lpstr>'RES_pt-PT'!dbRandom_Between</vt:lpstr>
      <vt:lpstr>'RES_ro-RO'!dbRandom_Between</vt:lpstr>
      <vt:lpstr>'RES_ru-RU'!dbRandom_Between</vt:lpstr>
      <vt:lpstr>'RES_sl-SI'!dbRandom_Between</vt:lpstr>
      <vt:lpstr>'RES_sv-SE'!dbRandom_Between</vt:lpstr>
      <vt:lpstr>'RES_tr-TR'!dbRandom_Between</vt:lpstr>
      <vt:lpstr>'RES_zh-CN'!dbRandom_Between</vt:lpstr>
      <vt:lpstr>'RES_zh-TW'!dbRandom_Between</vt:lpstr>
      <vt:lpstr>'RES_cs-CZ'!dbRandom_CurrDistDBName</vt:lpstr>
      <vt:lpstr>'RES_da-DK'!dbRandom_CurrDistDBName</vt:lpstr>
      <vt:lpstr>'RES_de-DE'!dbRandom_CurrDistDBName</vt:lpstr>
      <vt:lpstr>'RES_el-GR'!dbRandom_CurrDistDBName</vt:lpstr>
      <vt:lpstr>'RES_en-US'!dbRandom_CurrDistDBName</vt:lpstr>
      <vt:lpstr>'RES_es-ES'!dbRandom_CurrDistDBName</vt:lpstr>
      <vt:lpstr>'RES_fi-FI'!dbRandom_CurrDistDBName</vt:lpstr>
      <vt:lpstr>'RES_fr-FR'!dbRandom_CurrDistDBName</vt:lpstr>
      <vt:lpstr>'RES_hr-HR'!dbRandom_CurrDistDBName</vt:lpstr>
      <vt:lpstr>'RES_hu-HU'!dbRandom_CurrDistDBName</vt:lpstr>
      <vt:lpstr>'RES_it-IT'!dbRandom_CurrDistDBName</vt:lpstr>
      <vt:lpstr>'RES_ja-JP'!dbRandom_CurrDistDBName</vt:lpstr>
      <vt:lpstr>'RES_ko-KR'!dbRandom_CurrDistDBName</vt:lpstr>
      <vt:lpstr>'RES_lv-LV'!dbRandom_CurrDistDBName</vt:lpstr>
      <vt:lpstr>'RES_nb-NO'!dbRandom_CurrDistDBName</vt:lpstr>
      <vt:lpstr>'RES_nl-NL'!dbRandom_CurrDistDBName</vt:lpstr>
      <vt:lpstr>'RES_pl-PL'!dbRandom_CurrDistDBName</vt:lpstr>
      <vt:lpstr>'RES_pt-BR'!dbRandom_CurrDistDBName</vt:lpstr>
      <vt:lpstr>'RES_pt-PT'!dbRandom_CurrDistDBName</vt:lpstr>
      <vt:lpstr>'RES_ro-RO'!dbRandom_CurrDistDBName</vt:lpstr>
      <vt:lpstr>'RES_ru-RU'!dbRandom_CurrDistDBName</vt:lpstr>
      <vt:lpstr>'RES_sl-SI'!dbRandom_CurrDistDBName</vt:lpstr>
      <vt:lpstr>'RES_sv-SE'!dbRandom_CurrDistDBName</vt:lpstr>
      <vt:lpstr>'RES_tr-TR'!dbRandom_CurrDistDBName</vt:lpstr>
      <vt:lpstr>'RES_zh-CN'!dbRandom_CurrDistDBName</vt:lpstr>
      <vt:lpstr>'RES_zh-TW'!dbRandom_CurrDistDBName</vt:lpstr>
      <vt:lpstr>'RES_cs-CZ'!dbRandom_From</vt:lpstr>
      <vt:lpstr>'RES_da-DK'!dbRandom_From</vt:lpstr>
      <vt:lpstr>'RES_de-DE'!dbRandom_From</vt:lpstr>
      <vt:lpstr>'RES_el-GR'!dbRandom_From</vt:lpstr>
      <vt:lpstr>'RES_en-US'!dbRandom_From</vt:lpstr>
      <vt:lpstr>'RES_es-ES'!dbRandom_From</vt:lpstr>
      <vt:lpstr>'RES_fi-FI'!dbRandom_From</vt:lpstr>
      <vt:lpstr>'RES_fr-FR'!dbRandom_From</vt:lpstr>
      <vt:lpstr>'RES_hr-HR'!dbRandom_From</vt:lpstr>
      <vt:lpstr>'RES_hu-HU'!dbRandom_From</vt:lpstr>
      <vt:lpstr>'RES_it-IT'!dbRandom_From</vt:lpstr>
      <vt:lpstr>'RES_ja-JP'!dbRandom_From</vt:lpstr>
      <vt:lpstr>'RES_ko-KR'!dbRandom_From</vt:lpstr>
      <vt:lpstr>'RES_lv-LV'!dbRandom_From</vt:lpstr>
      <vt:lpstr>'RES_nb-NO'!dbRandom_From</vt:lpstr>
      <vt:lpstr>'RES_nl-NL'!dbRandom_From</vt:lpstr>
      <vt:lpstr>'RES_pl-PL'!dbRandom_From</vt:lpstr>
      <vt:lpstr>'RES_pt-BR'!dbRandom_From</vt:lpstr>
      <vt:lpstr>'RES_pt-PT'!dbRandom_From</vt:lpstr>
      <vt:lpstr>'RES_ro-RO'!dbRandom_From</vt:lpstr>
      <vt:lpstr>'RES_ru-RU'!dbRandom_From</vt:lpstr>
      <vt:lpstr>'RES_sl-SI'!dbRandom_From</vt:lpstr>
      <vt:lpstr>'RES_sv-SE'!dbRandom_From</vt:lpstr>
      <vt:lpstr>'RES_tr-TR'!dbRandom_From</vt:lpstr>
      <vt:lpstr>'RES_zh-CN'!dbRandom_From</vt:lpstr>
      <vt:lpstr>'RES_zh-TW'!dbRandom_From</vt:lpstr>
      <vt:lpstr>'RES_cs-CZ'!dbRandom_InRange</vt:lpstr>
      <vt:lpstr>'RES_da-DK'!dbRandom_InRange</vt:lpstr>
      <vt:lpstr>'RES_de-DE'!dbRandom_InRange</vt:lpstr>
      <vt:lpstr>'RES_el-GR'!dbRandom_InRange</vt:lpstr>
      <vt:lpstr>'RES_en-US'!dbRandom_InRange</vt:lpstr>
      <vt:lpstr>'RES_es-ES'!dbRandom_InRange</vt:lpstr>
      <vt:lpstr>'RES_fi-FI'!dbRandom_InRange</vt:lpstr>
      <vt:lpstr>'RES_fr-FR'!dbRandom_InRange</vt:lpstr>
      <vt:lpstr>'RES_hr-HR'!dbRandom_InRange</vt:lpstr>
      <vt:lpstr>'RES_hu-HU'!dbRandom_InRange</vt:lpstr>
      <vt:lpstr>'RES_it-IT'!dbRandom_InRange</vt:lpstr>
      <vt:lpstr>'RES_ja-JP'!dbRandom_InRange</vt:lpstr>
      <vt:lpstr>'RES_ko-KR'!dbRandom_InRange</vt:lpstr>
      <vt:lpstr>'RES_lv-LV'!dbRandom_InRange</vt:lpstr>
      <vt:lpstr>'RES_nb-NO'!dbRandom_InRange</vt:lpstr>
      <vt:lpstr>'RES_nl-NL'!dbRandom_InRange</vt:lpstr>
      <vt:lpstr>'RES_pl-PL'!dbRandom_InRange</vt:lpstr>
      <vt:lpstr>'RES_pt-BR'!dbRandom_InRange</vt:lpstr>
      <vt:lpstr>'RES_pt-PT'!dbRandom_InRange</vt:lpstr>
      <vt:lpstr>'RES_ro-RO'!dbRandom_InRange</vt:lpstr>
      <vt:lpstr>'RES_ru-RU'!dbRandom_InRange</vt:lpstr>
      <vt:lpstr>'RES_sl-SI'!dbRandom_InRange</vt:lpstr>
      <vt:lpstr>'RES_sv-SE'!dbRandom_InRange</vt:lpstr>
      <vt:lpstr>'RES_tr-TR'!dbRandom_InRange</vt:lpstr>
      <vt:lpstr>'RES_zh-CN'!dbRandom_InRange</vt:lpstr>
      <vt:lpstr>'RES_zh-TW'!dbRandom_InRange</vt:lpstr>
      <vt:lpstr>'RES_cs-CZ'!dbRandom_InSteps</vt:lpstr>
      <vt:lpstr>'RES_da-DK'!dbRandom_InSteps</vt:lpstr>
      <vt:lpstr>'RES_de-DE'!dbRandom_InSteps</vt:lpstr>
      <vt:lpstr>'RES_el-GR'!dbRandom_InSteps</vt:lpstr>
      <vt:lpstr>'RES_en-US'!dbRandom_InSteps</vt:lpstr>
      <vt:lpstr>'RES_es-ES'!dbRandom_InSteps</vt:lpstr>
      <vt:lpstr>'RES_fi-FI'!dbRandom_InSteps</vt:lpstr>
      <vt:lpstr>'RES_fr-FR'!dbRandom_InSteps</vt:lpstr>
      <vt:lpstr>'RES_hr-HR'!dbRandom_InSteps</vt:lpstr>
      <vt:lpstr>'RES_hu-HU'!dbRandom_InSteps</vt:lpstr>
      <vt:lpstr>'RES_it-IT'!dbRandom_InSteps</vt:lpstr>
      <vt:lpstr>'RES_ja-JP'!dbRandom_InSteps</vt:lpstr>
      <vt:lpstr>'RES_ko-KR'!dbRandom_InSteps</vt:lpstr>
      <vt:lpstr>'RES_lv-LV'!dbRandom_InSteps</vt:lpstr>
      <vt:lpstr>'RES_nb-NO'!dbRandom_InSteps</vt:lpstr>
      <vt:lpstr>'RES_nl-NL'!dbRandom_InSteps</vt:lpstr>
      <vt:lpstr>'RES_pl-PL'!dbRandom_InSteps</vt:lpstr>
      <vt:lpstr>'RES_pt-BR'!dbRandom_InSteps</vt:lpstr>
      <vt:lpstr>'RES_pt-PT'!dbRandom_InSteps</vt:lpstr>
      <vt:lpstr>'RES_ro-RO'!dbRandom_InSteps</vt:lpstr>
      <vt:lpstr>'RES_ru-RU'!dbRandom_InSteps</vt:lpstr>
      <vt:lpstr>'RES_sl-SI'!dbRandom_InSteps</vt:lpstr>
      <vt:lpstr>'RES_sv-SE'!dbRandom_InSteps</vt:lpstr>
      <vt:lpstr>'RES_tr-TR'!dbRandom_InSteps</vt:lpstr>
      <vt:lpstr>'RES_zh-CN'!dbRandom_InSteps</vt:lpstr>
      <vt:lpstr>'RES_zh-TW'!dbRandom_InSteps</vt:lpstr>
      <vt:lpstr>'RES_cs-CZ'!dbRandom_Lamda</vt:lpstr>
      <vt:lpstr>'RES_da-DK'!dbRandom_Lamda</vt:lpstr>
      <vt:lpstr>'RES_de-DE'!dbRandom_Lamda</vt:lpstr>
      <vt:lpstr>'RES_el-GR'!dbRandom_Lamda</vt:lpstr>
      <vt:lpstr>'RES_en-US'!dbRandom_Lamda</vt:lpstr>
      <vt:lpstr>'RES_es-ES'!dbRandom_Lamda</vt:lpstr>
      <vt:lpstr>'RES_fi-FI'!dbRandom_Lamda</vt:lpstr>
      <vt:lpstr>'RES_fr-FR'!dbRandom_Lamda</vt:lpstr>
      <vt:lpstr>'RES_hr-HR'!dbRandom_Lamda</vt:lpstr>
      <vt:lpstr>'RES_hu-HU'!dbRandom_Lamda</vt:lpstr>
      <vt:lpstr>'RES_it-IT'!dbRandom_Lamda</vt:lpstr>
      <vt:lpstr>'RES_ja-JP'!dbRandom_Lamda</vt:lpstr>
      <vt:lpstr>'RES_ko-KR'!dbRandom_Lamda</vt:lpstr>
      <vt:lpstr>'RES_lv-LV'!dbRandom_Lamda</vt:lpstr>
      <vt:lpstr>'RES_nb-NO'!dbRandom_Lamda</vt:lpstr>
      <vt:lpstr>'RES_nl-NL'!dbRandom_Lamda</vt:lpstr>
      <vt:lpstr>'RES_pl-PL'!dbRandom_Lamda</vt:lpstr>
      <vt:lpstr>'RES_pt-BR'!dbRandom_Lamda</vt:lpstr>
      <vt:lpstr>'RES_pt-PT'!dbRandom_Lamda</vt:lpstr>
      <vt:lpstr>'RES_ro-RO'!dbRandom_Lamda</vt:lpstr>
      <vt:lpstr>'RES_ru-RU'!dbRandom_Lamda</vt:lpstr>
      <vt:lpstr>'RES_sl-SI'!dbRandom_Lamda</vt:lpstr>
      <vt:lpstr>'RES_sv-SE'!dbRandom_Lamda</vt:lpstr>
      <vt:lpstr>'RES_tr-TR'!dbRandom_Lamda</vt:lpstr>
      <vt:lpstr>'RES_zh-CN'!dbRandom_Lamda</vt:lpstr>
      <vt:lpstr>'RES_zh-TW'!dbRandom_Lamda</vt:lpstr>
      <vt:lpstr>'RES_cs-CZ'!dbRandom_Mean</vt:lpstr>
      <vt:lpstr>'RES_da-DK'!dbRandom_Mean</vt:lpstr>
      <vt:lpstr>'RES_de-DE'!dbRandom_Mean</vt:lpstr>
      <vt:lpstr>'RES_el-GR'!dbRandom_Mean</vt:lpstr>
      <vt:lpstr>'RES_en-US'!dbRandom_Mean</vt:lpstr>
      <vt:lpstr>'RES_es-ES'!dbRandom_Mean</vt:lpstr>
      <vt:lpstr>'RES_fi-FI'!dbRandom_Mean</vt:lpstr>
      <vt:lpstr>'RES_fr-FR'!dbRandom_Mean</vt:lpstr>
      <vt:lpstr>'RES_hr-HR'!dbRandom_Mean</vt:lpstr>
      <vt:lpstr>'RES_hu-HU'!dbRandom_Mean</vt:lpstr>
      <vt:lpstr>'RES_it-IT'!dbRandom_Mean</vt:lpstr>
      <vt:lpstr>'RES_ja-JP'!dbRandom_Mean</vt:lpstr>
      <vt:lpstr>'RES_ko-KR'!dbRandom_Mean</vt:lpstr>
      <vt:lpstr>'RES_lv-LV'!dbRandom_Mean</vt:lpstr>
      <vt:lpstr>'RES_nb-NO'!dbRandom_Mean</vt:lpstr>
      <vt:lpstr>'RES_nl-NL'!dbRandom_Mean</vt:lpstr>
      <vt:lpstr>'RES_pl-PL'!dbRandom_Mean</vt:lpstr>
      <vt:lpstr>'RES_pt-BR'!dbRandom_Mean</vt:lpstr>
      <vt:lpstr>'RES_pt-PT'!dbRandom_Mean</vt:lpstr>
      <vt:lpstr>'RES_ro-RO'!dbRandom_Mean</vt:lpstr>
      <vt:lpstr>'RES_ru-RU'!dbRandom_Mean</vt:lpstr>
      <vt:lpstr>'RES_sl-SI'!dbRandom_Mean</vt:lpstr>
      <vt:lpstr>'RES_sv-SE'!dbRandom_Mean</vt:lpstr>
      <vt:lpstr>'RES_tr-TR'!dbRandom_Mean</vt:lpstr>
      <vt:lpstr>'RES_zh-CN'!dbRandom_Mean</vt:lpstr>
      <vt:lpstr>'RES_zh-TW'!dbRandom_Mean</vt:lpstr>
      <vt:lpstr>'RES_cs-CZ'!dbRandom_OutOption</vt:lpstr>
      <vt:lpstr>'RES_da-DK'!dbRandom_OutOption</vt:lpstr>
      <vt:lpstr>'RES_de-DE'!dbRandom_OutOption</vt:lpstr>
      <vt:lpstr>'RES_el-GR'!dbRandom_OutOption</vt:lpstr>
      <vt:lpstr>'RES_en-US'!dbRandom_OutOption</vt:lpstr>
      <vt:lpstr>'RES_es-ES'!dbRandom_OutOption</vt:lpstr>
      <vt:lpstr>'RES_fi-FI'!dbRandom_OutOption</vt:lpstr>
      <vt:lpstr>'RES_fr-FR'!dbRandom_OutOption</vt:lpstr>
      <vt:lpstr>'RES_hr-HR'!dbRandom_OutOption</vt:lpstr>
      <vt:lpstr>'RES_hu-HU'!dbRandom_OutOption</vt:lpstr>
      <vt:lpstr>'RES_it-IT'!dbRandom_OutOption</vt:lpstr>
      <vt:lpstr>'RES_ja-JP'!dbRandom_OutOption</vt:lpstr>
      <vt:lpstr>'RES_ko-KR'!dbRandom_OutOption</vt:lpstr>
      <vt:lpstr>'RES_lv-LV'!dbRandom_OutOption</vt:lpstr>
      <vt:lpstr>'RES_nb-NO'!dbRandom_OutOption</vt:lpstr>
      <vt:lpstr>'RES_nl-NL'!dbRandom_OutOption</vt:lpstr>
      <vt:lpstr>'RES_pl-PL'!dbRandom_OutOption</vt:lpstr>
      <vt:lpstr>'RES_pt-BR'!dbRandom_OutOption</vt:lpstr>
      <vt:lpstr>'RES_pt-PT'!dbRandom_OutOption</vt:lpstr>
      <vt:lpstr>'RES_ro-RO'!dbRandom_OutOption</vt:lpstr>
      <vt:lpstr>'RES_ru-RU'!dbRandom_OutOption</vt:lpstr>
      <vt:lpstr>'RES_sl-SI'!dbRandom_OutOption</vt:lpstr>
      <vt:lpstr>'RES_sv-SE'!dbRandom_OutOption</vt:lpstr>
      <vt:lpstr>'RES_tr-TR'!dbRandom_OutOption</vt:lpstr>
      <vt:lpstr>'RES_zh-CN'!dbRandom_OutOption</vt:lpstr>
      <vt:lpstr>'RES_zh-TW'!dbRandom_OutOption</vt:lpstr>
      <vt:lpstr>'RES_cs-CZ'!dbRandom_PlyInpFld</vt:lpstr>
      <vt:lpstr>'RES_da-DK'!dbRandom_PlyInpFld</vt:lpstr>
      <vt:lpstr>'RES_de-DE'!dbRandom_PlyInpFld</vt:lpstr>
      <vt:lpstr>'RES_el-GR'!dbRandom_PlyInpFld</vt:lpstr>
      <vt:lpstr>'RES_en-US'!dbRandom_PlyInpFld</vt:lpstr>
      <vt:lpstr>'RES_es-ES'!dbRandom_PlyInpFld</vt:lpstr>
      <vt:lpstr>'RES_fi-FI'!dbRandom_PlyInpFld</vt:lpstr>
      <vt:lpstr>'RES_fr-FR'!dbRandom_PlyInpFld</vt:lpstr>
      <vt:lpstr>'RES_hr-HR'!dbRandom_PlyInpFld</vt:lpstr>
      <vt:lpstr>'RES_hu-HU'!dbRandom_PlyInpFld</vt:lpstr>
      <vt:lpstr>'RES_it-IT'!dbRandom_PlyInpFld</vt:lpstr>
      <vt:lpstr>'RES_ja-JP'!dbRandom_PlyInpFld</vt:lpstr>
      <vt:lpstr>'RES_ko-KR'!dbRandom_PlyInpFld</vt:lpstr>
      <vt:lpstr>'RES_lv-LV'!dbRandom_PlyInpFld</vt:lpstr>
      <vt:lpstr>'RES_nb-NO'!dbRandom_PlyInpFld</vt:lpstr>
      <vt:lpstr>'RES_nl-NL'!dbRandom_PlyInpFld</vt:lpstr>
      <vt:lpstr>'RES_pl-PL'!dbRandom_PlyInpFld</vt:lpstr>
      <vt:lpstr>'RES_pt-BR'!dbRandom_PlyInpFld</vt:lpstr>
      <vt:lpstr>'RES_pt-PT'!dbRandom_PlyInpFld</vt:lpstr>
      <vt:lpstr>'RES_ro-RO'!dbRandom_PlyInpFld</vt:lpstr>
      <vt:lpstr>'RES_ru-RU'!dbRandom_PlyInpFld</vt:lpstr>
      <vt:lpstr>'RES_sl-SI'!dbRandom_PlyInpFld</vt:lpstr>
      <vt:lpstr>'RES_sv-SE'!dbRandom_PlyInpFld</vt:lpstr>
      <vt:lpstr>'RES_tr-TR'!dbRandom_PlyInpFld</vt:lpstr>
      <vt:lpstr>'RES_zh-CN'!dbRandom_PlyInpFld</vt:lpstr>
      <vt:lpstr>'RES_zh-TW'!dbRandom_PlyInpFld</vt:lpstr>
      <vt:lpstr>'RES_cs-CZ'!dbRandom_PlyName</vt:lpstr>
      <vt:lpstr>'RES_da-DK'!dbRandom_PlyName</vt:lpstr>
      <vt:lpstr>'RES_de-DE'!dbRandom_PlyName</vt:lpstr>
      <vt:lpstr>'RES_el-GR'!dbRandom_PlyName</vt:lpstr>
      <vt:lpstr>'RES_en-US'!dbRandom_PlyName</vt:lpstr>
      <vt:lpstr>'RES_es-ES'!dbRandom_PlyName</vt:lpstr>
      <vt:lpstr>'RES_fi-FI'!dbRandom_PlyName</vt:lpstr>
      <vt:lpstr>'RES_fr-FR'!dbRandom_PlyName</vt:lpstr>
      <vt:lpstr>'RES_hr-HR'!dbRandom_PlyName</vt:lpstr>
      <vt:lpstr>'RES_hu-HU'!dbRandom_PlyName</vt:lpstr>
      <vt:lpstr>'RES_it-IT'!dbRandom_PlyName</vt:lpstr>
      <vt:lpstr>'RES_ja-JP'!dbRandom_PlyName</vt:lpstr>
      <vt:lpstr>'RES_ko-KR'!dbRandom_PlyName</vt:lpstr>
      <vt:lpstr>'RES_lv-LV'!dbRandom_PlyName</vt:lpstr>
      <vt:lpstr>'RES_nb-NO'!dbRandom_PlyName</vt:lpstr>
      <vt:lpstr>'RES_nl-NL'!dbRandom_PlyName</vt:lpstr>
      <vt:lpstr>'RES_pl-PL'!dbRandom_PlyName</vt:lpstr>
      <vt:lpstr>'RES_pt-BR'!dbRandom_PlyName</vt:lpstr>
      <vt:lpstr>'RES_pt-PT'!dbRandom_PlyName</vt:lpstr>
      <vt:lpstr>'RES_ro-RO'!dbRandom_PlyName</vt:lpstr>
      <vt:lpstr>'RES_ru-RU'!dbRandom_PlyName</vt:lpstr>
      <vt:lpstr>'RES_sl-SI'!dbRandom_PlyName</vt:lpstr>
      <vt:lpstr>'RES_sv-SE'!dbRandom_PlyName</vt:lpstr>
      <vt:lpstr>'RES_tr-TR'!dbRandom_PlyName</vt:lpstr>
      <vt:lpstr>'RES_zh-CN'!dbRandom_PlyName</vt:lpstr>
      <vt:lpstr>'RES_zh-TW'!dbRandom_PlyName</vt:lpstr>
      <vt:lpstr>'RES_cs-CZ'!dbRandom_pVal</vt:lpstr>
      <vt:lpstr>'RES_da-DK'!dbRandom_pVal</vt:lpstr>
      <vt:lpstr>'RES_de-DE'!dbRandom_pVal</vt:lpstr>
      <vt:lpstr>'RES_el-GR'!dbRandom_pVal</vt:lpstr>
      <vt:lpstr>'RES_en-US'!dbRandom_pVal</vt:lpstr>
      <vt:lpstr>'RES_es-ES'!dbRandom_pVal</vt:lpstr>
      <vt:lpstr>'RES_fi-FI'!dbRandom_pVal</vt:lpstr>
      <vt:lpstr>'RES_fr-FR'!dbRandom_pVal</vt:lpstr>
      <vt:lpstr>'RES_hr-HR'!dbRandom_pVal</vt:lpstr>
      <vt:lpstr>'RES_hu-HU'!dbRandom_pVal</vt:lpstr>
      <vt:lpstr>'RES_it-IT'!dbRandom_pVal</vt:lpstr>
      <vt:lpstr>'RES_ja-JP'!dbRandom_pVal</vt:lpstr>
      <vt:lpstr>'RES_ko-KR'!dbRandom_pVal</vt:lpstr>
      <vt:lpstr>'RES_lv-LV'!dbRandom_pVal</vt:lpstr>
      <vt:lpstr>'RES_nb-NO'!dbRandom_pVal</vt:lpstr>
      <vt:lpstr>'RES_nl-NL'!dbRandom_pVal</vt:lpstr>
      <vt:lpstr>'RES_pl-PL'!dbRandom_pVal</vt:lpstr>
      <vt:lpstr>'RES_pt-BR'!dbRandom_pVal</vt:lpstr>
      <vt:lpstr>'RES_pt-PT'!dbRandom_pVal</vt:lpstr>
      <vt:lpstr>'RES_ro-RO'!dbRandom_pVal</vt:lpstr>
      <vt:lpstr>'RES_ru-RU'!dbRandom_pVal</vt:lpstr>
      <vt:lpstr>'RES_sl-SI'!dbRandom_pVal</vt:lpstr>
      <vt:lpstr>'RES_sv-SE'!dbRandom_pVal</vt:lpstr>
      <vt:lpstr>'RES_tr-TR'!dbRandom_pVal</vt:lpstr>
      <vt:lpstr>'RES_zh-CN'!dbRandom_pVal</vt:lpstr>
      <vt:lpstr>'RES_zh-TW'!dbRandom_pVal</vt:lpstr>
      <vt:lpstr>'RES_cs-CZ'!dbRandom_RandDistOpt</vt:lpstr>
      <vt:lpstr>'RES_da-DK'!dbRandom_RandDistOpt</vt:lpstr>
      <vt:lpstr>'RES_de-DE'!dbRandom_RandDistOpt</vt:lpstr>
      <vt:lpstr>'RES_el-GR'!dbRandom_RandDistOpt</vt:lpstr>
      <vt:lpstr>'RES_en-US'!dbRandom_RandDistOpt</vt:lpstr>
      <vt:lpstr>'RES_es-ES'!dbRandom_RandDistOpt</vt:lpstr>
      <vt:lpstr>'RES_fi-FI'!dbRandom_RandDistOpt</vt:lpstr>
      <vt:lpstr>'RES_fr-FR'!dbRandom_RandDistOpt</vt:lpstr>
      <vt:lpstr>'RES_hr-HR'!dbRandom_RandDistOpt</vt:lpstr>
      <vt:lpstr>'RES_hu-HU'!dbRandom_RandDistOpt</vt:lpstr>
      <vt:lpstr>'RES_it-IT'!dbRandom_RandDistOpt</vt:lpstr>
      <vt:lpstr>'RES_ja-JP'!dbRandom_RandDistOpt</vt:lpstr>
      <vt:lpstr>'RES_ko-KR'!dbRandom_RandDistOpt</vt:lpstr>
      <vt:lpstr>'RES_lv-LV'!dbRandom_RandDistOpt</vt:lpstr>
      <vt:lpstr>'RES_nb-NO'!dbRandom_RandDistOpt</vt:lpstr>
      <vt:lpstr>'RES_nl-NL'!dbRandom_RandDistOpt</vt:lpstr>
      <vt:lpstr>'RES_pl-PL'!dbRandom_RandDistOpt</vt:lpstr>
      <vt:lpstr>'RES_pt-BR'!dbRandom_RandDistOpt</vt:lpstr>
      <vt:lpstr>'RES_pt-PT'!dbRandom_RandDistOpt</vt:lpstr>
      <vt:lpstr>'RES_ro-RO'!dbRandom_RandDistOpt</vt:lpstr>
      <vt:lpstr>'RES_ru-RU'!dbRandom_RandDistOpt</vt:lpstr>
      <vt:lpstr>'RES_sl-SI'!dbRandom_RandDistOpt</vt:lpstr>
      <vt:lpstr>'RES_sv-SE'!dbRandom_RandDistOpt</vt:lpstr>
      <vt:lpstr>'RES_tr-TR'!dbRandom_RandDistOpt</vt:lpstr>
      <vt:lpstr>'RES_zh-CN'!dbRandom_RandDistOpt</vt:lpstr>
      <vt:lpstr>'RES_zh-TW'!dbRandom_RandDistOpt</vt:lpstr>
      <vt:lpstr>'RES_cs-CZ'!dbRandom_RandNum</vt:lpstr>
      <vt:lpstr>'RES_da-DK'!dbRandom_RandNum</vt:lpstr>
      <vt:lpstr>'RES_de-DE'!dbRandom_RandNum</vt:lpstr>
      <vt:lpstr>'RES_el-GR'!dbRandom_RandNum</vt:lpstr>
      <vt:lpstr>'RES_en-US'!dbRandom_RandNum</vt:lpstr>
      <vt:lpstr>'RES_es-ES'!dbRandom_RandNum</vt:lpstr>
      <vt:lpstr>'RES_fi-FI'!dbRandom_RandNum</vt:lpstr>
      <vt:lpstr>'RES_fr-FR'!dbRandom_RandNum</vt:lpstr>
      <vt:lpstr>'RES_hr-HR'!dbRandom_RandNum</vt:lpstr>
      <vt:lpstr>'RES_hu-HU'!dbRandom_RandNum</vt:lpstr>
      <vt:lpstr>'RES_it-IT'!dbRandom_RandNum</vt:lpstr>
      <vt:lpstr>'RES_ja-JP'!dbRandom_RandNum</vt:lpstr>
      <vt:lpstr>'RES_ko-KR'!dbRandom_RandNum</vt:lpstr>
      <vt:lpstr>'RES_lv-LV'!dbRandom_RandNum</vt:lpstr>
      <vt:lpstr>'RES_nb-NO'!dbRandom_RandNum</vt:lpstr>
      <vt:lpstr>'RES_nl-NL'!dbRandom_RandNum</vt:lpstr>
      <vt:lpstr>'RES_pl-PL'!dbRandom_RandNum</vt:lpstr>
      <vt:lpstr>'RES_pt-BR'!dbRandom_RandNum</vt:lpstr>
      <vt:lpstr>'RES_pt-PT'!dbRandom_RandNum</vt:lpstr>
      <vt:lpstr>'RES_ro-RO'!dbRandom_RandNum</vt:lpstr>
      <vt:lpstr>'RES_ru-RU'!dbRandom_RandNum</vt:lpstr>
      <vt:lpstr>'RES_sl-SI'!dbRandom_RandNum</vt:lpstr>
      <vt:lpstr>'RES_sv-SE'!dbRandom_RandNum</vt:lpstr>
      <vt:lpstr>'RES_tr-TR'!dbRandom_RandNum</vt:lpstr>
      <vt:lpstr>'RES_zh-CN'!dbRandom_RandNum</vt:lpstr>
      <vt:lpstr>'RES_zh-TW'!dbRandom_RandNum</vt:lpstr>
      <vt:lpstr>'RES_cs-CZ'!dbRandom_RandSeed</vt:lpstr>
      <vt:lpstr>'RES_da-DK'!dbRandom_RandSeed</vt:lpstr>
      <vt:lpstr>'RES_de-DE'!dbRandom_RandSeed</vt:lpstr>
      <vt:lpstr>'RES_el-GR'!dbRandom_RandSeed</vt:lpstr>
      <vt:lpstr>'RES_en-US'!dbRandom_RandSeed</vt:lpstr>
      <vt:lpstr>'RES_es-ES'!dbRandom_RandSeed</vt:lpstr>
      <vt:lpstr>'RES_fi-FI'!dbRandom_RandSeed</vt:lpstr>
      <vt:lpstr>'RES_fr-FR'!dbRandom_RandSeed</vt:lpstr>
      <vt:lpstr>'RES_hr-HR'!dbRandom_RandSeed</vt:lpstr>
      <vt:lpstr>'RES_hu-HU'!dbRandom_RandSeed</vt:lpstr>
      <vt:lpstr>'RES_it-IT'!dbRandom_RandSeed</vt:lpstr>
      <vt:lpstr>'RES_ja-JP'!dbRandom_RandSeed</vt:lpstr>
      <vt:lpstr>'RES_ko-KR'!dbRandom_RandSeed</vt:lpstr>
      <vt:lpstr>'RES_lv-LV'!dbRandom_RandSeed</vt:lpstr>
      <vt:lpstr>'RES_nb-NO'!dbRandom_RandSeed</vt:lpstr>
      <vt:lpstr>'RES_nl-NL'!dbRandom_RandSeed</vt:lpstr>
      <vt:lpstr>'RES_pl-PL'!dbRandom_RandSeed</vt:lpstr>
      <vt:lpstr>'RES_pt-BR'!dbRandom_RandSeed</vt:lpstr>
      <vt:lpstr>'RES_pt-PT'!dbRandom_RandSeed</vt:lpstr>
      <vt:lpstr>'RES_ro-RO'!dbRandom_RandSeed</vt:lpstr>
      <vt:lpstr>'RES_ru-RU'!dbRandom_RandSeed</vt:lpstr>
      <vt:lpstr>'RES_sl-SI'!dbRandom_RandSeed</vt:lpstr>
      <vt:lpstr>'RES_sv-SE'!dbRandom_RandSeed</vt:lpstr>
      <vt:lpstr>'RES_tr-TR'!dbRandom_RandSeed</vt:lpstr>
      <vt:lpstr>'RES_zh-CN'!dbRandom_RandSeed</vt:lpstr>
      <vt:lpstr>'RES_zh-TW'!dbRandom_RandSeed</vt:lpstr>
      <vt:lpstr>'RES_cs-CZ'!dbRandom_RandVar</vt:lpstr>
      <vt:lpstr>'RES_da-DK'!dbRandom_RandVar</vt:lpstr>
      <vt:lpstr>'RES_de-DE'!dbRandom_RandVar</vt:lpstr>
      <vt:lpstr>'RES_el-GR'!dbRandom_RandVar</vt:lpstr>
      <vt:lpstr>'RES_en-US'!dbRandom_RandVar</vt:lpstr>
      <vt:lpstr>'RES_es-ES'!dbRandom_RandVar</vt:lpstr>
      <vt:lpstr>'RES_fi-FI'!dbRandom_RandVar</vt:lpstr>
      <vt:lpstr>'RES_fr-FR'!dbRandom_RandVar</vt:lpstr>
      <vt:lpstr>'RES_hr-HR'!dbRandom_RandVar</vt:lpstr>
      <vt:lpstr>'RES_hu-HU'!dbRandom_RandVar</vt:lpstr>
      <vt:lpstr>'RES_it-IT'!dbRandom_RandVar</vt:lpstr>
      <vt:lpstr>'RES_ja-JP'!dbRandom_RandVar</vt:lpstr>
      <vt:lpstr>'RES_ko-KR'!dbRandom_RandVar</vt:lpstr>
      <vt:lpstr>'RES_lv-LV'!dbRandom_RandVar</vt:lpstr>
      <vt:lpstr>'RES_nb-NO'!dbRandom_RandVar</vt:lpstr>
      <vt:lpstr>'RES_nl-NL'!dbRandom_RandVar</vt:lpstr>
      <vt:lpstr>'RES_pl-PL'!dbRandom_RandVar</vt:lpstr>
      <vt:lpstr>'RES_pt-BR'!dbRandom_RandVar</vt:lpstr>
      <vt:lpstr>'RES_pt-PT'!dbRandom_RandVar</vt:lpstr>
      <vt:lpstr>'RES_ro-RO'!dbRandom_RandVar</vt:lpstr>
      <vt:lpstr>'RES_ru-RU'!dbRandom_RandVar</vt:lpstr>
      <vt:lpstr>'RES_sl-SI'!dbRandom_RandVar</vt:lpstr>
      <vt:lpstr>'RES_sv-SE'!dbRandom_RandVar</vt:lpstr>
      <vt:lpstr>'RES_tr-TR'!dbRandom_RandVar</vt:lpstr>
      <vt:lpstr>'RES_zh-CN'!dbRandom_RandVar</vt:lpstr>
      <vt:lpstr>'RES_zh-TW'!dbRandom_RandVar</vt:lpstr>
      <vt:lpstr>'RES_cs-CZ'!dbRandom_RangeInpFld</vt:lpstr>
      <vt:lpstr>'RES_da-DK'!dbRandom_RangeInpFld</vt:lpstr>
      <vt:lpstr>'RES_de-DE'!dbRandom_RangeInpFld</vt:lpstr>
      <vt:lpstr>'RES_el-GR'!dbRandom_RangeInpFld</vt:lpstr>
      <vt:lpstr>'RES_en-US'!dbRandom_RangeInpFld</vt:lpstr>
      <vt:lpstr>'RES_es-ES'!dbRandom_RangeInpFld</vt:lpstr>
      <vt:lpstr>'RES_fi-FI'!dbRandom_RangeInpFld</vt:lpstr>
      <vt:lpstr>'RES_fr-FR'!dbRandom_RangeInpFld</vt:lpstr>
      <vt:lpstr>'RES_hr-HR'!dbRandom_RangeInpFld</vt:lpstr>
      <vt:lpstr>'RES_hu-HU'!dbRandom_RangeInpFld</vt:lpstr>
      <vt:lpstr>'RES_it-IT'!dbRandom_RangeInpFld</vt:lpstr>
      <vt:lpstr>'RES_ja-JP'!dbRandom_RangeInpFld</vt:lpstr>
      <vt:lpstr>'RES_ko-KR'!dbRandom_RangeInpFld</vt:lpstr>
      <vt:lpstr>'RES_lv-LV'!dbRandom_RangeInpFld</vt:lpstr>
      <vt:lpstr>'RES_nb-NO'!dbRandom_RangeInpFld</vt:lpstr>
      <vt:lpstr>'RES_nl-NL'!dbRandom_RangeInpFld</vt:lpstr>
      <vt:lpstr>'RES_pl-PL'!dbRandom_RangeInpFld</vt:lpstr>
      <vt:lpstr>'RES_pt-BR'!dbRandom_RangeInpFld</vt:lpstr>
      <vt:lpstr>'RES_pt-PT'!dbRandom_RangeInpFld</vt:lpstr>
      <vt:lpstr>'RES_ro-RO'!dbRandom_RangeInpFld</vt:lpstr>
      <vt:lpstr>'RES_ru-RU'!dbRandom_RangeInpFld</vt:lpstr>
      <vt:lpstr>'RES_sl-SI'!dbRandom_RangeInpFld</vt:lpstr>
      <vt:lpstr>'RES_sv-SE'!dbRandom_RangeInpFld</vt:lpstr>
      <vt:lpstr>'RES_tr-TR'!dbRandom_RangeInpFld</vt:lpstr>
      <vt:lpstr>'RES_zh-CN'!dbRandom_RangeInpFld</vt:lpstr>
      <vt:lpstr>'RES_zh-TW'!dbRandom_RangeInpFld</vt:lpstr>
      <vt:lpstr>'RES_cs-CZ'!dbRandom_RangeRef</vt:lpstr>
      <vt:lpstr>'RES_da-DK'!dbRandom_RangeRef</vt:lpstr>
      <vt:lpstr>'RES_de-DE'!dbRandom_RangeRef</vt:lpstr>
      <vt:lpstr>'RES_el-GR'!dbRandom_RangeRef</vt:lpstr>
      <vt:lpstr>'RES_en-US'!dbRandom_RangeRef</vt:lpstr>
      <vt:lpstr>'RES_es-ES'!dbRandom_RangeRef</vt:lpstr>
      <vt:lpstr>'RES_fi-FI'!dbRandom_RangeRef</vt:lpstr>
      <vt:lpstr>'RES_fr-FR'!dbRandom_RangeRef</vt:lpstr>
      <vt:lpstr>'RES_hr-HR'!dbRandom_RangeRef</vt:lpstr>
      <vt:lpstr>'RES_hu-HU'!dbRandom_RangeRef</vt:lpstr>
      <vt:lpstr>'RES_it-IT'!dbRandom_RangeRef</vt:lpstr>
      <vt:lpstr>'RES_ja-JP'!dbRandom_RangeRef</vt:lpstr>
      <vt:lpstr>'RES_ko-KR'!dbRandom_RangeRef</vt:lpstr>
      <vt:lpstr>'RES_lv-LV'!dbRandom_RangeRef</vt:lpstr>
      <vt:lpstr>'RES_nb-NO'!dbRandom_RangeRef</vt:lpstr>
      <vt:lpstr>'RES_nl-NL'!dbRandom_RangeRef</vt:lpstr>
      <vt:lpstr>'RES_pl-PL'!dbRandom_RangeRef</vt:lpstr>
      <vt:lpstr>'RES_pt-BR'!dbRandom_RangeRef</vt:lpstr>
      <vt:lpstr>'RES_pt-PT'!dbRandom_RangeRef</vt:lpstr>
      <vt:lpstr>'RES_ro-RO'!dbRandom_RangeRef</vt:lpstr>
      <vt:lpstr>'RES_ru-RU'!dbRandom_RangeRef</vt:lpstr>
      <vt:lpstr>'RES_sl-SI'!dbRandom_RangeRef</vt:lpstr>
      <vt:lpstr>'RES_sv-SE'!dbRandom_RangeRef</vt:lpstr>
      <vt:lpstr>'RES_tr-TR'!dbRandom_RangeRef</vt:lpstr>
      <vt:lpstr>'RES_zh-CN'!dbRandom_RangeRef</vt:lpstr>
      <vt:lpstr>'RES_zh-TW'!dbRandom_RangeRef</vt:lpstr>
      <vt:lpstr>'RES_cs-CZ'!dbRandom_RepNum</vt:lpstr>
      <vt:lpstr>'RES_da-DK'!dbRandom_RepNum</vt:lpstr>
      <vt:lpstr>'RES_de-DE'!dbRandom_RepNum</vt:lpstr>
      <vt:lpstr>'RES_el-GR'!dbRandom_RepNum</vt:lpstr>
      <vt:lpstr>'RES_en-US'!dbRandom_RepNum</vt:lpstr>
      <vt:lpstr>'RES_es-ES'!dbRandom_RepNum</vt:lpstr>
      <vt:lpstr>'RES_fi-FI'!dbRandom_RepNum</vt:lpstr>
      <vt:lpstr>'RES_fr-FR'!dbRandom_RepNum</vt:lpstr>
      <vt:lpstr>'RES_hr-HR'!dbRandom_RepNum</vt:lpstr>
      <vt:lpstr>'RES_hu-HU'!dbRandom_RepNum</vt:lpstr>
      <vt:lpstr>'RES_it-IT'!dbRandom_RepNum</vt:lpstr>
      <vt:lpstr>'RES_ja-JP'!dbRandom_RepNum</vt:lpstr>
      <vt:lpstr>'RES_ko-KR'!dbRandom_RepNum</vt:lpstr>
      <vt:lpstr>'RES_lv-LV'!dbRandom_RepNum</vt:lpstr>
      <vt:lpstr>'RES_nb-NO'!dbRandom_RepNum</vt:lpstr>
      <vt:lpstr>'RES_nl-NL'!dbRandom_RepNum</vt:lpstr>
      <vt:lpstr>'RES_pl-PL'!dbRandom_RepNum</vt:lpstr>
      <vt:lpstr>'RES_pt-BR'!dbRandom_RepNum</vt:lpstr>
      <vt:lpstr>'RES_pt-PT'!dbRandom_RepNum</vt:lpstr>
      <vt:lpstr>'RES_ro-RO'!dbRandom_RepNum</vt:lpstr>
      <vt:lpstr>'RES_ru-RU'!dbRandom_RepNum</vt:lpstr>
      <vt:lpstr>'RES_sl-SI'!dbRandom_RepNum</vt:lpstr>
      <vt:lpstr>'RES_sv-SE'!dbRandom_RepNum</vt:lpstr>
      <vt:lpstr>'RES_tr-TR'!dbRandom_RepNum</vt:lpstr>
      <vt:lpstr>'RES_zh-CN'!dbRandom_RepNum</vt:lpstr>
      <vt:lpstr>'RES_zh-TW'!dbRandom_RepNum</vt:lpstr>
      <vt:lpstr>'RES_cs-CZ'!dbRandom_RepSeq</vt:lpstr>
      <vt:lpstr>'RES_da-DK'!dbRandom_RepSeq</vt:lpstr>
      <vt:lpstr>'RES_de-DE'!dbRandom_RepSeq</vt:lpstr>
      <vt:lpstr>'RES_el-GR'!dbRandom_RepSeq</vt:lpstr>
      <vt:lpstr>'RES_en-US'!dbRandom_RepSeq</vt:lpstr>
      <vt:lpstr>'RES_es-ES'!dbRandom_RepSeq</vt:lpstr>
      <vt:lpstr>'RES_fi-FI'!dbRandom_RepSeq</vt:lpstr>
      <vt:lpstr>'RES_fr-FR'!dbRandom_RepSeq</vt:lpstr>
      <vt:lpstr>'RES_hr-HR'!dbRandom_RepSeq</vt:lpstr>
      <vt:lpstr>'RES_hu-HU'!dbRandom_RepSeq</vt:lpstr>
      <vt:lpstr>'RES_it-IT'!dbRandom_RepSeq</vt:lpstr>
      <vt:lpstr>'RES_ja-JP'!dbRandom_RepSeq</vt:lpstr>
      <vt:lpstr>'RES_ko-KR'!dbRandom_RepSeq</vt:lpstr>
      <vt:lpstr>'RES_lv-LV'!dbRandom_RepSeq</vt:lpstr>
      <vt:lpstr>'RES_nb-NO'!dbRandom_RepSeq</vt:lpstr>
      <vt:lpstr>'RES_nl-NL'!dbRandom_RepSeq</vt:lpstr>
      <vt:lpstr>'RES_pl-PL'!dbRandom_RepSeq</vt:lpstr>
      <vt:lpstr>'RES_pt-BR'!dbRandom_RepSeq</vt:lpstr>
      <vt:lpstr>'RES_pt-PT'!dbRandom_RepSeq</vt:lpstr>
      <vt:lpstr>'RES_ro-RO'!dbRandom_RepSeq</vt:lpstr>
      <vt:lpstr>'RES_ru-RU'!dbRandom_RepSeq</vt:lpstr>
      <vt:lpstr>'RES_sl-SI'!dbRandom_RepSeq</vt:lpstr>
      <vt:lpstr>'RES_sv-SE'!dbRandom_RepSeq</vt:lpstr>
      <vt:lpstr>'RES_tr-TR'!dbRandom_RepSeq</vt:lpstr>
      <vt:lpstr>'RES_zh-CN'!dbRandom_RepSeq</vt:lpstr>
      <vt:lpstr>'RES_zh-TW'!dbRandom_RepSeq</vt:lpstr>
      <vt:lpstr>'RES_cs-CZ'!dbRandom_SeedItem</vt:lpstr>
      <vt:lpstr>'RES_da-DK'!dbRandom_SeedItem</vt:lpstr>
      <vt:lpstr>'RES_de-DE'!dbRandom_SeedItem</vt:lpstr>
      <vt:lpstr>'RES_el-GR'!dbRandom_SeedItem</vt:lpstr>
      <vt:lpstr>'RES_en-US'!dbRandom_SeedItem</vt:lpstr>
      <vt:lpstr>'RES_es-ES'!dbRandom_SeedItem</vt:lpstr>
      <vt:lpstr>'RES_fi-FI'!dbRandom_SeedItem</vt:lpstr>
      <vt:lpstr>'RES_fr-FR'!dbRandom_SeedItem</vt:lpstr>
      <vt:lpstr>'RES_hr-HR'!dbRandom_SeedItem</vt:lpstr>
      <vt:lpstr>'RES_hu-HU'!dbRandom_SeedItem</vt:lpstr>
      <vt:lpstr>'RES_it-IT'!dbRandom_SeedItem</vt:lpstr>
      <vt:lpstr>'RES_ja-JP'!dbRandom_SeedItem</vt:lpstr>
      <vt:lpstr>'RES_ko-KR'!dbRandom_SeedItem</vt:lpstr>
      <vt:lpstr>'RES_lv-LV'!dbRandom_SeedItem</vt:lpstr>
      <vt:lpstr>'RES_nb-NO'!dbRandom_SeedItem</vt:lpstr>
      <vt:lpstr>'RES_nl-NL'!dbRandom_SeedItem</vt:lpstr>
      <vt:lpstr>'RES_pl-PL'!dbRandom_SeedItem</vt:lpstr>
      <vt:lpstr>'RES_pt-BR'!dbRandom_SeedItem</vt:lpstr>
      <vt:lpstr>'RES_pt-PT'!dbRandom_SeedItem</vt:lpstr>
      <vt:lpstr>'RES_ro-RO'!dbRandom_SeedItem</vt:lpstr>
      <vt:lpstr>'RES_ru-RU'!dbRandom_SeedItem</vt:lpstr>
      <vt:lpstr>'RES_sl-SI'!dbRandom_SeedItem</vt:lpstr>
      <vt:lpstr>'RES_sv-SE'!dbRandom_SeedItem</vt:lpstr>
      <vt:lpstr>'RES_tr-TR'!dbRandom_SeedItem</vt:lpstr>
      <vt:lpstr>'RES_zh-CN'!dbRandom_SeedItem</vt:lpstr>
      <vt:lpstr>'RES_zh-TW'!dbRandom_SeedItem</vt:lpstr>
      <vt:lpstr>'RES_cs-CZ'!dbRandom_StdDev</vt:lpstr>
      <vt:lpstr>'RES_da-DK'!dbRandom_StdDev</vt:lpstr>
      <vt:lpstr>'RES_de-DE'!dbRandom_StdDev</vt:lpstr>
      <vt:lpstr>'RES_el-GR'!dbRandom_StdDev</vt:lpstr>
      <vt:lpstr>'RES_en-US'!dbRandom_StdDev</vt:lpstr>
      <vt:lpstr>'RES_es-ES'!dbRandom_StdDev</vt:lpstr>
      <vt:lpstr>'RES_fi-FI'!dbRandom_StdDev</vt:lpstr>
      <vt:lpstr>'RES_fr-FR'!dbRandom_StdDev</vt:lpstr>
      <vt:lpstr>'RES_hr-HR'!dbRandom_StdDev</vt:lpstr>
      <vt:lpstr>'RES_hu-HU'!dbRandom_StdDev</vt:lpstr>
      <vt:lpstr>'RES_it-IT'!dbRandom_StdDev</vt:lpstr>
      <vt:lpstr>'RES_ja-JP'!dbRandom_StdDev</vt:lpstr>
      <vt:lpstr>'RES_ko-KR'!dbRandom_StdDev</vt:lpstr>
      <vt:lpstr>'RES_lv-LV'!dbRandom_StdDev</vt:lpstr>
      <vt:lpstr>'RES_nb-NO'!dbRandom_StdDev</vt:lpstr>
      <vt:lpstr>'RES_nl-NL'!dbRandom_StdDev</vt:lpstr>
      <vt:lpstr>'RES_pl-PL'!dbRandom_StdDev</vt:lpstr>
      <vt:lpstr>'RES_pt-BR'!dbRandom_StdDev</vt:lpstr>
      <vt:lpstr>'RES_pt-PT'!dbRandom_StdDev</vt:lpstr>
      <vt:lpstr>'RES_ro-RO'!dbRandom_StdDev</vt:lpstr>
      <vt:lpstr>'RES_ru-RU'!dbRandom_StdDev</vt:lpstr>
      <vt:lpstr>'RES_sl-SI'!dbRandom_StdDev</vt:lpstr>
      <vt:lpstr>'RES_sv-SE'!dbRandom_StdDev</vt:lpstr>
      <vt:lpstr>'RES_tr-TR'!dbRandom_StdDev</vt:lpstr>
      <vt:lpstr>'RES_zh-CN'!dbRandom_StdDev</vt:lpstr>
      <vt:lpstr>'RES_zh-TW'!dbRandom_StdDev</vt:lpstr>
      <vt:lpstr>'RES_cs-CZ'!dbRandom_To</vt:lpstr>
      <vt:lpstr>'RES_da-DK'!dbRandom_To</vt:lpstr>
      <vt:lpstr>'RES_de-DE'!dbRandom_To</vt:lpstr>
      <vt:lpstr>'RES_el-GR'!dbRandom_To</vt:lpstr>
      <vt:lpstr>'RES_en-US'!dbRandom_To</vt:lpstr>
      <vt:lpstr>'RES_es-ES'!dbRandom_To</vt:lpstr>
      <vt:lpstr>'RES_fi-FI'!dbRandom_To</vt:lpstr>
      <vt:lpstr>'RES_fr-FR'!dbRandom_To</vt:lpstr>
      <vt:lpstr>'RES_hr-HR'!dbRandom_To</vt:lpstr>
      <vt:lpstr>'RES_hu-HU'!dbRandom_To</vt:lpstr>
      <vt:lpstr>'RES_it-IT'!dbRandom_To</vt:lpstr>
      <vt:lpstr>'RES_ja-JP'!dbRandom_To</vt:lpstr>
      <vt:lpstr>'RES_ko-KR'!dbRandom_To</vt:lpstr>
      <vt:lpstr>'RES_lv-LV'!dbRandom_To</vt:lpstr>
      <vt:lpstr>'RES_nb-NO'!dbRandom_To</vt:lpstr>
      <vt:lpstr>'RES_nl-NL'!dbRandom_To</vt:lpstr>
      <vt:lpstr>'RES_pl-PL'!dbRandom_To</vt:lpstr>
      <vt:lpstr>'RES_pt-BR'!dbRandom_To</vt:lpstr>
      <vt:lpstr>'RES_pt-PT'!dbRandom_To</vt:lpstr>
      <vt:lpstr>'RES_ro-RO'!dbRandom_To</vt:lpstr>
      <vt:lpstr>'RES_ru-RU'!dbRandom_To</vt:lpstr>
      <vt:lpstr>'RES_sl-SI'!dbRandom_To</vt:lpstr>
      <vt:lpstr>'RES_sv-SE'!dbRandom_To</vt:lpstr>
      <vt:lpstr>'RES_tr-TR'!dbRandom_To</vt:lpstr>
      <vt:lpstr>'RES_zh-CN'!dbRandom_To</vt:lpstr>
      <vt:lpstr>'RES_zh-TW'!dbRandom_To</vt:lpstr>
      <vt:lpstr>'RES_cs-CZ'!dbRandom_Trials</vt:lpstr>
      <vt:lpstr>'RES_da-DK'!dbRandom_Trials</vt:lpstr>
      <vt:lpstr>'RES_de-DE'!dbRandom_Trials</vt:lpstr>
      <vt:lpstr>'RES_el-GR'!dbRandom_Trials</vt:lpstr>
      <vt:lpstr>'RES_en-US'!dbRandom_Trials</vt:lpstr>
      <vt:lpstr>'RES_es-ES'!dbRandom_Trials</vt:lpstr>
      <vt:lpstr>'RES_fi-FI'!dbRandom_Trials</vt:lpstr>
      <vt:lpstr>'RES_fr-FR'!dbRandom_Trials</vt:lpstr>
      <vt:lpstr>'RES_hr-HR'!dbRandom_Trials</vt:lpstr>
      <vt:lpstr>'RES_hu-HU'!dbRandom_Trials</vt:lpstr>
      <vt:lpstr>'RES_it-IT'!dbRandom_Trials</vt:lpstr>
      <vt:lpstr>'RES_ja-JP'!dbRandom_Trials</vt:lpstr>
      <vt:lpstr>'RES_ko-KR'!dbRandom_Trials</vt:lpstr>
      <vt:lpstr>'RES_lv-LV'!dbRandom_Trials</vt:lpstr>
      <vt:lpstr>'RES_nb-NO'!dbRandom_Trials</vt:lpstr>
      <vt:lpstr>'RES_nl-NL'!dbRandom_Trials</vt:lpstr>
      <vt:lpstr>'RES_pl-PL'!dbRandom_Trials</vt:lpstr>
      <vt:lpstr>'RES_pt-BR'!dbRandom_Trials</vt:lpstr>
      <vt:lpstr>'RES_pt-PT'!dbRandom_Trials</vt:lpstr>
      <vt:lpstr>'RES_ro-RO'!dbRandom_Trials</vt:lpstr>
      <vt:lpstr>'RES_ru-RU'!dbRandom_Trials</vt:lpstr>
      <vt:lpstr>'RES_sl-SI'!dbRandom_Trials</vt:lpstr>
      <vt:lpstr>'RES_sv-SE'!dbRandom_Trials</vt:lpstr>
      <vt:lpstr>'RES_tr-TR'!dbRandom_Trials</vt:lpstr>
      <vt:lpstr>'RES_zh-CN'!dbRandom_Trials</vt:lpstr>
      <vt:lpstr>'RES_zh-TW'!dbRandom_Trials</vt:lpstr>
      <vt:lpstr>'RES_cs-CZ'!dbRandomList</vt:lpstr>
      <vt:lpstr>'RES_da-DK'!dbRandomList</vt:lpstr>
      <vt:lpstr>'RES_de-DE'!dbRandomList</vt:lpstr>
      <vt:lpstr>'RES_el-GR'!dbRandomList</vt:lpstr>
      <vt:lpstr>'RES_en-US'!dbRandomList</vt:lpstr>
      <vt:lpstr>'RES_es-ES'!dbRandomList</vt:lpstr>
      <vt:lpstr>'RES_fi-FI'!dbRandomList</vt:lpstr>
      <vt:lpstr>'RES_fr-FR'!dbRandomList</vt:lpstr>
      <vt:lpstr>'RES_hr-HR'!dbRandomList</vt:lpstr>
      <vt:lpstr>'RES_hu-HU'!dbRandomList</vt:lpstr>
      <vt:lpstr>'RES_it-IT'!dbRandomList</vt:lpstr>
      <vt:lpstr>'RES_ja-JP'!dbRandomList</vt:lpstr>
      <vt:lpstr>'RES_ko-KR'!dbRandomList</vt:lpstr>
      <vt:lpstr>'RES_lv-LV'!dbRandomList</vt:lpstr>
      <vt:lpstr>'RES_nb-NO'!dbRandomList</vt:lpstr>
      <vt:lpstr>'RES_nl-NL'!dbRandomList</vt:lpstr>
      <vt:lpstr>'RES_pl-PL'!dbRandomList</vt:lpstr>
      <vt:lpstr>'RES_pt-BR'!dbRandomList</vt:lpstr>
      <vt:lpstr>'RES_pt-PT'!dbRandomList</vt:lpstr>
      <vt:lpstr>'RES_ro-RO'!dbRandomList</vt:lpstr>
      <vt:lpstr>'RES_ru-RU'!dbRandomList</vt:lpstr>
      <vt:lpstr>'RES_sl-SI'!dbRandomList</vt:lpstr>
      <vt:lpstr>'RES_sv-SE'!dbRandomList</vt:lpstr>
      <vt:lpstr>'RES_tr-TR'!dbRandomList</vt:lpstr>
      <vt:lpstr>'RES_zh-CN'!dbRandomList</vt:lpstr>
      <vt:lpstr>'RES_zh-TW'!dbRandomList</vt:lpstr>
      <vt:lpstr>'RES_cs-CZ'!dbRandomTitle</vt:lpstr>
      <vt:lpstr>'RES_da-DK'!dbRandomTitle</vt:lpstr>
      <vt:lpstr>'RES_de-DE'!dbRandomTitle</vt:lpstr>
      <vt:lpstr>'RES_el-GR'!dbRandomTitle</vt:lpstr>
      <vt:lpstr>'RES_en-US'!dbRandomTitle</vt:lpstr>
      <vt:lpstr>'RES_es-ES'!dbRandomTitle</vt:lpstr>
      <vt:lpstr>'RES_fi-FI'!dbRandomTitle</vt:lpstr>
      <vt:lpstr>'RES_fr-FR'!dbRandomTitle</vt:lpstr>
      <vt:lpstr>'RES_hr-HR'!dbRandomTitle</vt:lpstr>
      <vt:lpstr>'RES_hu-HU'!dbRandomTitle</vt:lpstr>
      <vt:lpstr>'RES_it-IT'!dbRandomTitle</vt:lpstr>
      <vt:lpstr>'RES_ja-JP'!dbRandomTitle</vt:lpstr>
      <vt:lpstr>'RES_ko-KR'!dbRandomTitle</vt:lpstr>
      <vt:lpstr>'RES_lv-LV'!dbRandomTitle</vt:lpstr>
      <vt:lpstr>'RES_nb-NO'!dbRandomTitle</vt:lpstr>
      <vt:lpstr>'RES_nl-NL'!dbRandomTitle</vt:lpstr>
      <vt:lpstr>'RES_pl-PL'!dbRandomTitle</vt:lpstr>
      <vt:lpstr>'RES_pt-BR'!dbRandomTitle</vt:lpstr>
      <vt:lpstr>'RES_pt-PT'!dbRandomTitle</vt:lpstr>
      <vt:lpstr>'RES_ro-RO'!dbRandomTitle</vt:lpstr>
      <vt:lpstr>'RES_ru-RU'!dbRandomTitle</vt:lpstr>
      <vt:lpstr>'RES_sl-SI'!dbRandomTitle</vt:lpstr>
      <vt:lpstr>'RES_sv-SE'!dbRandomTitle</vt:lpstr>
      <vt:lpstr>'RES_tr-TR'!dbRandomTitle</vt:lpstr>
      <vt:lpstr>'RES_zh-CN'!dbRandomTitle</vt:lpstr>
      <vt:lpstr>'RES_zh-TW'!dbRandomTitle</vt:lpstr>
      <vt:lpstr>'RES_cs-CZ'!dbRandomX</vt:lpstr>
      <vt:lpstr>'RES_da-DK'!dbRandomX</vt:lpstr>
      <vt:lpstr>'RES_de-DE'!dbRandomX</vt:lpstr>
      <vt:lpstr>'RES_el-GR'!dbRandomX</vt:lpstr>
      <vt:lpstr>'RES_en-US'!dbRandomX</vt:lpstr>
      <vt:lpstr>'RES_es-ES'!dbRandomX</vt:lpstr>
      <vt:lpstr>'RES_fi-FI'!dbRandomX</vt:lpstr>
      <vt:lpstr>'RES_fr-FR'!dbRandomX</vt:lpstr>
      <vt:lpstr>'RES_hr-HR'!dbRandomX</vt:lpstr>
      <vt:lpstr>'RES_hu-HU'!dbRandomX</vt:lpstr>
      <vt:lpstr>'RES_it-IT'!dbRandomX</vt:lpstr>
      <vt:lpstr>'RES_ja-JP'!dbRandomX</vt:lpstr>
      <vt:lpstr>'RES_ko-KR'!dbRandomX</vt:lpstr>
      <vt:lpstr>'RES_lv-LV'!dbRandomX</vt:lpstr>
      <vt:lpstr>'RES_nb-NO'!dbRandomX</vt:lpstr>
      <vt:lpstr>'RES_nl-NL'!dbRandomX</vt:lpstr>
      <vt:lpstr>'RES_pl-PL'!dbRandomX</vt:lpstr>
      <vt:lpstr>'RES_pt-BR'!dbRandomX</vt:lpstr>
      <vt:lpstr>'RES_pt-PT'!dbRandomX</vt:lpstr>
      <vt:lpstr>'RES_ro-RO'!dbRandomX</vt:lpstr>
      <vt:lpstr>'RES_ru-RU'!dbRandomX</vt:lpstr>
      <vt:lpstr>'RES_sl-SI'!dbRandomX</vt:lpstr>
      <vt:lpstr>'RES_sv-SE'!dbRandomX</vt:lpstr>
      <vt:lpstr>'RES_tr-TR'!dbRandomX</vt:lpstr>
      <vt:lpstr>'RES_zh-CN'!dbRandomX</vt:lpstr>
      <vt:lpstr>'RES_zh-TW'!dbRandomX</vt:lpstr>
      <vt:lpstr>'RES_cs-CZ'!dbRandomY</vt:lpstr>
      <vt:lpstr>'RES_da-DK'!dbRandomY</vt:lpstr>
      <vt:lpstr>'RES_de-DE'!dbRandomY</vt:lpstr>
      <vt:lpstr>'RES_el-GR'!dbRandomY</vt:lpstr>
      <vt:lpstr>'RES_en-US'!dbRandomY</vt:lpstr>
      <vt:lpstr>'RES_es-ES'!dbRandomY</vt:lpstr>
      <vt:lpstr>'RES_fi-FI'!dbRandomY</vt:lpstr>
      <vt:lpstr>'RES_fr-FR'!dbRandomY</vt:lpstr>
      <vt:lpstr>'RES_hr-HR'!dbRandomY</vt:lpstr>
      <vt:lpstr>'RES_hu-HU'!dbRandomY</vt:lpstr>
      <vt:lpstr>'RES_it-IT'!dbRandomY</vt:lpstr>
      <vt:lpstr>'RES_ja-JP'!dbRandomY</vt:lpstr>
      <vt:lpstr>'RES_ko-KR'!dbRandomY</vt:lpstr>
      <vt:lpstr>'RES_lv-LV'!dbRandomY</vt:lpstr>
      <vt:lpstr>'RES_nb-NO'!dbRandomY</vt:lpstr>
      <vt:lpstr>'RES_nl-NL'!dbRandomY</vt:lpstr>
      <vt:lpstr>'RES_pl-PL'!dbRandomY</vt:lpstr>
      <vt:lpstr>'RES_pt-BR'!dbRandomY</vt:lpstr>
      <vt:lpstr>'RES_pt-PT'!dbRandomY</vt:lpstr>
      <vt:lpstr>'RES_ro-RO'!dbRandomY</vt:lpstr>
      <vt:lpstr>'RES_ru-RU'!dbRandomY</vt:lpstr>
      <vt:lpstr>'RES_sl-SI'!dbRandomY</vt:lpstr>
      <vt:lpstr>'RES_sv-SE'!dbRandomY</vt:lpstr>
      <vt:lpstr>'RES_tr-TR'!dbRandomY</vt:lpstr>
      <vt:lpstr>'RES_zh-CN'!dbRandomY</vt:lpstr>
      <vt:lpstr>'RES_zh-TW'!dbRandomY</vt:lpstr>
      <vt:lpstr>'RES_cs-CZ'!dbRankPer</vt:lpstr>
      <vt:lpstr>'RES_da-DK'!dbRankPer</vt:lpstr>
      <vt:lpstr>'RES_de-DE'!dbRankPer</vt:lpstr>
      <vt:lpstr>'RES_el-GR'!dbRankPer</vt:lpstr>
      <vt:lpstr>'RES_en-US'!dbRankPer</vt:lpstr>
      <vt:lpstr>'RES_es-ES'!dbRankPer</vt:lpstr>
      <vt:lpstr>'RES_fi-FI'!dbRankPer</vt:lpstr>
      <vt:lpstr>'RES_fr-FR'!dbRankPer</vt:lpstr>
      <vt:lpstr>'RES_hr-HR'!dbRankPer</vt:lpstr>
      <vt:lpstr>'RES_hu-HU'!dbRankPer</vt:lpstr>
      <vt:lpstr>'RES_it-IT'!dbRankPer</vt:lpstr>
      <vt:lpstr>'RES_ja-JP'!dbRankPer</vt:lpstr>
      <vt:lpstr>'RES_ko-KR'!dbRankPer</vt:lpstr>
      <vt:lpstr>'RES_lv-LV'!dbRankPer</vt:lpstr>
      <vt:lpstr>'RES_nb-NO'!dbRankPer</vt:lpstr>
      <vt:lpstr>'RES_nl-NL'!dbRankPer</vt:lpstr>
      <vt:lpstr>'RES_pl-PL'!dbRankPer</vt:lpstr>
      <vt:lpstr>'RES_pt-BR'!dbRankPer</vt:lpstr>
      <vt:lpstr>'RES_pt-PT'!dbRankPer</vt:lpstr>
      <vt:lpstr>'RES_ro-RO'!dbRankPer</vt:lpstr>
      <vt:lpstr>'RES_ru-RU'!dbRankPer</vt:lpstr>
      <vt:lpstr>'RES_sl-SI'!dbRankPer</vt:lpstr>
      <vt:lpstr>'RES_sv-SE'!dbRankPer</vt:lpstr>
      <vt:lpstr>'RES_tr-TR'!dbRankPer</vt:lpstr>
      <vt:lpstr>'RES_zh-CN'!dbRankPer</vt:lpstr>
      <vt:lpstr>'RES_zh-TW'!dbRankPer</vt:lpstr>
      <vt:lpstr>'RES_cs-CZ'!dbRankPer_InRange</vt:lpstr>
      <vt:lpstr>'RES_da-DK'!dbRankPer_InRange</vt:lpstr>
      <vt:lpstr>'RES_de-DE'!dbRankPer_InRange</vt:lpstr>
      <vt:lpstr>'RES_el-GR'!dbRankPer_InRange</vt:lpstr>
      <vt:lpstr>'RES_en-US'!dbRankPer_InRange</vt:lpstr>
      <vt:lpstr>'RES_es-ES'!dbRankPer_InRange</vt:lpstr>
      <vt:lpstr>'RES_fi-FI'!dbRankPer_InRange</vt:lpstr>
      <vt:lpstr>'RES_fr-FR'!dbRankPer_InRange</vt:lpstr>
      <vt:lpstr>'RES_hr-HR'!dbRankPer_InRange</vt:lpstr>
      <vt:lpstr>'RES_hu-HU'!dbRankPer_InRange</vt:lpstr>
      <vt:lpstr>'RES_it-IT'!dbRankPer_InRange</vt:lpstr>
      <vt:lpstr>'RES_ja-JP'!dbRankPer_InRange</vt:lpstr>
      <vt:lpstr>'RES_ko-KR'!dbRankPer_InRange</vt:lpstr>
      <vt:lpstr>'RES_lv-LV'!dbRankPer_InRange</vt:lpstr>
      <vt:lpstr>'RES_nb-NO'!dbRankPer_InRange</vt:lpstr>
      <vt:lpstr>'RES_nl-NL'!dbRankPer_InRange</vt:lpstr>
      <vt:lpstr>'RES_pl-PL'!dbRankPer_InRange</vt:lpstr>
      <vt:lpstr>'RES_pt-BR'!dbRankPer_InRange</vt:lpstr>
      <vt:lpstr>'RES_pt-PT'!dbRankPer_InRange</vt:lpstr>
      <vt:lpstr>'RES_ro-RO'!dbRankPer_InRange</vt:lpstr>
      <vt:lpstr>'RES_ru-RU'!dbRankPer_InRange</vt:lpstr>
      <vt:lpstr>'RES_sl-SI'!dbRankPer_InRange</vt:lpstr>
      <vt:lpstr>'RES_sv-SE'!dbRankPer_InRange</vt:lpstr>
      <vt:lpstr>'RES_tr-TR'!dbRankPer_InRange</vt:lpstr>
      <vt:lpstr>'RES_zh-CN'!dbRankPer_InRange</vt:lpstr>
      <vt:lpstr>'RES_zh-TW'!dbRankPer_InRange</vt:lpstr>
      <vt:lpstr>'RES_cs-CZ'!dbRankPer_LabelText</vt:lpstr>
      <vt:lpstr>'RES_da-DK'!dbRankPer_LabelText</vt:lpstr>
      <vt:lpstr>'RES_de-DE'!dbRankPer_LabelText</vt:lpstr>
      <vt:lpstr>'RES_el-GR'!dbRankPer_LabelText</vt:lpstr>
      <vt:lpstr>'RES_en-US'!dbRankPer_LabelText</vt:lpstr>
      <vt:lpstr>'RES_es-ES'!dbRankPer_LabelText</vt:lpstr>
      <vt:lpstr>'RES_fi-FI'!dbRankPer_LabelText</vt:lpstr>
      <vt:lpstr>'RES_fr-FR'!dbRankPer_LabelText</vt:lpstr>
      <vt:lpstr>'RES_hr-HR'!dbRankPer_LabelText</vt:lpstr>
      <vt:lpstr>'RES_hu-HU'!dbRankPer_LabelText</vt:lpstr>
      <vt:lpstr>'RES_it-IT'!dbRankPer_LabelText</vt:lpstr>
      <vt:lpstr>'RES_ja-JP'!dbRankPer_LabelText</vt:lpstr>
      <vt:lpstr>'RES_ko-KR'!dbRankPer_LabelText</vt:lpstr>
      <vt:lpstr>'RES_lv-LV'!dbRankPer_LabelText</vt:lpstr>
      <vt:lpstr>'RES_nb-NO'!dbRankPer_LabelText</vt:lpstr>
      <vt:lpstr>'RES_nl-NL'!dbRankPer_LabelText</vt:lpstr>
      <vt:lpstr>'RES_pl-PL'!dbRankPer_LabelText</vt:lpstr>
      <vt:lpstr>'RES_pt-BR'!dbRankPer_LabelText</vt:lpstr>
      <vt:lpstr>'RES_pt-PT'!dbRankPer_LabelText</vt:lpstr>
      <vt:lpstr>'RES_ro-RO'!dbRankPer_LabelText</vt:lpstr>
      <vt:lpstr>'RES_ru-RU'!dbRankPer_LabelText</vt:lpstr>
      <vt:lpstr>'RES_sl-SI'!dbRankPer_LabelText</vt:lpstr>
      <vt:lpstr>'RES_sv-SE'!dbRankPer_LabelText</vt:lpstr>
      <vt:lpstr>'RES_tr-TR'!dbRankPer_LabelText</vt:lpstr>
      <vt:lpstr>'RES_zh-CN'!dbRankPer_LabelText</vt:lpstr>
      <vt:lpstr>'RES_zh-TW'!dbRankPer_LabelText</vt:lpstr>
      <vt:lpstr>'RES_cs-CZ'!dbRankPer_LblChkBox</vt:lpstr>
      <vt:lpstr>'RES_da-DK'!dbRankPer_LblChkBox</vt:lpstr>
      <vt:lpstr>'RES_de-DE'!dbRankPer_LblChkBox</vt:lpstr>
      <vt:lpstr>'RES_el-GR'!dbRankPer_LblChkBox</vt:lpstr>
      <vt:lpstr>'RES_en-US'!dbRankPer_LblChkBox</vt:lpstr>
      <vt:lpstr>'RES_es-ES'!dbRankPer_LblChkBox</vt:lpstr>
      <vt:lpstr>'RES_fi-FI'!dbRankPer_LblChkBox</vt:lpstr>
      <vt:lpstr>'RES_fr-FR'!dbRankPer_LblChkBox</vt:lpstr>
      <vt:lpstr>'RES_hr-HR'!dbRankPer_LblChkBox</vt:lpstr>
      <vt:lpstr>'RES_hu-HU'!dbRankPer_LblChkBox</vt:lpstr>
      <vt:lpstr>'RES_it-IT'!dbRankPer_LblChkBox</vt:lpstr>
      <vt:lpstr>'RES_ja-JP'!dbRankPer_LblChkBox</vt:lpstr>
      <vt:lpstr>'RES_ko-KR'!dbRankPer_LblChkBox</vt:lpstr>
      <vt:lpstr>'RES_lv-LV'!dbRankPer_LblChkBox</vt:lpstr>
      <vt:lpstr>'RES_nb-NO'!dbRankPer_LblChkBox</vt:lpstr>
      <vt:lpstr>'RES_nl-NL'!dbRankPer_LblChkBox</vt:lpstr>
      <vt:lpstr>'RES_pl-PL'!dbRankPer_LblChkBox</vt:lpstr>
      <vt:lpstr>'RES_pt-BR'!dbRankPer_LblChkBox</vt:lpstr>
      <vt:lpstr>'RES_pt-PT'!dbRankPer_LblChkBox</vt:lpstr>
      <vt:lpstr>'RES_ro-RO'!dbRankPer_LblChkBox</vt:lpstr>
      <vt:lpstr>'RES_ru-RU'!dbRankPer_LblChkBox</vt:lpstr>
      <vt:lpstr>'RES_sl-SI'!dbRankPer_LblChkBox</vt:lpstr>
      <vt:lpstr>'RES_sv-SE'!dbRankPer_LblChkBox</vt:lpstr>
      <vt:lpstr>'RES_tr-TR'!dbRankPer_LblChkBox</vt:lpstr>
      <vt:lpstr>'RES_zh-CN'!dbRankPer_LblChkBox</vt:lpstr>
      <vt:lpstr>'RES_zh-TW'!dbRankPer_LblChkBox</vt:lpstr>
      <vt:lpstr>'RES_cs-CZ'!dbRankPer_OutOption</vt:lpstr>
      <vt:lpstr>'RES_da-DK'!dbRankPer_OutOption</vt:lpstr>
      <vt:lpstr>'RES_de-DE'!dbRankPer_OutOption</vt:lpstr>
      <vt:lpstr>'RES_el-GR'!dbRankPer_OutOption</vt:lpstr>
      <vt:lpstr>'RES_en-US'!dbRankPer_OutOption</vt:lpstr>
      <vt:lpstr>'RES_es-ES'!dbRankPer_OutOption</vt:lpstr>
      <vt:lpstr>'RES_fi-FI'!dbRankPer_OutOption</vt:lpstr>
      <vt:lpstr>'RES_fr-FR'!dbRankPer_OutOption</vt:lpstr>
      <vt:lpstr>'RES_hr-HR'!dbRankPer_OutOption</vt:lpstr>
      <vt:lpstr>'RES_hu-HU'!dbRankPer_OutOption</vt:lpstr>
      <vt:lpstr>'RES_it-IT'!dbRankPer_OutOption</vt:lpstr>
      <vt:lpstr>'RES_ja-JP'!dbRankPer_OutOption</vt:lpstr>
      <vt:lpstr>'RES_ko-KR'!dbRankPer_OutOption</vt:lpstr>
      <vt:lpstr>'RES_lv-LV'!dbRankPer_OutOption</vt:lpstr>
      <vt:lpstr>'RES_nb-NO'!dbRankPer_OutOption</vt:lpstr>
      <vt:lpstr>'RES_nl-NL'!dbRankPer_OutOption</vt:lpstr>
      <vt:lpstr>'RES_pl-PL'!dbRankPer_OutOption</vt:lpstr>
      <vt:lpstr>'RES_pt-BR'!dbRankPer_OutOption</vt:lpstr>
      <vt:lpstr>'RES_pt-PT'!dbRankPer_OutOption</vt:lpstr>
      <vt:lpstr>'RES_ro-RO'!dbRankPer_OutOption</vt:lpstr>
      <vt:lpstr>'RES_ru-RU'!dbRankPer_OutOption</vt:lpstr>
      <vt:lpstr>'RES_sl-SI'!dbRankPer_OutOption</vt:lpstr>
      <vt:lpstr>'RES_sv-SE'!dbRankPer_OutOption</vt:lpstr>
      <vt:lpstr>'RES_tr-TR'!dbRankPer_OutOption</vt:lpstr>
      <vt:lpstr>'RES_zh-CN'!dbRankPer_OutOption</vt:lpstr>
      <vt:lpstr>'RES_zh-TW'!dbRankPer_OutOption</vt:lpstr>
      <vt:lpstr>'RES_cs-CZ'!dbRankPer_PlyInpFld</vt:lpstr>
      <vt:lpstr>'RES_da-DK'!dbRankPer_PlyInpFld</vt:lpstr>
      <vt:lpstr>'RES_de-DE'!dbRankPer_PlyInpFld</vt:lpstr>
      <vt:lpstr>'RES_el-GR'!dbRankPer_PlyInpFld</vt:lpstr>
      <vt:lpstr>'RES_en-US'!dbRankPer_PlyInpFld</vt:lpstr>
      <vt:lpstr>'RES_es-ES'!dbRankPer_PlyInpFld</vt:lpstr>
      <vt:lpstr>'RES_fi-FI'!dbRankPer_PlyInpFld</vt:lpstr>
      <vt:lpstr>'RES_fr-FR'!dbRankPer_PlyInpFld</vt:lpstr>
      <vt:lpstr>'RES_hr-HR'!dbRankPer_PlyInpFld</vt:lpstr>
      <vt:lpstr>'RES_hu-HU'!dbRankPer_PlyInpFld</vt:lpstr>
      <vt:lpstr>'RES_it-IT'!dbRankPer_PlyInpFld</vt:lpstr>
      <vt:lpstr>'RES_ja-JP'!dbRankPer_PlyInpFld</vt:lpstr>
      <vt:lpstr>'RES_ko-KR'!dbRankPer_PlyInpFld</vt:lpstr>
      <vt:lpstr>'RES_lv-LV'!dbRankPer_PlyInpFld</vt:lpstr>
      <vt:lpstr>'RES_nb-NO'!dbRankPer_PlyInpFld</vt:lpstr>
      <vt:lpstr>'RES_nl-NL'!dbRankPer_PlyInpFld</vt:lpstr>
      <vt:lpstr>'RES_pl-PL'!dbRankPer_PlyInpFld</vt:lpstr>
      <vt:lpstr>'RES_pt-BR'!dbRankPer_PlyInpFld</vt:lpstr>
      <vt:lpstr>'RES_pt-PT'!dbRankPer_PlyInpFld</vt:lpstr>
      <vt:lpstr>'RES_ro-RO'!dbRankPer_PlyInpFld</vt:lpstr>
      <vt:lpstr>'RES_ru-RU'!dbRankPer_PlyInpFld</vt:lpstr>
      <vt:lpstr>'RES_sl-SI'!dbRankPer_PlyInpFld</vt:lpstr>
      <vt:lpstr>'RES_sv-SE'!dbRankPer_PlyInpFld</vt:lpstr>
      <vt:lpstr>'RES_tr-TR'!dbRankPer_PlyInpFld</vt:lpstr>
      <vt:lpstr>'RES_zh-CN'!dbRankPer_PlyInpFld</vt:lpstr>
      <vt:lpstr>'RES_zh-TW'!dbRankPer_PlyInpFld</vt:lpstr>
      <vt:lpstr>'RES_cs-CZ'!dbRankPer_PlyName</vt:lpstr>
      <vt:lpstr>'RES_da-DK'!dbRankPer_PlyName</vt:lpstr>
      <vt:lpstr>'RES_de-DE'!dbRankPer_PlyName</vt:lpstr>
      <vt:lpstr>'RES_el-GR'!dbRankPer_PlyName</vt:lpstr>
      <vt:lpstr>'RES_en-US'!dbRankPer_PlyName</vt:lpstr>
      <vt:lpstr>'RES_es-ES'!dbRankPer_PlyName</vt:lpstr>
      <vt:lpstr>'RES_fi-FI'!dbRankPer_PlyName</vt:lpstr>
      <vt:lpstr>'RES_fr-FR'!dbRankPer_PlyName</vt:lpstr>
      <vt:lpstr>'RES_hr-HR'!dbRankPer_PlyName</vt:lpstr>
      <vt:lpstr>'RES_hu-HU'!dbRankPer_PlyName</vt:lpstr>
      <vt:lpstr>'RES_it-IT'!dbRankPer_PlyName</vt:lpstr>
      <vt:lpstr>'RES_ja-JP'!dbRankPer_PlyName</vt:lpstr>
      <vt:lpstr>'RES_ko-KR'!dbRankPer_PlyName</vt:lpstr>
      <vt:lpstr>'RES_lv-LV'!dbRankPer_PlyName</vt:lpstr>
      <vt:lpstr>'RES_nb-NO'!dbRankPer_PlyName</vt:lpstr>
      <vt:lpstr>'RES_nl-NL'!dbRankPer_PlyName</vt:lpstr>
      <vt:lpstr>'RES_pl-PL'!dbRankPer_PlyName</vt:lpstr>
      <vt:lpstr>'RES_pt-BR'!dbRankPer_PlyName</vt:lpstr>
      <vt:lpstr>'RES_pt-PT'!dbRankPer_PlyName</vt:lpstr>
      <vt:lpstr>'RES_ro-RO'!dbRankPer_PlyName</vt:lpstr>
      <vt:lpstr>'RES_ru-RU'!dbRankPer_PlyName</vt:lpstr>
      <vt:lpstr>'RES_sl-SI'!dbRankPer_PlyName</vt:lpstr>
      <vt:lpstr>'RES_sv-SE'!dbRankPer_PlyName</vt:lpstr>
      <vt:lpstr>'RES_tr-TR'!dbRankPer_PlyName</vt:lpstr>
      <vt:lpstr>'RES_zh-CN'!dbRankPer_PlyName</vt:lpstr>
      <vt:lpstr>'RES_zh-TW'!dbRankPer_PlyName</vt:lpstr>
      <vt:lpstr>'RES_cs-CZ'!dbRankPer_RangeInpFld</vt:lpstr>
      <vt:lpstr>'RES_da-DK'!dbRankPer_RangeInpFld</vt:lpstr>
      <vt:lpstr>'RES_de-DE'!dbRankPer_RangeInpFld</vt:lpstr>
      <vt:lpstr>'RES_el-GR'!dbRankPer_RangeInpFld</vt:lpstr>
      <vt:lpstr>'RES_en-US'!dbRankPer_RangeInpFld</vt:lpstr>
      <vt:lpstr>'RES_es-ES'!dbRankPer_RangeInpFld</vt:lpstr>
      <vt:lpstr>'RES_fi-FI'!dbRankPer_RangeInpFld</vt:lpstr>
      <vt:lpstr>'RES_fr-FR'!dbRankPer_RangeInpFld</vt:lpstr>
      <vt:lpstr>'RES_hr-HR'!dbRankPer_RangeInpFld</vt:lpstr>
      <vt:lpstr>'RES_hu-HU'!dbRankPer_RangeInpFld</vt:lpstr>
      <vt:lpstr>'RES_it-IT'!dbRankPer_RangeInpFld</vt:lpstr>
      <vt:lpstr>'RES_ja-JP'!dbRankPer_RangeInpFld</vt:lpstr>
      <vt:lpstr>'RES_ko-KR'!dbRankPer_RangeInpFld</vt:lpstr>
      <vt:lpstr>'RES_lv-LV'!dbRankPer_RangeInpFld</vt:lpstr>
      <vt:lpstr>'RES_nb-NO'!dbRankPer_RangeInpFld</vt:lpstr>
      <vt:lpstr>'RES_nl-NL'!dbRankPer_RangeInpFld</vt:lpstr>
      <vt:lpstr>'RES_pl-PL'!dbRankPer_RangeInpFld</vt:lpstr>
      <vt:lpstr>'RES_pt-BR'!dbRankPer_RangeInpFld</vt:lpstr>
      <vt:lpstr>'RES_pt-PT'!dbRankPer_RangeInpFld</vt:lpstr>
      <vt:lpstr>'RES_ro-RO'!dbRankPer_RangeInpFld</vt:lpstr>
      <vt:lpstr>'RES_ru-RU'!dbRankPer_RangeInpFld</vt:lpstr>
      <vt:lpstr>'RES_sl-SI'!dbRankPer_RangeInpFld</vt:lpstr>
      <vt:lpstr>'RES_sv-SE'!dbRankPer_RangeInpFld</vt:lpstr>
      <vt:lpstr>'RES_tr-TR'!dbRankPer_RangeInpFld</vt:lpstr>
      <vt:lpstr>'RES_zh-CN'!dbRankPer_RangeInpFld</vt:lpstr>
      <vt:lpstr>'RES_zh-TW'!dbRankPer_RangeInpFld</vt:lpstr>
      <vt:lpstr>'RES_cs-CZ'!dbRankPer_RangeRef</vt:lpstr>
      <vt:lpstr>'RES_da-DK'!dbRankPer_RangeRef</vt:lpstr>
      <vt:lpstr>'RES_de-DE'!dbRankPer_RangeRef</vt:lpstr>
      <vt:lpstr>'RES_el-GR'!dbRankPer_RangeRef</vt:lpstr>
      <vt:lpstr>'RES_en-US'!dbRankPer_RangeRef</vt:lpstr>
      <vt:lpstr>'RES_es-ES'!dbRankPer_RangeRef</vt:lpstr>
      <vt:lpstr>'RES_fi-FI'!dbRankPer_RangeRef</vt:lpstr>
      <vt:lpstr>'RES_fr-FR'!dbRankPer_RangeRef</vt:lpstr>
      <vt:lpstr>'RES_hr-HR'!dbRankPer_RangeRef</vt:lpstr>
      <vt:lpstr>'RES_hu-HU'!dbRankPer_RangeRef</vt:lpstr>
      <vt:lpstr>'RES_it-IT'!dbRankPer_RangeRef</vt:lpstr>
      <vt:lpstr>'RES_ja-JP'!dbRankPer_RangeRef</vt:lpstr>
      <vt:lpstr>'RES_ko-KR'!dbRankPer_RangeRef</vt:lpstr>
      <vt:lpstr>'RES_lv-LV'!dbRankPer_RangeRef</vt:lpstr>
      <vt:lpstr>'RES_nb-NO'!dbRankPer_RangeRef</vt:lpstr>
      <vt:lpstr>'RES_nl-NL'!dbRankPer_RangeRef</vt:lpstr>
      <vt:lpstr>'RES_pl-PL'!dbRankPer_RangeRef</vt:lpstr>
      <vt:lpstr>'RES_pt-BR'!dbRankPer_RangeRef</vt:lpstr>
      <vt:lpstr>'RES_pt-PT'!dbRankPer_RangeRef</vt:lpstr>
      <vt:lpstr>'RES_ro-RO'!dbRankPer_RangeRef</vt:lpstr>
      <vt:lpstr>'RES_ru-RU'!dbRankPer_RangeRef</vt:lpstr>
      <vt:lpstr>'RES_sl-SI'!dbRankPer_RangeRef</vt:lpstr>
      <vt:lpstr>'RES_sv-SE'!dbRankPer_RangeRef</vt:lpstr>
      <vt:lpstr>'RES_tr-TR'!dbRankPer_RangeRef</vt:lpstr>
      <vt:lpstr>'RES_zh-CN'!dbRankPer_RangeRef</vt:lpstr>
      <vt:lpstr>'RES_zh-TW'!dbRankPer_RangeRef</vt:lpstr>
      <vt:lpstr>'RES_cs-CZ'!dbRankPer_RCSelect</vt:lpstr>
      <vt:lpstr>'RES_da-DK'!dbRankPer_RCSelect</vt:lpstr>
      <vt:lpstr>'RES_de-DE'!dbRankPer_RCSelect</vt:lpstr>
      <vt:lpstr>'RES_el-GR'!dbRankPer_RCSelect</vt:lpstr>
      <vt:lpstr>'RES_en-US'!dbRankPer_RCSelect</vt:lpstr>
      <vt:lpstr>'RES_es-ES'!dbRankPer_RCSelect</vt:lpstr>
      <vt:lpstr>'RES_fi-FI'!dbRankPer_RCSelect</vt:lpstr>
      <vt:lpstr>'RES_fr-FR'!dbRankPer_RCSelect</vt:lpstr>
      <vt:lpstr>'RES_hr-HR'!dbRankPer_RCSelect</vt:lpstr>
      <vt:lpstr>'RES_hu-HU'!dbRankPer_RCSelect</vt:lpstr>
      <vt:lpstr>'RES_it-IT'!dbRankPer_RCSelect</vt:lpstr>
      <vt:lpstr>'RES_ja-JP'!dbRankPer_RCSelect</vt:lpstr>
      <vt:lpstr>'RES_ko-KR'!dbRankPer_RCSelect</vt:lpstr>
      <vt:lpstr>'RES_lv-LV'!dbRankPer_RCSelect</vt:lpstr>
      <vt:lpstr>'RES_nb-NO'!dbRankPer_RCSelect</vt:lpstr>
      <vt:lpstr>'RES_nl-NL'!dbRankPer_RCSelect</vt:lpstr>
      <vt:lpstr>'RES_pl-PL'!dbRankPer_RCSelect</vt:lpstr>
      <vt:lpstr>'RES_pt-BR'!dbRankPer_RCSelect</vt:lpstr>
      <vt:lpstr>'RES_pt-PT'!dbRankPer_RCSelect</vt:lpstr>
      <vt:lpstr>'RES_ro-RO'!dbRankPer_RCSelect</vt:lpstr>
      <vt:lpstr>'RES_ru-RU'!dbRankPer_RCSelect</vt:lpstr>
      <vt:lpstr>'RES_sl-SI'!dbRankPer_RCSelect</vt:lpstr>
      <vt:lpstr>'RES_sv-SE'!dbRankPer_RCSelect</vt:lpstr>
      <vt:lpstr>'RES_tr-TR'!dbRankPer_RCSelect</vt:lpstr>
      <vt:lpstr>'RES_zh-CN'!dbRankPer_RCSelect</vt:lpstr>
      <vt:lpstr>'RES_zh-TW'!dbRankPer_RCSelect</vt:lpstr>
      <vt:lpstr>'RES_cs-CZ'!dbRankPerTitle</vt:lpstr>
      <vt:lpstr>'RES_da-DK'!dbRankPerTitle</vt:lpstr>
      <vt:lpstr>'RES_de-DE'!dbRankPerTitle</vt:lpstr>
      <vt:lpstr>'RES_el-GR'!dbRankPerTitle</vt:lpstr>
      <vt:lpstr>'RES_en-US'!dbRankPerTitle</vt:lpstr>
      <vt:lpstr>'RES_es-ES'!dbRankPerTitle</vt:lpstr>
      <vt:lpstr>'RES_fi-FI'!dbRankPerTitle</vt:lpstr>
      <vt:lpstr>'RES_fr-FR'!dbRankPerTitle</vt:lpstr>
      <vt:lpstr>'RES_hr-HR'!dbRankPerTitle</vt:lpstr>
      <vt:lpstr>'RES_hu-HU'!dbRankPerTitle</vt:lpstr>
      <vt:lpstr>'RES_it-IT'!dbRankPerTitle</vt:lpstr>
      <vt:lpstr>'RES_ja-JP'!dbRankPerTitle</vt:lpstr>
      <vt:lpstr>'RES_ko-KR'!dbRankPerTitle</vt:lpstr>
      <vt:lpstr>'RES_lv-LV'!dbRankPerTitle</vt:lpstr>
      <vt:lpstr>'RES_nb-NO'!dbRankPerTitle</vt:lpstr>
      <vt:lpstr>'RES_nl-NL'!dbRankPerTitle</vt:lpstr>
      <vt:lpstr>'RES_pl-PL'!dbRankPerTitle</vt:lpstr>
      <vt:lpstr>'RES_pt-BR'!dbRankPerTitle</vt:lpstr>
      <vt:lpstr>'RES_pt-PT'!dbRankPerTitle</vt:lpstr>
      <vt:lpstr>'RES_ro-RO'!dbRankPerTitle</vt:lpstr>
      <vt:lpstr>'RES_ru-RU'!dbRankPerTitle</vt:lpstr>
      <vt:lpstr>'RES_sl-SI'!dbRankPerTitle</vt:lpstr>
      <vt:lpstr>'RES_sv-SE'!dbRankPerTitle</vt:lpstr>
      <vt:lpstr>'RES_tr-TR'!dbRankPerTitle</vt:lpstr>
      <vt:lpstr>'RES_zh-CN'!dbRankPerTitle</vt:lpstr>
      <vt:lpstr>'RES_zh-TW'!dbRankPerTitle</vt:lpstr>
      <vt:lpstr>'RES_cs-CZ'!dbRegression</vt:lpstr>
      <vt:lpstr>'RES_da-DK'!dbRegression</vt:lpstr>
      <vt:lpstr>'RES_de-DE'!dbRegression</vt:lpstr>
      <vt:lpstr>'RES_el-GR'!dbRegression</vt:lpstr>
      <vt:lpstr>'RES_en-US'!dbRegression</vt:lpstr>
      <vt:lpstr>'RES_es-ES'!dbRegression</vt:lpstr>
      <vt:lpstr>'RES_fi-FI'!dbRegression</vt:lpstr>
      <vt:lpstr>'RES_fr-FR'!dbRegression</vt:lpstr>
      <vt:lpstr>'RES_hr-HR'!dbRegression</vt:lpstr>
      <vt:lpstr>'RES_hu-HU'!dbRegression</vt:lpstr>
      <vt:lpstr>'RES_it-IT'!dbRegression</vt:lpstr>
      <vt:lpstr>'RES_ja-JP'!dbRegression</vt:lpstr>
      <vt:lpstr>'RES_ko-KR'!dbRegression</vt:lpstr>
      <vt:lpstr>'RES_lv-LV'!dbRegression</vt:lpstr>
      <vt:lpstr>'RES_nb-NO'!dbRegression</vt:lpstr>
      <vt:lpstr>'RES_nl-NL'!dbRegression</vt:lpstr>
      <vt:lpstr>'RES_pl-PL'!dbRegression</vt:lpstr>
      <vt:lpstr>'RES_pt-BR'!dbRegression</vt:lpstr>
      <vt:lpstr>'RES_pt-PT'!dbRegression</vt:lpstr>
      <vt:lpstr>'RES_ro-RO'!dbRegression</vt:lpstr>
      <vt:lpstr>'RES_ru-RU'!dbRegression</vt:lpstr>
      <vt:lpstr>'RES_sl-SI'!dbRegression</vt:lpstr>
      <vt:lpstr>'RES_sv-SE'!dbRegression</vt:lpstr>
      <vt:lpstr>'RES_tr-TR'!dbRegression</vt:lpstr>
      <vt:lpstr>'RES_zh-CN'!dbRegression</vt:lpstr>
      <vt:lpstr>'RES_zh-TW'!dbRegression</vt:lpstr>
      <vt:lpstr>'RES_cs-CZ'!dbRegression_Confidence</vt:lpstr>
      <vt:lpstr>'RES_da-DK'!dbRegression_Confidence</vt:lpstr>
      <vt:lpstr>'RES_de-DE'!dbRegression_Confidence</vt:lpstr>
      <vt:lpstr>'RES_el-GR'!dbRegression_Confidence</vt:lpstr>
      <vt:lpstr>'RES_en-US'!dbRegression_Confidence</vt:lpstr>
      <vt:lpstr>'RES_es-ES'!dbRegression_Confidence</vt:lpstr>
      <vt:lpstr>'RES_fi-FI'!dbRegression_Confidence</vt:lpstr>
      <vt:lpstr>'RES_fr-FR'!dbRegression_Confidence</vt:lpstr>
      <vt:lpstr>'RES_hr-HR'!dbRegression_Confidence</vt:lpstr>
      <vt:lpstr>'RES_hu-HU'!dbRegression_Confidence</vt:lpstr>
      <vt:lpstr>'RES_it-IT'!dbRegression_Confidence</vt:lpstr>
      <vt:lpstr>'RES_ja-JP'!dbRegression_Confidence</vt:lpstr>
      <vt:lpstr>'RES_ko-KR'!dbRegression_Confidence</vt:lpstr>
      <vt:lpstr>'RES_lv-LV'!dbRegression_Confidence</vt:lpstr>
      <vt:lpstr>'RES_nb-NO'!dbRegression_Confidence</vt:lpstr>
      <vt:lpstr>'RES_nl-NL'!dbRegression_Confidence</vt:lpstr>
      <vt:lpstr>'RES_pl-PL'!dbRegression_Confidence</vt:lpstr>
      <vt:lpstr>'RES_pt-BR'!dbRegression_Confidence</vt:lpstr>
      <vt:lpstr>'RES_pt-PT'!dbRegression_Confidence</vt:lpstr>
      <vt:lpstr>'RES_ro-RO'!dbRegression_Confidence</vt:lpstr>
      <vt:lpstr>'RES_ru-RU'!dbRegression_Confidence</vt:lpstr>
      <vt:lpstr>'RES_sl-SI'!dbRegression_Confidence</vt:lpstr>
      <vt:lpstr>'RES_sv-SE'!dbRegression_Confidence</vt:lpstr>
      <vt:lpstr>'RES_tr-TR'!dbRegression_Confidence</vt:lpstr>
      <vt:lpstr>'RES_zh-CN'!dbRegression_Confidence</vt:lpstr>
      <vt:lpstr>'RES_zh-TW'!dbRegression_Confidence</vt:lpstr>
      <vt:lpstr>'RES_cs-CZ'!dbRegression_ConfidenceChkBox</vt:lpstr>
      <vt:lpstr>'RES_da-DK'!dbRegression_ConfidenceChkBox</vt:lpstr>
      <vt:lpstr>'RES_de-DE'!dbRegression_ConfidenceChkBox</vt:lpstr>
      <vt:lpstr>'RES_el-GR'!dbRegression_ConfidenceChkBox</vt:lpstr>
      <vt:lpstr>'RES_en-US'!dbRegression_ConfidenceChkBox</vt:lpstr>
      <vt:lpstr>'RES_es-ES'!dbRegression_ConfidenceChkBox</vt:lpstr>
      <vt:lpstr>'RES_fi-FI'!dbRegression_ConfidenceChkBox</vt:lpstr>
      <vt:lpstr>'RES_fr-FR'!dbRegression_ConfidenceChkBox</vt:lpstr>
      <vt:lpstr>'RES_hr-HR'!dbRegression_ConfidenceChkBox</vt:lpstr>
      <vt:lpstr>'RES_hu-HU'!dbRegression_ConfidenceChkBox</vt:lpstr>
      <vt:lpstr>'RES_it-IT'!dbRegression_ConfidenceChkBox</vt:lpstr>
      <vt:lpstr>'RES_ja-JP'!dbRegression_ConfidenceChkBox</vt:lpstr>
      <vt:lpstr>'RES_ko-KR'!dbRegression_ConfidenceChkBox</vt:lpstr>
      <vt:lpstr>'RES_lv-LV'!dbRegression_ConfidenceChkBox</vt:lpstr>
      <vt:lpstr>'RES_nb-NO'!dbRegression_ConfidenceChkBox</vt:lpstr>
      <vt:lpstr>'RES_nl-NL'!dbRegression_ConfidenceChkBox</vt:lpstr>
      <vt:lpstr>'RES_pl-PL'!dbRegression_ConfidenceChkBox</vt:lpstr>
      <vt:lpstr>'RES_pt-BR'!dbRegression_ConfidenceChkBox</vt:lpstr>
      <vt:lpstr>'RES_pt-PT'!dbRegression_ConfidenceChkBox</vt:lpstr>
      <vt:lpstr>'RES_ro-RO'!dbRegression_ConfidenceChkBox</vt:lpstr>
      <vt:lpstr>'RES_ru-RU'!dbRegression_ConfidenceChkBox</vt:lpstr>
      <vt:lpstr>'RES_sl-SI'!dbRegression_ConfidenceChkBox</vt:lpstr>
      <vt:lpstr>'RES_sv-SE'!dbRegression_ConfidenceChkBox</vt:lpstr>
      <vt:lpstr>'RES_tr-TR'!dbRegression_ConfidenceChkBox</vt:lpstr>
      <vt:lpstr>'RES_zh-CN'!dbRegression_ConfidenceChkBox</vt:lpstr>
      <vt:lpstr>'RES_zh-TW'!dbRegression_ConfidenceChkBox</vt:lpstr>
      <vt:lpstr>'RES_cs-CZ'!dbRegression_ConfidenceInpFld</vt:lpstr>
      <vt:lpstr>'RES_da-DK'!dbRegression_ConfidenceInpFld</vt:lpstr>
      <vt:lpstr>'RES_de-DE'!dbRegression_ConfidenceInpFld</vt:lpstr>
      <vt:lpstr>'RES_el-GR'!dbRegression_ConfidenceInpFld</vt:lpstr>
      <vt:lpstr>'RES_en-US'!dbRegression_ConfidenceInpFld</vt:lpstr>
      <vt:lpstr>'RES_es-ES'!dbRegression_ConfidenceInpFld</vt:lpstr>
      <vt:lpstr>'RES_fi-FI'!dbRegression_ConfidenceInpFld</vt:lpstr>
      <vt:lpstr>'RES_fr-FR'!dbRegression_ConfidenceInpFld</vt:lpstr>
      <vt:lpstr>'RES_hr-HR'!dbRegression_ConfidenceInpFld</vt:lpstr>
      <vt:lpstr>'RES_hu-HU'!dbRegression_ConfidenceInpFld</vt:lpstr>
      <vt:lpstr>'RES_it-IT'!dbRegression_ConfidenceInpFld</vt:lpstr>
      <vt:lpstr>'RES_ja-JP'!dbRegression_ConfidenceInpFld</vt:lpstr>
      <vt:lpstr>'RES_ko-KR'!dbRegression_ConfidenceInpFld</vt:lpstr>
      <vt:lpstr>'RES_lv-LV'!dbRegression_ConfidenceInpFld</vt:lpstr>
      <vt:lpstr>'RES_nb-NO'!dbRegression_ConfidenceInpFld</vt:lpstr>
      <vt:lpstr>'RES_nl-NL'!dbRegression_ConfidenceInpFld</vt:lpstr>
      <vt:lpstr>'RES_pl-PL'!dbRegression_ConfidenceInpFld</vt:lpstr>
      <vt:lpstr>'RES_pt-BR'!dbRegression_ConfidenceInpFld</vt:lpstr>
      <vt:lpstr>'RES_pt-PT'!dbRegression_ConfidenceInpFld</vt:lpstr>
      <vt:lpstr>'RES_ro-RO'!dbRegression_ConfidenceInpFld</vt:lpstr>
      <vt:lpstr>'RES_ru-RU'!dbRegression_ConfidenceInpFld</vt:lpstr>
      <vt:lpstr>'RES_sl-SI'!dbRegression_ConfidenceInpFld</vt:lpstr>
      <vt:lpstr>'RES_sv-SE'!dbRegression_ConfidenceInpFld</vt:lpstr>
      <vt:lpstr>'RES_tr-TR'!dbRegression_ConfidenceInpFld</vt:lpstr>
      <vt:lpstr>'RES_zh-CN'!dbRegression_ConfidenceInpFld</vt:lpstr>
      <vt:lpstr>'RES_zh-TW'!dbRegression_ConfidenceInpFld</vt:lpstr>
      <vt:lpstr>'RES_cs-CZ'!dbRegression_ConstZero</vt:lpstr>
      <vt:lpstr>'RES_da-DK'!dbRegression_ConstZero</vt:lpstr>
      <vt:lpstr>'RES_de-DE'!dbRegression_ConstZero</vt:lpstr>
      <vt:lpstr>'RES_el-GR'!dbRegression_ConstZero</vt:lpstr>
      <vt:lpstr>'RES_en-US'!dbRegression_ConstZero</vt:lpstr>
      <vt:lpstr>'RES_es-ES'!dbRegression_ConstZero</vt:lpstr>
      <vt:lpstr>'RES_fi-FI'!dbRegression_ConstZero</vt:lpstr>
      <vt:lpstr>'RES_fr-FR'!dbRegression_ConstZero</vt:lpstr>
      <vt:lpstr>'RES_hr-HR'!dbRegression_ConstZero</vt:lpstr>
      <vt:lpstr>'RES_hu-HU'!dbRegression_ConstZero</vt:lpstr>
      <vt:lpstr>'RES_it-IT'!dbRegression_ConstZero</vt:lpstr>
      <vt:lpstr>'RES_ja-JP'!dbRegression_ConstZero</vt:lpstr>
      <vt:lpstr>'RES_ko-KR'!dbRegression_ConstZero</vt:lpstr>
      <vt:lpstr>'RES_lv-LV'!dbRegression_ConstZero</vt:lpstr>
      <vt:lpstr>'RES_nb-NO'!dbRegression_ConstZero</vt:lpstr>
      <vt:lpstr>'RES_nl-NL'!dbRegression_ConstZero</vt:lpstr>
      <vt:lpstr>'RES_pl-PL'!dbRegression_ConstZero</vt:lpstr>
      <vt:lpstr>'RES_pt-BR'!dbRegression_ConstZero</vt:lpstr>
      <vt:lpstr>'RES_pt-PT'!dbRegression_ConstZero</vt:lpstr>
      <vt:lpstr>'RES_ro-RO'!dbRegression_ConstZero</vt:lpstr>
      <vt:lpstr>'RES_ru-RU'!dbRegression_ConstZero</vt:lpstr>
      <vt:lpstr>'RES_sl-SI'!dbRegression_ConstZero</vt:lpstr>
      <vt:lpstr>'RES_sv-SE'!dbRegression_ConstZero</vt:lpstr>
      <vt:lpstr>'RES_tr-TR'!dbRegression_ConstZero</vt:lpstr>
      <vt:lpstr>'RES_zh-CN'!dbRegression_ConstZero</vt:lpstr>
      <vt:lpstr>'RES_zh-TW'!dbRegression_ConstZero</vt:lpstr>
      <vt:lpstr>'RES_cs-CZ'!dbRegression_LblChkBox</vt:lpstr>
      <vt:lpstr>'RES_da-DK'!dbRegression_LblChkBox</vt:lpstr>
      <vt:lpstr>'RES_de-DE'!dbRegression_LblChkBox</vt:lpstr>
      <vt:lpstr>'RES_el-GR'!dbRegression_LblChkBox</vt:lpstr>
      <vt:lpstr>'RES_en-US'!dbRegression_LblChkBox</vt:lpstr>
      <vt:lpstr>'RES_es-ES'!dbRegression_LblChkBox</vt:lpstr>
      <vt:lpstr>'RES_fi-FI'!dbRegression_LblChkBox</vt:lpstr>
      <vt:lpstr>'RES_fr-FR'!dbRegression_LblChkBox</vt:lpstr>
      <vt:lpstr>'RES_hr-HR'!dbRegression_LblChkBox</vt:lpstr>
      <vt:lpstr>'RES_hu-HU'!dbRegression_LblChkBox</vt:lpstr>
      <vt:lpstr>'RES_it-IT'!dbRegression_LblChkBox</vt:lpstr>
      <vt:lpstr>'RES_ja-JP'!dbRegression_LblChkBox</vt:lpstr>
      <vt:lpstr>'RES_ko-KR'!dbRegression_LblChkBox</vt:lpstr>
      <vt:lpstr>'RES_lv-LV'!dbRegression_LblChkBox</vt:lpstr>
      <vt:lpstr>'RES_nb-NO'!dbRegression_LblChkBox</vt:lpstr>
      <vt:lpstr>'RES_nl-NL'!dbRegression_LblChkBox</vt:lpstr>
      <vt:lpstr>'RES_pl-PL'!dbRegression_LblChkBox</vt:lpstr>
      <vt:lpstr>'RES_pt-BR'!dbRegression_LblChkBox</vt:lpstr>
      <vt:lpstr>'RES_pt-PT'!dbRegression_LblChkBox</vt:lpstr>
      <vt:lpstr>'RES_ro-RO'!dbRegression_LblChkBox</vt:lpstr>
      <vt:lpstr>'RES_ru-RU'!dbRegression_LblChkBox</vt:lpstr>
      <vt:lpstr>'RES_sl-SI'!dbRegression_LblChkBox</vt:lpstr>
      <vt:lpstr>'RES_sv-SE'!dbRegression_LblChkBox</vt:lpstr>
      <vt:lpstr>'RES_tr-TR'!dbRegression_LblChkBox</vt:lpstr>
      <vt:lpstr>'RES_zh-CN'!dbRegression_LblChkBox</vt:lpstr>
      <vt:lpstr>'RES_zh-TW'!dbRegression_LblChkBox</vt:lpstr>
      <vt:lpstr>'RES_cs-CZ'!dbRegression_Lchart</vt:lpstr>
      <vt:lpstr>'RES_da-DK'!dbRegression_Lchart</vt:lpstr>
      <vt:lpstr>'RES_de-DE'!dbRegression_Lchart</vt:lpstr>
      <vt:lpstr>'RES_el-GR'!dbRegression_Lchart</vt:lpstr>
      <vt:lpstr>'RES_en-US'!dbRegression_Lchart</vt:lpstr>
      <vt:lpstr>'RES_es-ES'!dbRegression_Lchart</vt:lpstr>
      <vt:lpstr>'RES_fi-FI'!dbRegression_Lchart</vt:lpstr>
      <vt:lpstr>'RES_fr-FR'!dbRegression_Lchart</vt:lpstr>
      <vt:lpstr>'RES_hr-HR'!dbRegression_Lchart</vt:lpstr>
      <vt:lpstr>'RES_hu-HU'!dbRegression_Lchart</vt:lpstr>
      <vt:lpstr>'RES_it-IT'!dbRegression_Lchart</vt:lpstr>
      <vt:lpstr>'RES_ja-JP'!dbRegression_Lchart</vt:lpstr>
      <vt:lpstr>'RES_ko-KR'!dbRegression_Lchart</vt:lpstr>
      <vt:lpstr>'RES_lv-LV'!dbRegression_Lchart</vt:lpstr>
      <vt:lpstr>'RES_nb-NO'!dbRegression_Lchart</vt:lpstr>
      <vt:lpstr>'RES_nl-NL'!dbRegression_Lchart</vt:lpstr>
      <vt:lpstr>'RES_pl-PL'!dbRegression_Lchart</vt:lpstr>
      <vt:lpstr>'RES_pt-BR'!dbRegression_Lchart</vt:lpstr>
      <vt:lpstr>'RES_pt-PT'!dbRegression_Lchart</vt:lpstr>
      <vt:lpstr>'RES_ro-RO'!dbRegression_Lchart</vt:lpstr>
      <vt:lpstr>'RES_ru-RU'!dbRegression_Lchart</vt:lpstr>
      <vt:lpstr>'RES_sl-SI'!dbRegression_Lchart</vt:lpstr>
      <vt:lpstr>'RES_sv-SE'!dbRegression_Lchart</vt:lpstr>
      <vt:lpstr>'RES_tr-TR'!dbRegression_Lchart</vt:lpstr>
      <vt:lpstr>'RES_zh-CN'!dbRegression_Lchart</vt:lpstr>
      <vt:lpstr>'RES_zh-TW'!dbRegression_Lchart</vt:lpstr>
      <vt:lpstr>'RES_cs-CZ'!dbRegression_OutOption</vt:lpstr>
      <vt:lpstr>'RES_da-DK'!dbRegression_OutOption</vt:lpstr>
      <vt:lpstr>'RES_de-DE'!dbRegression_OutOption</vt:lpstr>
      <vt:lpstr>'RES_el-GR'!dbRegression_OutOption</vt:lpstr>
      <vt:lpstr>'RES_en-US'!dbRegression_OutOption</vt:lpstr>
      <vt:lpstr>'RES_es-ES'!dbRegression_OutOption</vt:lpstr>
      <vt:lpstr>'RES_fi-FI'!dbRegression_OutOption</vt:lpstr>
      <vt:lpstr>'RES_fr-FR'!dbRegression_OutOption</vt:lpstr>
      <vt:lpstr>'RES_hr-HR'!dbRegression_OutOption</vt:lpstr>
      <vt:lpstr>'RES_hu-HU'!dbRegression_OutOption</vt:lpstr>
      <vt:lpstr>'RES_it-IT'!dbRegression_OutOption</vt:lpstr>
      <vt:lpstr>'RES_ja-JP'!dbRegression_OutOption</vt:lpstr>
      <vt:lpstr>'RES_ko-KR'!dbRegression_OutOption</vt:lpstr>
      <vt:lpstr>'RES_lv-LV'!dbRegression_OutOption</vt:lpstr>
      <vt:lpstr>'RES_nb-NO'!dbRegression_OutOption</vt:lpstr>
      <vt:lpstr>'RES_nl-NL'!dbRegression_OutOption</vt:lpstr>
      <vt:lpstr>'RES_pl-PL'!dbRegression_OutOption</vt:lpstr>
      <vt:lpstr>'RES_pt-BR'!dbRegression_OutOption</vt:lpstr>
      <vt:lpstr>'RES_pt-PT'!dbRegression_OutOption</vt:lpstr>
      <vt:lpstr>'RES_ro-RO'!dbRegression_OutOption</vt:lpstr>
      <vt:lpstr>'RES_ru-RU'!dbRegression_OutOption</vt:lpstr>
      <vt:lpstr>'RES_sl-SI'!dbRegression_OutOption</vt:lpstr>
      <vt:lpstr>'RES_sv-SE'!dbRegression_OutOption</vt:lpstr>
      <vt:lpstr>'RES_tr-TR'!dbRegression_OutOption</vt:lpstr>
      <vt:lpstr>'RES_zh-CN'!dbRegression_OutOption</vt:lpstr>
      <vt:lpstr>'RES_zh-TW'!dbRegression_OutOption</vt:lpstr>
      <vt:lpstr>'RES_cs-CZ'!dbRegression_Pchart</vt:lpstr>
      <vt:lpstr>'RES_da-DK'!dbRegression_Pchart</vt:lpstr>
      <vt:lpstr>'RES_de-DE'!dbRegression_Pchart</vt:lpstr>
      <vt:lpstr>'RES_el-GR'!dbRegression_Pchart</vt:lpstr>
      <vt:lpstr>'RES_en-US'!dbRegression_Pchart</vt:lpstr>
      <vt:lpstr>'RES_es-ES'!dbRegression_Pchart</vt:lpstr>
      <vt:lpstr>'RES_fi-FI'!dbRegression_Pchart</vt:lpstr>
      <vt:lpstr>'RES_fr-FR'!dbRegression_Pchart</vt:lpstr>
      <vt:lpstr>'RES_hr-HR'!dbRegression_Pchart</vt:lpstr>
      <vt:lpstr>'RES_hu-HU'!dbRegression_Pchart</vt:lpstr>
      <vt:lpstr>'RES_it-IT'!dbRegression_Pchart</vt:lpstr>
      <vt:lpstr>'RES_ja-JP'!dbRegression_Pchart</vt:lpstr>
      <vt:lpstr>'RES_ko-KR'!dbRegression_Pchart</vt:lpstr>
      <vt:lpstr>'RES_lv-LV'!dbRegression_Pchart</vt:lpstr>
      <vt:lpstr>'RES_nb-NO'!dbRegression_Pchart</vt:lpstr>
      <vt:lpstr>'RES_nl-NL'!dbRegression_Pchart</vt:lpstr>
      <vt:lpstr>'RES_pl-PL'!dbRegression_Pchart</vt:lpstr>
      <vt:lpstr>'RES_pt-BR'!dbRegression_Pchart</vt:lpstr>
      <vt:lpstr>'RES_pt-PT'!dbRegression_Pchart</vt:lpstr>
      <vt:lpstr>'RES_ro-RO'!dbRegression_Pchart</vt:lpstr>
      <vt:lpstr>'RES_ru-RU'!dbRegression_Pchart</vt:lpstr>
      <vt:lpstr>'RES_sl-SI'!dbRegression_Pchart</vt:lpstr>
      <vt:lpstr>'RES_sv-SE'!dbRegression_Pchart</vt:lpstr>
      <vt:lpstr>'RES_tr-TR'!dbRegression_Pchart</vt:lpstr>
      <vt:lpstr>'RES_zh-CN'!dbRegression_Pchart</vt:lpstr>
      <vt:lpstr>'RES_zh-TW'!dbRegression_Pchart</vt:lpstr>
      <vt:lpstr>'RES_cs-CZ'!dbRegression_PlyInpFld</vt:lpstr>
      <vt:lpstr>'RES_da-DK'!dbRegression_PlyInpFld</vt:lpstr>
      <vt:lpstr>'RES_de-DE'!dbRegression_PlyInpFld</vt:lpstr>
      <vt:lpstr>'RES_el-GR'!dbRegression_PlyInpFld</vt:lpstr>
      <vt:lpstr>'RES_en-US'!dbRegression_PlyInpFld</vt:lpstr>
      <vt:lpstr>'RES_es-ES'!dbRegression_PlyInpFld</vt:lpstr>
      <vt:lpstr>'RES_fi-FI'!dbRegression_PlyInpFld</vt:lpstr>
      <vt:lpstr>'RES_fr-FR'!dbRegression_PlyInpFld</vt:lpstr>
      <vt:lpstr>'RES_hr-HR'!dbRegression_PlyInpFld</vt:lpstr>
      <vt:lpstr>'RES_hu-HU'!dbRegression_PlyInpFld</vt:lpstr>
      <vt:lpstr>'RES_it-IT'!dbRegression_PlyInpFld</vt:lpstr>
      <vt:lpstr>'RES_ja-JP'!dbRegression_PlyInpFld</vt:lpstr>
      <vt:lpstr>'RES_ko-KR'!dbRegression_PlyInpFld</vt:lpstr>
      <vt:lpstr>'RES_lv-LV'!dbRegression_PlyInpFld</vt:lpstr>
      <vt:lpstr>'RES_nb-NO'!dbRegression_PlyInpFld</vt:lpstr>
      <vt:lpstr>'RES_nl-NL'!dbRegression_PlyInpFld</vt:lpstr>
      <vt:lpstr>'RES_pl-PL'!dbRegression_PlyInpFld</vt:lpstr>
      <vt:lpstr>'RES_pt-BR'!dbRegression_PlyInpFld</vt:lpstr>
      <vt:lpstr>'RES_pt-PT'!dbRegression_PlyInpFld</vt:lpstr>
      <vt:lpstr>'RES_ro-RO'!dbRegression_PlyInpFld</vt:lpstr>
      <vt:lpstr>'RES_ru-RU'!dbRegression_PlyInpFld</vt:lpstr>
      <vt:lpstr>'RES_sl-SI'!dbRegression_PlyInpFld</vt:lpstr>
      <vt:lpstr>'RES_sv-SE'!dbRegression_PlyInpFld</vt:lpstr>
      <vt:lpstr>'RES_tr-TR'!dbRegression_PlyInpFld</vt:lpstr>
      <vt:lpstr>'RES_zh-CN'!dbRegression_PlyInpFld</vt:lpstr>
      <vt:lpstr>'RES_zh-TW'!dbRegression_PlyInpFld</vt:lpstr>
      <vt:lpstr>'RES_cs-CZ'!dbRegression_PlyName</vt:lpstr>
      <vt:lpstr>'RES_da-DK'!dbRegression_PlyName</vt:lpstr>
      <vt:lpstr>'RES_de-DE'!dbRegression_PlyName</vt:lpstr>
      <vt:lpstr>'RES_el-GR'!dbRegression_PlyName</vt:lpstr>
      <vt:lpstr>'RES_en-US'!dbRegression_PlyName</vt:lpstr>
      <vt:lpstr>'RES_es-ES'!dbRegression_PlyName</vt:lpstr>
      <vt:lpstr>'RES_fi-FI'!dbRegression_PlyName</vt:lpstr>
      <vt:lpstr>'RES_fr-FR'!dbRegression_PlyName</vt:lpstr>
      <vt:lpstr>'RES_hr-HR'!dbRegression_PlyName</vt:lpstr>
      <vt:lpstr>'RES_hu-HU'!dbRegression_PlyName</vt:lpstr>
      <vt:lpstr>'RES_it-IT'!dbRegression_PlyName</vt:lpstr>
      <vt:lpstr>'RES_ja-JP'!dbRegression_PlyName</vt:lpstr>
      <vt:lpstr>'RES_ko-KR'!dbRegression_PlyName</vt:lpstr>
      <vt:lpstr>'RES_lv-LV'!dbRegression_PlyName</vt:lpstr>
      <vt:lpstr>'RES_nb-NO'!dbRegression_PlyName</vt:lpstr>
      <vt:lpstr>'RES_nl-NL'!dbRegression_PlyName</vt:lpstr>
      <vt:lpstr>'RES_pl-PL'!dbRegression_PlyName</vt:lpstr>
      <vt:lpstr>'RES_pt-BR'!dbRegression_PlyName</vt:lpstr>
      <vt:lpstr>'RES_pt-PT'!dbRegression_PlyName</vt:lpstr>
      <vt:lpstr>'RES_ro-RO'!dbRegression_PlyName</vt:lpstr>
      <vt:lpstr>'RES_ru-RU'!dbRegression_PlyName</vt:lpstr>
      <vt:lpstr>'RES_sl-SI'!dbRegression_PlyName</vt:lpstr>
      <vt:lpstr>'RES_sv-SE'!dbRegression_PlyName</vt:lpstr>
      <vt:lpstr>'RES_tr-TR'!dbRegression_PlyName</vt:lpstr>
      <vt:lpstr>'RES_zh-CN'!dbRegression_PlyName</vt:lpstr>
      <vt:lpstr>'RES_zh-TW'!dbRegression_PlyName</vt:lpstr>
      <vt:lpstr>'RES_cs-CZ'!dbRegression_RangeInpFld</vt:lpstr>
      <vt:lpstr>'RES_da-DK'!dbRegression_RangeInpFld</vt:lpstr>
      <vt:lpstr>'RES_de-DE'!dbRegression_RangeInpFld</vt:lpstr>
      <vt:lpstr>'RES_el-GR'!dbRegression_RangeInpFld</vt:lpstr>
      <vt:lpstr>'RES_en-US'!dbRegression_RangeInpFld</vt:lpstr>
      <vt:lpstr>'RES_es-ES'!dbRegression_RangeInpFld</vt:lpstr>
      <vt:lpstr>'RES_fi-FI'!dbRegression_RangeInpFld</vt:lpstr>
      <vt:lpstr>'RES_fr-FR'!dbRegression_RangeInpFld</vt:lpstr>
      <vt:lpstr>'RES_hr-HR'!dbRegression_RangeInpFld</vt:lpstr>
      <vt:lpstr>'RES_hu-HU'!dbRegression_RangeInpFld</vt:lpstr>
      <vt:lpstr>'RES_it-IT'!dbRegression_RangeInpFld</vt:lpstr>
      <vt:lpstr>'RES_ja-JP'!dbRegression_RangeInpFld</vt:lpstr>
      <vt:lpstr>'RES_ko-KR'!dbRegression_RangeInpFld</vt:lpstr>
      <vt:lpstr>'RES_lv-LV'!dbRegression_RangeInpFld</vt:lpstr>
      <vt:lpstr>'RES_nb-NO'!dbRegression_RangeInpFld</vt:lpstr>
      <vt:lpstr>'RES_nl-NL'!dbRegression_RangeInpFld</vt:lpstr>
      <vt:lpstr>'RES_pl-PL'!dbRegression_RangeInpFld</vt:lpstr>
      <vt:lpstr>'RES_pt-BR'!dbRegression_RangeInpFld</vt:lpstr>
      <vt:lpstr>'RES_pt-PT'!dbRegression_RangeInpFld</vt:lpstr>
      <vt:lpstr>'RES_ro-RO'!dbRegression_RangeInpFld</vt:lpstr>
      <vt:lpstr>'RES_ru-RU'!dbRegression_RangeInpFld</vt:lpstr>
      <vt:lpstr>'RES_sl-SI'!dbRegression_RangeInpFld</vt:lpstr>
      <vt:lpstr>'RES_sv-SE'!dbRegression_RangeInpFld</vt:lpstr>
      <vt:lpstr>'RES_tr-TR'!dbRegression_RangeInpFld</vt:lpstr>
      <vt:lpstr>'RES_zh-CN'!dbRegression_RangeInpFld</vt:lpstr>
      <vt:lpstr>'RES_zh-TW'!dbRegression_RangeInpFld</vt:lpstr>
      <vt:lpstr>'RES_cs-CZ'!dbRegression_RangeRef</vt:lpstr>
      <vt:lpstr>'RES_da-DK'!dbRegression_RangeRef</vt:lpstr>
      <vt:lpstr>'RES_de-DE'!dbRegression_RangeRef</vt:lpstr>
      <vt:lpstr>'RES_el-GR'!dbRegression_RangeRef</vt:lpstr>
      <vt:lpstr>'RES_en-US'!dbRegression_RangeRef</vt:lpstr>
      <vt:lpstr>'RES_es-ES'!dbRegression_RangeRef</vt:lpstr>
      <vt:lpstr>'RES_fi-FI'!dbRegression_RangeRef</vt:lpstr>
      <vt:lpstr>'RES_fr-FR'!dbRegression_RangeRef</vt:lpstr>
      <vt:lpstr>'RES_hr-HR'!dbRegression_RangeRef</vt:lpstr>
      <vt:lpstr>'RES_hu-HU'!dbRegression_RangeRef</vt:lpstr>
      <vt:lpstr>'RES_it-IT'!dbRegression_RangeRef</vt:lpstr>
      <vt:lpstr>'RES_ja-JP'!dbRegression_RangeRef</vt:lpstr>
      <vt:lpstr>'RES_ko-KR'!dbRegression_RangeRef</vt:lpstr>
      <vt:lpstr>'RES_lv-LV'!dbRegression_RangeRef</vt:lpstr>
      <vt:lpstr>'RES_nb-NO'!dbRegression_RangeRef</vt:lpstr>
      <vt:lpstr>'RES_nl-NL'!dbRegression_RangeRef</vt:lpstr>
      <vt:lpstr>'RES_pl-PL'!dbRegression_RangeRef</vt:lpstr>
      <vt:lpstr>'RES_pt-BR'!dbRegression_RangeRef</vt:lpstr>
      <vt:lpstr>'RES_pt-PT'!dbRegression_RangeRef</vt:lpstr>
      <vt:lpstr>'RES_ro-RO'!dbRegression_RangeRef</vt:lpstr>
      <vt:lpstr>'RES_ru-RU'!dbRegression_RangeRef</vt:lpstr>
      <vt:lpstr>'RES_sl-SI'!dbRegression_RangeRef</vt:lpstr>
      <vt:lpstr>'RES_sv-SE'!dbRegression_RangeRef</vt:lpstr>
      <vt:lpstr>'RES_tr-TR'!dbRegression_RangeRef</vt:lpstr>
      <vt:lpstr>'RES_zh-CN'!dbRegression_RangeRef</vt:lpstr>
      <vt:lpstr>'RES_zh-TW'!dbRegression_RangeRef</vt:lpstr>
      <vt:lpstr>'RES_cs-CZ'!dbRegression_Rchart</vt:lpstr>
      <vt:lpstr>'RES_da-DK'!dbRegression_Rchart</vt:lpstr>
      <vt:lpstr>'RES_de-DE'!dbRegression_Rchart</vt:lpstr>
      <vt:lpstr>'RES_el-GR'!dbRegression_Rchart</vt:lpstr>
      <vt:lpstr>'RES_en-US'!dbRegression_Rchart</vt:lpstr>
      <vt:lpstr>'RES_es-ES'!dbRegression_Rchart</vt:lpstr>
      <vt:lpstr>'RES_fi-FI'!dbRegression_Rchart</vt:lpstr>
      <vt:lpstr>'RES_fr-FR'!dbRegression_Rchart</vt:lpstr>
      <vt:lpstr>'RES_hr-HR'!dbRegression_Rchart</vt:lpstr>
      <vt:lpstr>'RES_hu-HU'!dbRegression_Rchart</vt:lpstr>
      <vt:lpstr>'RES_it-IT'!dbRegression_Rchart</vt:lpstr>
      <vt:lpstr>'RES_ja-JP'!dbRegression_Rchart</vt:lpstr>
      <vt:lpstr>'RES_ko-KR'!dbRegression_Rchart</vt:lpstr>
      <vt:lpstr>'RES_lv-LV'!dbRegression_Rchart</vt:lpstr>
      <vt:lpstr>'RES_nb-NO'!dbRegression_Rchart</vt:lpstr>
      <vt:lpstr>'RES_nl-NL'!dbRegression_Rchart</vt:lpstr>
      <vt:lpstr>'RES_pl-PL'!dbRegression_Rchart</vt:lpstr>
      <vt:lpstr>'RES_pt-BR'!dbRegression_Rchart</vt:lpstr>
      <vt:lpstr>'RES_pt-PT'!dbRegression_Rchart</vt:lpstr>
      <vt:lpstr>'RES_ro-RO'!dbRegression_Rchart</vt:lpstr>
      <vt:lpstr>'RES_ru-RU'!dbRegression_Rchart</vt:lpstr>
      <vt:lpstr>'RES_sl-SI'!dbRegression_Rchart</vt:lpstr>
      <vt:lpstr>'RES_sv-SE'!dbRegression_Rchart</vt:lpstr>
      <vt:lpstr>'RES_tr-TR'!dbRegression_Rchart</vt:lpstr>
      <vt:lpstr>'RES_zh-CN'!dbRegression_Rchart</vt:lpstr>
      <vt:lpstr>'RES_zh-TW'!dbRegression_Rchart</vt:lpstr>
      <vt:lpstr>'RES_cs-CZ'!dbRegression_ResidChkBox</vt:lpstr>
      <vt:lpstr>'RES_da-DK'!dbRegression_ResidChkBox</vt:lpstr>
      <vt:lpstr>'RES_de-DE'!dbRegression_ResidChkBox</vt:lpstr>
      <vt:lpstr>'RES_el-GR'!dbRegression_ResidChkBox</vt:lpstr>
      <vt:lpstr>'RES_en-US'!dbRegression_ResidChkBox</vt:lpstr>
      <vt:lpstr>'RES_es-ES'!dbRegression_ResidChkBox</vt:lpstr>
      <vt:lpstr>'RES_fi-FI'!dbRegression_ResidChkBox</vt:lpstr>
      <vt:lpstr>'RES_fr-FR'!dbRegression_ResidChkBox</vt:lpstr>
      <vt:lpstr>'RES_hr-HR'!dbRegression_ResidChkBox</vt:lpstr>
      <vt:lpstr>'RES_hu-HU'!dbRegression_ResidChkBox</vt:lpstr>
      <vt:lpstr>'RES_it-IT'!dbRegression_ResidChkBox</vt:lpstr>
      <vt:lpstr>'RES_ja-JP'!dbRegression_ResidChkBox</vt:lpstr>
      <vt:lpstr>'RES_ko-KR'!dbRegression_ResidChkBox</vt:lpstr>
      <vt:lpstr>'RES_lv-LV'!dbRegression_ResidChkBox</vt:lpstr>
      <vt:lpstr>'RES_nb-NO'!dbRegression_ResidChkBox</vt:lpstr>
      <vt:lpstr>'RES_nl-NL'!dbRegression_ResidChkBox</vt:lpstr>
      <vt:lpstr>'RES_pl-PL'!dbRegression_ResidChkBox</vt:lpstr>
      <vt:lpstr>'RES_pt-BR'!dbRegression_ResidChkBox</vt:lpstr>
      <vt:lpstr>'RES_pt-PT'!dbRegression_ResidChkBox</vt:lpstr>
      <vt:lpstr>'RES_ro-RO'!dbRegression_ResidChkBox</vt:lpstr>
      <vt:lpstr>'RES_ru-RU'!dbRegression_ResidChkBox</vt:lpstr>
      <vt:lpstr>'RES_sl-SI'!dbRegression_ResidChkBox</vt:lpstr>
      <vt:lpstr>'RES_sv-SE'!dbRegression_ResidChkBox</vt:lpstr>
      <vt:lpstr>'RES_tr-TR'!dbRegression_ResidChkBox</vt:lpstr>
      <vt:lpstr>'RES_zh-CN'!dbRegression_ResidChkBox</vt:lpstr>
      <vt:lpstr>'RES_zh-TW'!dbRegression_ResidChkBox</vt:lpstr>
      <vt:lpstr>'RES_cs-CZ'!dbRegression_StdResidChkBox</vt:lpstr>
      <vt:lpstr>'RES_da-DK'!dbRegression_StdResidChkBox</vt:lpstr>
      <vt:lpstr>'RES_de-DE'!dbRegression_StdResidChkBox</vt:lpstr>
      <vt:lpstr>'RES_el-GR'!dbRegression_StdResidChkBox</vt:lpstr>
      <vt:lpstr>'RES_en-US'!dbRegression_StdResidChkBox</vt:lpstr>
      <vt:lpstr>'RES_es-ES'!dbRegression_StdResidChkBox</vt:lpstr>
      <vt:lpstr>'RES_fi-FI'!dbRegression_StdResidChkBox</vt:lpstr>
      <vt:lpstr>'RES_fr-FR'!dbRegression_StdResidChkBox</vt:lpstr>
      <vt:lpstr>'RES_hr-HR'!dbRegression_StdResidChkBox</vt:lpstr>
      <vt:lpstr>'RES_hu-HU'!dbRegression_StdResidChkBox</vt:lpstr>
      <vt:lpstr>'RES_it-IT'!dbRegression_StdResidChkBox</vt:lpstr>
      <vt:lpstr>'RES_ja-JP'!dbRegression_StdResidChkBox</vt:lpstr>
      <vt:lpstr>'RES_ko-KR'!dbRegression_StdResidChkBox</vt:lpstr>
      <vt:lpstr>'RES_lv-LV'!dbRegression_StdResidChkBox</vt:lpstr>
      <vt:lpstr>'RES_nb-NO'!dbRegression_StdResidChkBox</vt:lpstr>
      <vt:lpstr>'RES_nl-NL'!dbRegression_StdResidChkBox</vt:lpstr>
      <vt:lpstr>'RES_pl-PL'!dbRegression_StdResidChkBox</vt:lpstr>
      <vt:lpstr>'RES_pt-BR'!dbRegression_StdResidChkBox</vt:lpstr>
      <vt:lpstr>'RES_pt-PT'!dbRegression_StdResidChkBox</vt:lpstr>
      <vt:lpstr>'RES_ro-RO'!dbRegression_StdResidChkBox</vt:lpstr>
      <vt:lpstr>'RES_ru-RU'!dbRegression_StdResidChkBox</vt:lpstr>
      <vt:lpstr>'RES_sl-SI'!dbRegression_StdResidChkBox</vt:lpstr>
      <vt:lpstr>'RES_sv-SE'!dbRegression_StdResidChkBox</vt:lpstr>
      <vt:lpstr>'RES_tr-TR'!dbRegression_StdResidChkBox</vt:lpstr>
      <vt:lpstr>'RES_zh-CN'!dbRegression_StdResidChkBox</vt:lpstr>
      <vt:lpstr>'RES_zh-TW'!dbRegression_StdResidChkBox</vt:lpstr>
      <vt:lpstr>'RES_cs-CZ'!dbRegression_XRange</vt:lpstr>
      <vt:lpstr>'RES_da-DK'!dbRegression_XRange</vt:lpstr>
      <vt:lpstr>'RES_de-DE'!dbRegression_XRange</vt:lpstr>
      <vt:lpstr>'RES_el-GR'!dbRegression_XRange</vt:lpstr>
      <vt:lpstr>'RES_en-US'!dbRegression_XRange</vt:lpstr>
      <vt:lpstr>'RES_es-ES'!dbRegression_XRange</vt:lpstr>
      <vt:lpstr>'RES_fi-FI'!dbRegression_XRange</vt:lpstr>
      <vt:lpstr>'RES_fr-FR'!dbRegression_XRange</vt:lpstr>
      <vt:lpstr>'RES_hr-HR'!dbRegression_XRange</vt:lpstr>
      <vt:lpstr>'RES_hu-HU'!dbRegression_XRange</vt:lpstr>
      <vt:lpstr>'RES_it-IT'!dbRegression_XRange</vt:lpstr>
      <vt:lpstr>'RES_ja-JP'!dbRegression_XRange</vt:lpstr>
      <vt:lpstr>'RES_ko-KR'!dbRegression_XRange</vt:lpstr>
      <vt:lpstr>'RES_lv-LV'!dbRegression_XRange</vt:lpstr>
      <vt:lpstr>'RES_nb-NO'!dbRegression_XRange</vt:lpstr>
      <vt:lpstr>'RES_nl-NL'!dbRegression_XRange</vt:lpstr>
      <vt:lpstr>'RES_pl-PL'!dbRegression_XRange</vt:lpstr>
      <vt:lpstr>'RES_pt-BR'!dbRegression_XRange</vt:lpstr>
      <vt:lpstr>'RES_pt-PT'!dbRegression_XRange</vt:lpstr>
      <vt:lpstr>'RES_ro-RO'!dbRegression_XRange</vt:lpstr>
      <vt:lpstr>'RES_ru-RU'!dbRegression_XRange</vt:lpstr>
      <vt:lpstr>'RES_sl-SI'!dbRegression_XRange</vt:lpstr>
      <vt:lpstr>'RES_sv-SE'!dbRegression_XRange</vt:lpstr>
      <vt:lpstr>'RES_tr-TR'!dbRegression_XRange</vt:lpstr>
      <vt:lpstr>'RES_zh-CN'!dbRegression_XRange</vt:lpstr>
      <vt:lpstr>'RES_zh-TW'!dbRegression_XRange</vt:lpstr>
      <vt:lpstr>'RES_cs-CZ'!dbRegression_YRange</vt:lpstr>
      <vt:lpstr>'RES_da-DK'!dbRegression_YRange</vt:lpstr>
      <vt:lpstr>'RES_de-DE'!dbRegression_YRange</vt:lpstr>
      <vt:lpstr>'RES_el-GR'!dbRegression_YRange</vt:lpstr>
      <vt:lpstr>'RES_en-US'!dbRegression_YRange</vt:lpstr>
      <vt:lpstr>'RES_es-ES'!dbRegression_YRange</vt:lpstr>
      <vt:lpstr>'RES_fi-FI'!dbRegression_YRange</vt:lpstr>
      <vt:lpstr>'RES_fr-FR'!dbRegression_YRange</vt:lpstr>
      <vt:lpstr>'RES_hr-HR'!dbRegression_YRange</vt:lpstr>
      <vt:lpstr>'RES_hu-HU'!dbRegression_YRange</vt:lpstr>
      <vt:lpstr>'RES_it-IT'!dbRegression_YRange</vt:lpstr>
      <vt:lpstr>'RES_ja-JP'!dbRegression_YRange</vt:lpstr>
      <vt:lpstr>'RES_ko-KR'!dbRegression_YRange</vt:lpstr>
      <vt:lpstr>'RES_lv-LV'!dbRegression_YRange</vt:lpstr>
      <vt:lpstr>'RES_nb-NO'!dbRegression_YRange</vt:lpstr>
      <vt:lpstr>'RES_nl-NL'!dbRegression_YRange</vt:lpstr>
      <vt:lpstr>'RES_pl-PL'!dbRegression_YRange</vt:lpstr>
      <vt:lpstr>'RES_pt-BR'!dbRegression_YRange</vt:lpstr>
      <vt:lpstr>'RES_pt-PT'!dbRegression_YRange</vt:lpstr>
      <vt:lpstr>'RES_ro-RO'!dbRegression_YRange</vt:lpstr>
      <vt:lpstr>'RES_ru-RU'!dbRegression_YRange</vt:lpstr>
      <vt:lpstr>'RES_sl-SI'!dbRegression_YRange</vt:lpstr>
      <vt:lpstr>'RES_sv-SE'!dbRegression_YRange</vt:lpstr>
      <vt:lpstr>'RES_tr-TR'!dbRegression_YRange</vt:lpstr>
      <vt:lpstr>'RES_zh-CN'!dbRegression_YRange</vt:lpstr>
      <vt:lpstr>'RES_zh-TW'!dbRegression_YRange</vt:lpstr>
      <vt:lpstr>'RES_cs-CZ'!dbRegressionTitle</vt:lpstr>
      <vt:lpstr>'RES_da-DK'!dbRegressionTitle</vt:lpstr>
      <vt:lpstr>'RES_de-DE'!dbRegressionTitle</vt:lpstr>
      <vt:lpstr>'RES_el-GR'!dbRegressionTitle</vt:lpstr>
      <vt:lpstr>'RES_en-US'!dbRegressionTitle</vt:lpstr>
      <vt:lpstr>'RES_es-ES'!dbRegressionTitle</vt:lpstr>
      <vt:lpstr>'RES_fi-FI'!dbRegressionTitle</vt:lpstr>
      <vt:lpstr>'RES_fr-FR'!dbRegressionTitle</vt:lpstr>
      <vt:lpstr>'RES_hr-HR'!dbRegressionTitle</vt:lpstr>
      <vt:lpstr>'RES_hu-HU'!dbRegressionTitle</vt:lpstr>
      <vt:lpstr>'RES_it-IT'!dbRegressionTitle</vt:lpstr>
      <vt:lpstr>'RES_ja-JP'!dbRegressionTitle</vt:lpstr>
      <vt:lpstr>'RES_ko-KR'!dbRegressionTitle</vt:lpstr>
      <vt:lpstr>'RES_lv-LV'!dbRegressionTitle</vt:lpstr>
      <vt:lpstr>'RES_nb-NO'!dbRegressionTitle</vt:lpstr>
      <vt:lpstr>'RES_nl-NL'!dbRegressionTitle</vt:lpstr>
      <vt:lpstr>'RES_pl-PL'!dbRegressionTitle</vt:lpstr>
      <vt:lpstr>'RES_pt-BR'!dbRegressionTitle</vt:lpstr>
      <vt:lpstr>'RES_pt-PT'!dbRegressionTitle</vt:lpstr>
      <vt:lpstr>'RES_ro-RO'!dbRegressionTitle</vt:lpstr>
      <vt:lpstr>'RES_ru-RU'!dbRegressionTitle</vt:lpstr>
      <vt:lpstr>'RES_sl-SI'!dbRegressionTitle</vt:lpstr>
      <vt:lpstr>'RES_sv-SE'!dbRegressionTitle</vt:lpstr>
      <vt:lpstr>'RES_tr-TR'!dbRegressionTitle</vt:lpstr>
      <vt:lpstr>'RES_zh-CN'!dbRegressionTitle</vt:lpstr>
      <vt:lpstr>'RES_zh-TW'!dbRegressionTitle</vt:lpstr>
      <vt:lpstr>'RES_cs-CZ'!dbSampling</vt:lpstr>
      <vt:lpstr>'RES_da-DK'!dbSampling</vt:lpstr>
      <vt:lpstr>'RES_de-DE'!dbSampling</vt:lpstr>
      <vt:lpstr>'RES_el-GR'!dbSampling</vt:lpstr>
      <vt:lpstr>'RES_en-US'!dbSampling</vt:lpstr>
      <vt:lpstr>'RES_es-ES'!dbSampling</vt:lpstr>
      <vt:lpstr>'RES_fi-FI'!dbSampling</vt:lpstr>
      <vt:lpstr>'RES_fr-FR'!dbSampling</vt:lpstr>
      <vt:lpstr>'RES_hr-HR'!dbSampling</vt:lpstr>
      <vt:lpstr>'RES_hu-HU'!dbSampling</vt:lpstr>
      <vt:lpstr>'RES_it-IT'!dbSampling</vt:lpstr>
      <vt:lpstr>'RES_ja-JP'!dbSampling</vt:lpstr>
      <vt:lpstr>'RES_ko-KR'!dbSampling</vt:lpstr>
      <vt:lpstr>'RES_lv-LV'!dbSampling</vt:lpstr>
      <vt:lpstr>'RES_nb-NO'!dbSampling</vt:lpstr>
      <vt:lpstr>'RES_nl-NL'!dbSampling</vt:lpstr>
      <vt:lpstr>'RES_pl-PL'!dbSampling</vt:lpstr>
      <vt:lpstr>'RES_pt-BR'!dbSampling</vt:lpstr>
      <vt:lpstr>'RES_pt-PT'!dbSampling</vt:lpstr>
      <vt:lpstr>'RES_ro-RO'!dbSampling</vt:lpstr>
      <vt:lpstr>'RES_ru-RU'!dbSampling</vt:lpstr>
      <vt:lpstr>'RES_sl-SI'!dbSampling</vt:lpstr>
      <vt:lpstr>'RES_sv-SE'!dbSampling</vt:lpstr>
      <vt:lpstr>'RES_tr-TR'!dbSampling</vt:lpstr>
      <vt:lpstr>'RES_zh-CN'!dbSampling</vt:lpstr>
      <vt:lpstr>'RES_zh-TW'!dbSampling</vt:lpstr>
      <vt:lpstr>'RES_cs-CZ'!dbSampling_InRange</vt:lpstr>
      <vt:lpstr>'RES_da-DK'!dbSampling_InRange</vt:lpstr>
      <vt:lpstr>'RES_de-DE'!dbSampling_InRange</vt:lpstr>
      <vt:lpstr>'RES_el-GR'!dbSampling_InRange</vt:lpstr>
      <vt:lpstr>'RES_en-US'!dbSampling_InRange</vt:lpstr>
      <vt:lpstr>'RES_es-ES'!dbSampling_InRange</vt:lpstr>
      <vt:lpstr>'RES_fi-FI'!dbSampling_InRange</vt:lpstr>
      <vt:lpstr>'RES_fr-FR'!dbSampling_InRange</vt:lpstr>
      <vt:lpstr>'RES_hr-HR'!dbSampling_InRange</vt:lpstr>
      <vt:lpstr>'RES_hu-HU'!dbSampling_InRange</vt:lpstr>
      <vt:lpstr>'RES_it-IT'!dbSampling_InRange</vt:lpstr>
      <vt:lpstr>'RES_ja-JP'!dbSampling_InRange</vt:lpstr>
      <vt:lpstr>'RES_ko-KR'!dbSampling_InRange</vt:lpstr>
      <vt:lpstr>'RES_lv-LV'!dbSampling_InRange</vt:lpstr>
      <vt:lpstr>'RES_nb-NO'!dbSampling_InRange</vt:lpstr>
      <vt:lpstr>'RES_nl-NL'!dbSampling_InRange</vt:lpstr>
      <vt:lpstr>'RES_pl-PL'!dbSampling_InRange</vt:lpstr>
      <vt:lpstr>'RES_pt-BR'!dbSampling_InRange</vt:lpstr>
      <vt:lpstr>'RES_pt-PT'!dbSampling_InRange</vt:lpstr>
      <vt:lpstr>'RES_ro-RO'!dbSampling_InRange</vt:lpstr>
      <vt:lpstr>'RES_ru-RU'!dbSampling_InRange</vt:lpstr>
      <vt:lpstr>'RES_sl-SI'!dbSampling_InRange</vt:lpstr>
      <vt:lpstr>'RES_sv-SE'!dbSampling_InRange</vt:lpstr>
      <vt:lpstr>'RES_tr-TR'!dbSampling_InRange</vt:lpstr>
      <vt:lpstr>'RES_zh-CN'!dbSampling_InRange</vt:lpstr>
      <vt:lpstr>'RES_zh-TW'!dbSampling_InRange</vt:lpstr>
      <vt:lpstr>'RES_cs-CZ'!dbSampling_LblChkBox</vt:lpstr>
      <vt:lpstr>'RES_da-DK'!dbSampling_LblChkBox</vt:lpstr>
      <vt:lpstr>'RES_de-DE'!dbSampling_LblChkBox</vt:lpstr>
      <vt:lpstr>'RES_el-GR'!dbSampling_LblChkBox</vt:lpstr>
      <vt:lpstr>'RES_en-US'!dbSampling_LblChkBox</vt:lpstr>
      <vt:lpstr>'RES_es-ES'!dbSampling_LblChkBox</vt:lpstr>
      <vt:lpstr>'RES_fi-FI'!dbSampling_LblChkBox</vt:lpstr>
      <vt:lpstr>'RES_fr-FR'!dbSampling_LblChkBox</vt:lpstr>
      <vt:lpstr>'RES_hr-HR'!dbSampling_LblChkBox</vt:lpstr>
      <vt:lpstr>'RES_hu-HU'!dbSampling_LblChkBox</vt:lpstr>
      <vt:lpstr>'RES_it-IT'!dbSampling_LblChkBox</vt:lpstr>
      <vt:lpstr>'RES_ja-JP'!dbSampling_LblChkBox</vt:lpstr>
      <vt:lpstr>'RES_ko-KR'!dbSampling_LblChkBox</vt:lpstr>
      <vt:lpstr>'RES_lv-LV'!dbSampling_LblChkBox</vt:lpstr>
      <vt:lpstr>'RES_nb-NO'!dbSampling_LblChkBox</vt:lpstr>
      <vt:lpstr>'RES_nl-NL'!dbSampling_LblChkBox</vt:lpstr>
      <vt:lpstr>'RES_pl-PL'!dbSampling_LblChkBox</vt:lpstr>
      <vt:lpstr>'RES_pt-BR'!dbSampling_LblChkBox</vt:lpstr>
      <vt:lpstr>'RES_pt-PT'!dbSampling_LblChkBox</vt:lpstr>
      <vt:lpstr>'RES_ro-RO'!dbSampling_LblChkBox</vt:lpstr>
      <vt:lpstr>'RES_ru-RU'!dbSampling_LblChkBox</vt:lpstr>
      <vt:lpstr>'RES_sl-SI'!dbSampling_LblChkBox</vt:lpstr>
      <vt:lpstr>'RES_sv-SE'!dbSampling_LblChkBox</vt:lpstr>
      <vt:lpstr>'RES_tr-TR'!dbSampling_LblChkBox</vt:lpstr>
      <vt:lpstr>'RES_zh-CN'!dbSampling_LblChkBox</vt:lpstr>
      <vt:lpstr>'RES_zh-TW'!dbSampling_LblChkBox</vt:lpstr>
      <vt:lpstr>'RES_cs-CZ'!dbSampling_Method</vt:lpstr>
      <vt:lpstr>'RES_da-DK'!dbSampling_Method</vt:lpstr>
      <vt:lpstr>'RES_de-DE'!dbSampling_Method</vt:lpstr>
      <vt:lpstr>'RES_el-GR'!dbSampling_Method</vt:lpstr>
      <vt:lpstr>'RES_en-US'!dbSampling_Method</vt:lpstr>
      <vt:lpstr>'RES_es-ES'!dbSampling_Method</vt:lpstr>
      <vt:lpstr>'RES_fi-FI'!dbSampling_Method</vt:lpstr>
      <vt:lpstr>'RES_fr-FR'!dbSampling_Method</vt:lpstr>
      <vt:lpstr>'RES_hr-HR'!dbSampling_Method</vt:lpstr>
      <vt:lpstr>'RES_hu-HU'!dbSampling_Method</vt:lpstr>
      <vt:lpstr>'RES_it-IT'!dbSampling_Method</vt:lpstr>
      <vt:lpstr>'RES_ja-JP'!dbSampling_Method</vt:lpstr>
      <vt:lpstr>'RES_ko-KR'!dbSampling_Method</vt:lpstr>
      <vt:lpstr>'RES_lv-LV'!dbSampling_Method</vt:lpstr>
      <vt:lpstr>'RES_nb-NO'!dbSampling_Method</vt:lpstr>
      <vt:lpstr>'RES_nl-NL'!dbSampling_Method</vt:lpstr>
      <vt:lpstr>'RES_pl-PL'!dbSampling_Method</vt:lpstr>
      <vt:lpstr>'RES_pt-BR'!dbSampling_Method</vt:lpstr>
      <vt:lpstr>'RES_pt-PT'!dbSampling_Method</vt:lpstr>
      <vt:lpstr>'RES_ro-RO'!dbSampling_Method</vt:lpstr>
      <vt:lpstr>'RES_ru-RU'!dbSampling_Method</vt:lpstr>
      <vt:lpstr>'RES_sl-SI'!dbSampling_Method</vt:lpstr>
      <vt:lpstr>'RES_sv-SE'!dbSampling_Method</vt:lpstr>
      <vt:lpstr>'RES_tr-TR'!dbSampling_Method</vt:lpstr>
      <vt:lpstr>'RES_zh-CN'!dbSampling_Method</vt:lpstr>
      <vt:lpstr>'RES_zh-TW'!dbSampling_Method</vt:lpstr>
      <vt:lpstr>'RES_cs-CZ'!dbSampling_NumOfSamples</vt:lpstr>
      <vt:lpstr>'RES_da-DK'!dbSampling_NumOfSamples</vt:lpstr>
      <vt:lpstr>'RES_de-DE'!dbSampling_NumOfSamples</vt:lpstr>
      <vt:lpstr>'RES_el-GR'!dbSampling_NumOfSamples</vt:lpstr>
      <vt:lpstr>'RES_en-US'!dbSampling_NumOfSamples</vt:lpstr>
      <vt:lpstr>'RES_es-ES'!dbSampling_NumOfSamples</vt:lpstr>
      <vt:lpstr>'RES_fi-FI'!dbSampling_NumOfSamples</vt:lpstr>
      <vt:lpstr>'RES_fr-FR'!dbSampling_NumOfSamples</vt:lpstr>
      <vt:lpstr>'RES_hr-HR'!dbSampling_NumOfSamples</vt:lpstr>
      <vt:lpstr>'RES_hu-HU'!dbSampling_NumOfSamples</vt:lpstr>
      <vt:lpstr>'RES_it-IT'!dbSampling_NumOfSamples</vt:lpstr>
      <vt:lpstr>'RES_ja-JP'!dbSampling_NumOfSamples</vt:lpstr>
      <vt:lpstr>'RES_ko-KR'!dbSampling_NumOfSamples</vt:lpstr>
      <vt:lpstr>'RES_lv-LV'!dbSampling_NumOfSamples</vt:lpstr>
      <vt:lpstr>'RES_nb-NO'!dbSampling_NumOfSamples</vt:lpstr>
      <vt:lpstr>'RES_nl-NL'!dbSampling_NumOfSamples</vt:lpstr>
      <vt:lpstr>'RES_pl-PL'!dbSampling_NumOfSamples</vt:lpstr>
      <vt:lpstr>'RES_pt-BR'!dbSampling_NumOfSamples</vt:lpstr>
      <vt:lpstr>'RES_pt-PT'!dbSampling_NumOfSamples</vt:lpstr>
      <vt:lpstr>'RES_ro-RO'!dbSampling_NumOfSamples</vt:lpstr>
      <vt:lpstr>'RES_ru-RU'!dbSampling_NumOfSamples</vt:lpstr>
      <vt:lpstr>'RES_sl-SI'!dbSampling_NumOfSamples</vt:lpstr>
      <vt:lpstr>'RES_sv-SE'!dbSampling_NumOfSamples</vt:lpstr>
      <vt:lpstr>'RES_tr-TR'!dbSampling_NumOfSamples</vt:lpstr>
      <vt:lpstr>'RES_zh-CN'!dbSampling_NumOfSamples</vt:lpstr>
      <vt:lpstr>'RES_zh-TW'!dbSampling_NumOfSamples</vt:lpstr>
      <vt:lpstr>'RES_cs-CZ'!dbSampling_OutOption</vt:lpstr>
      <vt:lpstr>'RES_da-DK'!dbSampling_OutOption</vt:lpstr>
      <vt:lpstr>'RES_de-DE'!dbSampling_OutOption</vt:lpstr>
      <vt:lpstr>'RES_el-GR'!dbSampling_OutOption</vt:lpstr>
      <vt:lpstr>'RES_en-US'!dbSampling_OutOption</vt:lpstr>
      <vt:lpstr>'RES_es-ES'!dbSampling_OutOption</vt:lpstr>
      <vt:lpstr>'RES_fi-FI'!dbSampling_OutOption</vt:lpstr>
      <vt:lpstr>'RES_fr-FR'!dbSampling_OutOption</vt:lpstr>
      <vt:lpstr>'RES_hr-HR'!dbSampling_OutOption</vt:lpstr>
      <vt:lpstr>'RES_hu-HU'!dbSampling_OutOption</vt:lpstr>
      <vt:lpstr>'RES_it-IT'!dbSampling_OutOption</vt:lpstr>
      <vt:lpstr>'RES_ja-JP'!dbSampling_OutOption</vt:lpstr>
      <vt:lpstr>'RES_ko-KR'!dbSampling_OutOption</vt:lpstr>
      <vt:lpstr>'RES_lv-LV'!dbSampling_OutOption</vt:lpstr>
      <vt:lpstr>'RES_nb-NO'!dbSampling_OutOption</vt:lpstr>
      <vt:lpstr>'RES_nl-NL'!dbSampling_OutOption</vt:lpstr>
      <vt:lpstr>'RES_pl-PL'!dbSampling_OutOption</vt:lpstr>
      <vt:lpstr>'RES_pt-BR'!dbSampling_OutOption</vt:lpstr>
      <vt:lpstr>'RES_pt-PT'!dbSampling_OutOption</vt:lpstr>
      <vt:lpstr>'RES_ro-RO'!dbSampling_OutOption</vt:lpstr>
      <vt:lpstr>'RES_ru-RU'!dbSampling_OutOption</vt:lpstr>
      <vt:lpstr>'RES_sl-SI'!dbSampling_OutOption</vt:lpstr>
      <vt:lpstr>'RES_sv-SE'!dbSampling_OutOption</vt:lpstr>
      <vt:lpstr>'RES_tr-TR'!dbSampling_OutOption</vt:lpstr>
      <vt:lpstr>'RES_zh-CN'!dbSampling_OutOption</vt:lpstr>
      <vt:lpstr>'RES_zh-TW'!dbSampling_OutOption</vt:lpstr>
      <vt:lpstr>'RES_cs-CZ'!dbSampling_Period</vt:lpstr>
      <vt:lpstr>'RES_da-DK'!dbSampling_Period</vt:lpstr>
      <vt:lpstr>'RES_de-DE'!dbSampling_Period</vt:lpstr>
      <vt:lpstr>'RES_el-GR'!dbSampling_Period</vt:lpstr>
      <vt:lpstr>'RES_en-US'!dbSampling_Period</vt:lpstr>
      <vt:lpstr>'RES_es-ES'!dbSampling_Period</vt:lpstr>
      <vt:lpstr>'RES_fi-FI'!dbSampling_Period</vt:lpstr>
      <vt:lpstr>'RES_fr-FR'!dbSampling_Period</vt:lpstr>
      <vt:lpstr>'RES_hr-HR'!dbSampling_Period</vt:lpstr>
      <vt:lpstr>'RES_hu-HU'!dbSampling_Period</vt:lpstr>
      <vt:lpstr>'RES_it-IT'!dbSampling_Period</vt:lpstr>
      <vt:lpstr>'RES_ja-JP'!dbSampling_Period</vt:lpstr>
      <vt:lpstr>'RES_ko-KR'!dbSampling_Period</vt:lpstr>
      <vt:lpstr>'RES_lv-LV'!dbSampling_Period</vt:lpstr>
      <vt:lpstr>'RES_nb-NO'!dbSampling_Period</vt:lpstr>
      <vt:lpstr>'RES_nl-NL'!dbSampling_Period</vt:lpstr>
      <vt:lpstr>'RES_pl-PL'!dbSampling_Period</vt:lpstr>
      <vt:lpstr>'RES_pt-BR'!dbSampling_Period</vt:lpstr>
      <vt:lpstr>'RES_pt-PT'!dbSampling_Period</vt:lpstr>
      <vt:lpstr>'RES_ro-RO'!dbSampling_Period</vt:lpstr>
      <vt:lpstr>'RES_ru-RU'!dbSampling_Period</vt:lpstr>
      <vt:lpstr>'RES_sl-SI'!dbSampling_Period</vt:lpstr>
      <vt:lpstr>'RES_sv-SE'!dbSampling_Period</vt:lpstr>
      <vt:lpstr>'RES_tr-TR'!dbSampling_Period</vt:lpstr>
      <vt:lpstr>'RES_zh-CN'!dbSampling_Period</vt:lpstr>
      <vt:lpstr>'RES_zh-TW'!dbSampling_Period</vt:lpstr>
      <vt:lpstr>'RES_cs-CZ'!dbSampling_PeriodMethod</vt:lpstr>
      <vt:lpstr>'RES_da-DK'!dbSampling_PeriodMethod</vt:lpstr>
      <vt:lpstr>'RES_de-DE'!dbSampling_PeriodMethod</vt:lpstr>
      <vt:lpstr>'RES_el-GR'!dbSampling_PeriodMethod</vt:lpstr>
      <vt:lpstr>'RES_en-US'!dbSampling_PeriodMethod</vt:lpstr>
      <vt:lpstr>'RES_es-ES'!dbSampling_PeriodMethod</vt:lpstr>
      <vt:lpstr>'RES_fi-FI'!dbSampling_PeriodMethod</vt:lpstr>
      <vt:lpstr>'RES_fr-FR'!dbSampling_PeriodMethod</vt:lpstr>
      <vt:lpstr>'RES_hr-HR'!dbSampling_PeriodMethod</vt:lpstr>
      <vt:lpstr>'RES_hu-HU'!dbSampling_PeriodMethod</vt:lpstr>
      <vt:lpstr>'RES_it-IT'!dbSampling_PeriodMethod</vt:lpstr>
      <vt:lpstr>'RES_ja-JP'!dbSampling_PeriodMethod</vt:lpstr>
      <vt:lpstr>'RES_ko-KR'!dbSampling_PeriodMethod</vt:lpstr>
      <vt:lpstr>'RES_lv-LV'!dbSampling_PeriodMethod</vt:lpstr>
      <vt:lpstr>'RES_nb-NO'!dbSampling_PeriodMethod</vt:lpstr>
      <vt:lpstr>'RES_nl-NL'!dbSampling_PeriodMethod</vt:lpstr>
      <vt:lpstr>'RES_pl-PL'!dbSampling_PeriodMethod</vt:lpstr>
      <vt:lpstr>'RES_pt-BR'!dbSampling_PeriodMethod</vt:lpstr>
      <vt:lpstr>'RES_pt-PT'!dbSampling_PeriodMethod</vt:lpstr>
      <vt:lpstr>'RES_ro-RO'!dbSampling_PeriodMethod</vt:lpstr>
      <vt:lpstr>'RES_ru-RU'!dbSampling_PeriodMethod</vt:lpstr>
      <vt:lpstr>'RES_sl-SI'!dbSampling_PeriodMethod</vt:lpstr>
      <vt:lpstr>'RES_sv-SE'!dbSampling_PeriodMethod</vt:lpstr>
      <vt:lpstr>'RES_tr-TR'!dbSampling_PeriodMethod</vt:lpstr>
      <vt:lpstr>'RES_zh-CN'!dbSampling_PeriodMethod</vt:lpstr>
      <vt:lpstr>'RES_zh-TW'!dbSampling_PeriodMethod</vt:lpstr>
      <vt:lpstr>'RES_cs-CZ'!dbSampling_PlyInpFld</vt:lpstr>
      <vt:lpstr>'RES_da-DK'!dbSampling_PlyInpFld</vt:lpstr>
      <vt:lpstr>'RES_de-DE'!dbSampling_PlyInpFld</vt:lpstr>
      <vt:lpstr>'RES_el-GR'!dbSampling_PlyInpFld</vt:lpstr>
      <vt:lpstr>'RES_en-US'!dbSampling_PlyInpFld</vt:lpstr>
      <vt:lpstr>'RES_es-ES'!dbSampling_PlyInpFld</vt:lpstr>
      <vt:lpstr>'RES_fi-FI'!dbSampling_PlyInpFld</vt:lpstr>
      <vt:lpstr>'RES_fr-FR'!dbSampling_PlyInpFld</vt:lpstr>
      <vt:lpstr>'RES_hr-HR'!dbSampling_PlyInpFld</vt:lpstr>
      <vt:lpstr>'RES_hu-HU'!dbSampling_PlyInpFld</vt:lpstr>
      <vt:lpstr>'RES_it-IT'!dbSampling_PlyInpFld</vt:lpstr>
      <vt:lpstr>'RES_ja-JP'!dbSampling_PlyInpFld</vt:lpstr>
      <vt:lpstr>'RES_ko-KR'!dbSampling_PlyInpFld</vt:lpstr>
      <vt:lpstr>'RES_lv-LV'!dbSampling_PlyInpFld</vt:lpstr>
      <vt:lpstr>'RES_nb-NO'!dbSampling_PlyInpFld</vt:lpstr>
      <vt:lpstr>'RES_nl-NL'!dbSampling_PlyInpFld</vt:lpstr>
      <vt:lpstr>'RES_pl-PL'!dbSampling_PlyInpFld</vt:lpstr>
      <vt:lpstr>'RES_pt-BR'!dbSampling_PlyInpFld</vt:lpstr>
      <vt:lpstr>'RES_pt-PT'!dbSampling_PlyInpFld</vt:lpstr>
      <vt:lpstr>'RES_ro-RO'!dbSampling_PlyInpFld</vt:lpstr>
      <vt:lpstr>'RES_ru-RU'!dbSampling_PlyInpFld</vt:lpstr>
      <vt:lpstr>'RES_sl-SI'!dbSampling_PlyInpFld</vt:lpstr>
      <vt:lpstr>'RES_sv-SE'!dbSampling_PlyInpFld</vt:lpstr>
      <vt:lpstr>'RES_tr-TR'!dbSampling_PlyInpFld</vt:lpstr>
      <vt:lpstr>'RES_zh-CN'!dbSampling_PlyInpFld</vt:lpstr>
      <vt:lpstr>'RES_zh-TW'!dbSampling_PlyInpFld</vt:lpstr>
      <vt:lpstr>'RES_cs-CZ'!dbSampling_PlyName</vt:lpstr>
      <vt:lpstr>'RES_da-DK'!dbSampling_PlyName</vt:lpstr>
      <vt:lpstr>'RES_de-DE'!dbSampling_PlyName</vt:lpstr>
      <vt:lpstr>'RES_el-GR'!dbSampling_PlyName</vt:lpstr>
      <vt:lpstr>'RES_en-US'!dbSampling_PlyName</vt:lpstr>
      <vt:lpstr>'RES_es-ES'!dbSampling_PlyName</vt:lpstr>
      <vt:lpstr>'RES_fi-FI'!dbSampling_PlyName</vt:lpstr>
      <vt:lpstr>'RES_fr-FR'!dbSampling_PlyName</vt:lpstr>
      <vt:lpstr>'RES_hr-HR'!dbSampling_PlyName</vt:lpstr>
      <vt:lpstr>'RES_hu-HU'!dbSampling_PlyName</vt:lpstr>
      <vt:lpstr>'RES_it-IT'!dbSampling_PlyName</vt:lpstr>
      <vt:lpstr>'RES_ja-JP'!dbSampling_PlyName</vt:lpstr>
      <vt:lpstr>'RES_ko-KR'!dbSampling_PlyName</vt:lpstr>
      <vt:lpstr>'RES_lv-LV'!dbSampling_PlyName</vt:lpstr>
      <vt:lpstr>'RES_nb-NO'!dbSampling_PlyName</vt:lpstr>
      <vt:lpstr>'RES_nl-NL'!dbSampling_PlyName</vt:lpstr>
      <vt:lpstr>'RES_pl-PL'!dbSampling_PlyName</vt:lpstr>
      <vt:lpstr>'RES_pt-BR'!dbSampling_PlyName</vt:lpstr>
      <vt:lpstr>'RES_pt-PT'!dbSampling_PlyName</vt:lpstr>
      <vt:lpstr>'RES_ro-RO'!dbSampling_PlyName</vt:lpstr>
      <vt:lpstr>'RES_ru-RU'!dbSampling_PlyName</vt:lpstr>
      <vt:lpstr>'RES_sl-SI'!dbSampling_PlyName</vt:lpstr>
      <vt:lpstr>'RES_sv-SE'!dbSampling_PlyName</vt:lpstr>
      <vt:lpstr>'RES_tr-TR'!dbSampling_PlyName</vt:lpstr>
      <vt:lpstr>'RES_zh-CN'!dbSampling_PlyName</vt:lpstr>
      <vt:lpstr>'RES_zh-TW'!dbSampling_PlyName</vt:lpstr>
      <vt:lpstr>'RES_cs-CZ'!dbSampling_RandMethod</vt:lpstr>
      <vt:lpstr>'RES_da-DK'!dbSampling_RandMethod</vt:lpstr>
      <vt:lpstr>'RES_de-DE'!dbSampling_RandMethod</vt:lpstr>
      <vt:lpstr>'RES_el-GR'!dbSampling_RandMethod</vt:lpstr>
      <vt:lpstr>'RES_en-US'!dbSampling_RandMethod</vt:lpstr>
      <vt:lpstr>'RES_es-ES'!dbSampling_RandMethod</vt:lpstr>
      <vt:lpstr>'RES_fi-FI'!dbSampling_RandMethod</vt:lpstr>
      <vt:lpstr>'RES_fr-FR'!dbSampling_RandMethod</vt:lpstr>
      <vt:lpstr>'RES_hr-HR'!dbSampling_RandMethod</vt:lpstr>
      <vt:lpstr>'RES_hu-HU'!dbSampling_RandMethod</vt:lpstr>
      <vt:lpstr>'RES_it-IT'!dbSampling_RandMethod</vt:lpstr>
      <vt:lpstr>'RES_ja-JP'!dbSampling_RandMethod</vt:lpstr>
      <vt:lpstr>'RES_ko-KR'!dbSampling_RandMethod</vt:lpstr>
      <vt:lpstr>'RES_lv-LV'!dbSampling_RandMethod</vt:lpstr>
      <vt:lpstr>'RES_nb-NO'!dbSampling_RandMethod</vt:lpstr>
      <vt:lpstr>'RES_nl-NL'!dbSampling_RandMethod</vt:lpstr>
      <vt:lpstr>'RES_pl-PL'!dbSampling_RandMethod</vt:lpstr>
      <vt:lpstr>'RES_pt-BR'!dbSampling_RandMethod</vt:lpstr>
      <vt:lpstr>'RES_pt-PT'!dbSampling_RandMethod</vt:lpstr>
      <vt:lpstr>'RES_ro-RO'!dbSampling_RandMethod</vt:lpstr>
      <vt:lpstr>'RES_ru-RU'!dbSampling_RandMethod</vt:lpstr>
      <vt:lpstr>'RES_sl-SI'!dbSampling_RandMethod</vt:lpstr>
      <vt:lpstr>'RES_sv-SE'!dbSampling_RandMethod</vt:lpstr>
      <vt:lpstr>'RES_tr-TR'!dbSampling_RandMethod</vt:lpstr>
      <vt:lpstr>'RES_zh-CN'!dbSampling_RandMethod</vt:lpstr>
      <vt:lpstr>'RES_zh-TW'!dbSampling_RandMethod</vt:lpstr>
      <vt:lpstr>'RES_cs-CZ'!dbSampling_RangeInpFld</vt:lpstr>
      <vt:lpstr>'RES_da-DK'!dbSampling_RangeInpFld</vt:lpstr>
      <vt:lpstr>'RES_de-DE'!dbSampling_RangeInpFld</vt:lpstr>
      <vt:lpstr>'RES_el-GR'!dbSampling_RangeInpFld</vt:lpstr>
      <vt:lpstr>'RES_en-US'!dbSampling_RangeInpFld</vt:lpstr>
      <vt:lpstr>'RES_es-ES'!dbSampling_RangeInpFld</vt:lpstr>
      <vt:lpstr>'RES_fi-FI'!dbSampling_RangeInpFld</vt:lpstr>
      <vt:lpstr>'RES_fr-FR'!dbSampling_RangeInpFld</vt:lpstr>
      <vt:lpstr>'RES_hr-HR'!dbSampling_RangeInpFld</vt:lpstr>
      <vt:lpstr>'RES_hu-HU'!dbSampling_RangeInpFld</vt:lpstr>
      <vt:lpstr>'RES_it-IT'!dbSampling_RangeInpFld</vt:lpstr>
      <vt:lpstr>'RES_ja-JP'!dbSampling_RangeInpFld</vt:lpstr>
      <vt:lpstr>'RES_ko-KR'!dbSampling_RangeInpFld</vt:lpstr>
      <vt:lpstr>'RES_lv-LV'!dbSampling_RangeInpFld</vt:lpstr>
      <vt:lpstr>'RES_nb-NO'!dbSampling_RangeInpFld</vt:lpstr>
      <vt:lpstr>'RES_nl-NL'!dbSampling_RangeInpFld</vt:lpstr>
      <vt:lpstr>'RES_pl-PL'!dbSampling_RangeInpFld</vt:lpstr>
      <vt:lpstr>'RES_pt-BR'!dbSampling_RangeInpFld</vt:lpstr>
      <vt:lpstr>'RES_pt-PT'!dbSampling_RangeInpFld</vt:lpstr>
      <vt:lpstr>'RES_ro-RO'!dbSampling_RangeInpFld</vt:lpstr>
      <vt:lpstr>'RES_ru-RU'!dbSampling_RangeInpFld</vt:lpstr>
      <vt:lpstr>'RES_sl-SI'!dbSampling_RangeInpFld</vt:lpstr>
      <vt:lpstr>'RES_sv-SE'!dbSampling_RangeInpFld</vt:lpstr>
      <vt:lpstr>'RES_tr-TR'!dbSampling_RangeInpFld</vt:lpstr>
      <vt:lpstr>'RES_zh-CN'!dbSampling_RangeInpFld</vt:lpstr>
      <vt:lpstr>'RES_zh-TW'!dbSampling_RangeInpFld</vt:lpstr>
      <vt:lpstr>'RES_cs-CZ'!dbSampling_RangeRef</vt:lpstr>
      <vt:lpstr>'RES_da-DK'!dbSampling_RangeRef</vt:lpstr>
      <vt:lpstr>'RES_de-DE'!dbSampling_RangeRef</vt:lpstr>
      <vt:lpstr>'RES_el-GR'!dbSampling_RangeRef</vt:lpstr>
      <vt:lpstr>'RES_en-US'!dbSampling_RangeRef</vt:lpstr>
      <vt:lpstr>'RES_es-ES'!dbSampling_RangeRef</vt:lpstr>
      <vt:lpstr>'RES_fi-FI'!dbSampling_RangeRef</vt:lpstr>
      <vt:lpstr>'RES_fr-FR'!dbSampling_RangeRef</vt:lpstr>
      <vt:lpstr>'RES_hr-HR'!dbSampling_RangeRef</vt:lpstr>
      <vt:lpstr>'RES_hu-HU'!dbSampling_RangeRef</vt:lpstr>
      <vt:lpstr>'RES_it-IT'!dbSampling_RangeRef</vt:lpstr>
      <vt:lpstr>'RES_ja-JP'!dbSampling_RangeRef</vt:lpstr>
      <vt:lpstr>'RES_ko-KR'!dbSampling_RangeRef</vt:lpstr>
      <vt:lpstr>'RES_lv-LV'!dbSampling_RangeRef</vt:lpstr>
      <vt:lpstr>'RES_nb-NO'!dbSampling_RangeRef</vt:lpstr>
      <vt:lpstr>'RES_nl-NL'!dbSampling_RangeRef</vt:lpstr>
      <vt:lpstr>'RES_pl-PL'!dbSampling_RangeRef</vt:lpstr>
      <vt:lpstr>'RES_pt-BR'!dbSampling_RangeRef</vt:lpstr>
      <vt:lpstr>'RES_pt-PT'!dbSampling_RangeRef</vt:lpstr>
      <vt:lpstr>'RES_ro-RO'!dbSampling_RangeRef</vt:lpstr>
      <vt:lpstr>'RES_ru-RU'!dbSampling_RangeRef</vt:lpstr>
      <vt:lpstr>'RES_sl-SI'!dbSampling_RangeRef</vt:lpstr>
      <vt:lpstr>'RES_sv-SE'!dbSampling_RangeRef</vt:lpstr>
      <vt:lpstr>'RES_tr-TR'!dbSampling_RangeRef</vt:lpstr>
      <vt:lpstr>'RES_zh-CN'!dbSampling_RangeRef</vt:lpstr>
      <vt:lpstr>'RES_zh-TW'!dbSampling_RangeRef</vt:lpstr>
      <vt:lpstr>'RES_cs-CZ'!dbSamplingTitle</vt:lpstr>
      <vt:lpstr>'RES_da-DK'!dbSamplingTitle</vt:lpstr>
      <vt:lpstr>'RES_de-DE'!dbSamplingTitle</vt:lpstr>
      <vt:lpstr>'RES_el-GR'!dbSamplingTitle</vt:lpstr>
      <vt:lpstr>'RES_en-US'!dbSamplingTitle</vt:lpstr>
      <vt:lpstr>'RES_es-ES'!dbSamplingTitle</vt:lpstr>
      <vt:lpstr>'RES_fi-FI'!dbSamplingTitle</vt:lpstr>
      <vt:lpstr>'RES_fr-FR'!dbSamplingTitle</vt:lpstr>
      <vt:lpstr>'RES_hr-HR'!dbSamplingTitle</vt:lpstr>
      <vt:lpstr>'RES_hu-HU'!dbSamplingTitle</vt:lpstr>
      <vt:lpstr>'RES_it-IT'!dbSamplingTitle</vt:lpstr>
      <vt:lpstr>'RES_ja-JP'!dbSamplingTitle</vt:lpstr>
      <vt:lpstr>'RES_ko-KR'!dbSamplingTitle</vt:lpstr>
      <vt:lpstr>'RES_lv-LV'!dbSamplingTitle</vt:lpstr>
      <vt:lpstr>'RES_nb-NO'!dbSamplingTitle</vt:lpstr>
      <vt:lpstr>'RES_nl-NL'!dbSamplingTitle</vt:lpstr>
      <vt:lpstr>'RES_pl-PL'!dbSamplingTitle</vt:lpstr>
      <vt:lpstr>'RES_pt-BR'!dbSamplingTitle</vt:lpstr>
      <vt:lpstr>'RES_pt-PT'!dbSamplingTitle</vt:lpstr>
      <vt:lpstr>'RES_ro-RO'!dbSamplingTitle</vt:lpstr>
      <vt:lpstr>'RES_ru-RU'!dbSamplingTitle</vt:lpstr>
      <vt:lpstr>'RES_sl-SI'!dbSamplingTitle</vt:lpstr>
      <vt:lpstr>'RES_sv-SE'!dbSamplingTitle</vt:lpstr>
      <vt:lpstr>'RES_tr-TR'!dbSamplingTitle</vt:lpstr>
      <vt:lpstr>'RES_zh-CN'!dbSamplingTitle</vt:lpstr>
      <vt:lpstr>'RES_zh-TW'!dbSamplingTitle</vt:lpstr>
      <vt:lpstr>'RES_cs-CZ'!dbt.Percent</vt:lpstr>
      <vt:lpstr>'RES_da-DK'!dbt.Percent</vt:lpstr>
      <vt:lpstr>'RES_de-DE'!dbt.Percent</vt:lpstr>
      <vt:lpstr>'RES_el-GR'!dbt.Percent</vt:lpstr>
      <vt:lpstr>'RES_en-US'!dbt.Percent</vt:lpstr>
      <vt:lpstr>'RES_es-ES'!dbt.Percent</vt:lpstr>
      <vt:lpstr>'RES_fi-FI'!dbt.Percent</vt:lpstr>
      <vt:lpstr>'RES_fr-FR'!dbt.Percent</vt:lpstr>
      <vt:lpstr>'RES_hr-HR'!dbt.Percent</vt:lpstr>
      <vt:lpstr>'RES_hu-HU'!dbt.Percent</vt:lpstr>
      <vt:lpstr>'RES_it-IT'!dbt.Percent</vt:lpstr>
      <vt:lpstr>'RES_ja-JP'!dbt.Percent</vt:lpstr>
      <vt:lpstr>'RES_ko-KR'!dbt.Percent</vt:lpstr>
      <vt:lpstr>'RES_lv-LV'!dbt.Percent</vt:lpstr>
      <vt:lpstr>'RES_nb-NO'!dbt.Percent</vt:lpstr>
      <vt:lpstr>'RES_nl-NL'!dbt.Percent</vt:lpstr>
      <vt:lpstr>'RES_pl-PL'!dbt.Percent</vt:lpstr>
      <vt:lpstr>'RES_pt-BR'!dbt.Percent</vt:lpstr>
      <vt:lpstr>'RES_pt-PT'!dbt.Percent</vt:lpstr>
      <vt:lpstr>'RES_ro-RO'!dbt.Percent</vt:lpstr>
      <vt:lpstr>'RES_ru-RU'!dbt.Percent</vt:lpstr>
      <vt:lpstr>'RES_sl-SI'!dbt.Percent</vt:lpstr>
      <vt:lpstr>'RES_sv-SE'!dbt.Percent</vt:lpstr>
      <vt:lpstr>'RES_tr-TR'!dbt.Percent</vt:lpstr>
      <vt:lpstr>'RES_zh-CN'!dbt.Percent</vt:lpstr>
      <vt:lpstr>'RES_zh-TW'!dbt.Percent</vt:lpstr>
      <vt:lpstr>'RES_cs-CZ'!dbt.Residu</vt:lpstr>
      <vt:lpstr>'RES_da-DK'!dbt.Residu</vt:lpstr>
      <vt:lpstr>'RES_de-DE'!dbt.Residu</vt:lpstr>
      <vt:lpstr>'RES_el-GR'!dbt.Residu</vt:lpstr>
      <vt:lpstr>'RES_en-US'!dbt.Residu</vt:lpstr>
      <vt:lpstr>'RES_es-ES'!dbt.Residu</vt:lpstr>
      <vt:lpstr>'RES_fi-FI'!dbt.Residu</vt:lpstr>
      <vt:lpstr>'RES_fr-FR'!dbt.Residu</vt:lpstr>
      <vt:lpstr>'RES_hr-HR'!dbt.Residu</vt:lpstr>
      <vt:lpstr>'RES_hu-HU'!dbt.Residu</vt:lpstr>
      <vt:lpstr>'RES_it-IT'!dbt.Residu</vt:lpstr>
      <vt:lpstr>'RES_ja-JP'!dbt.Residu</vt:lpstr>
      <vt:lpstr>'RES_ko-KR'!dbt.Residu</vt:lpstr>
      <vt:lpstr>'RES_lv-LV'!dbt.Residu</vt:lpstr>
      <vt:lpstr>'RES_nb-NO'!dbt.Residu</vt:lpstr>
      <vt:lpstr>'RES_nl-NL'!dbt.Residu</vt:lpstr>
      <vt:lpstr>'RES_pl-PL'!dbt.Residu</vt:lpstr>
      <vt:lpstr>'RES_pt-BR'!dbt.Residu</vt:lpstr>
      <vt:lpstr>'RES_pt-PT'!dbt.Residu</vt:lpstr>
      <vt:lpstr>'RES_ro-RO'!dbt.Residu</vt:lpstr>
      <vt:lpstr>'RES_ru-RU'!dbt.Residu</vt:lpstr>
      <vt:lpstr>'RES_sl-SI'!dbt.Residu</vt:lpstr>
      <vt:lpstr>'RES_sv-SE'!dbt.Residu</vt:lpstr>
      <vt:lpstr>'RES_tr-TR'!dbt.Residu</vt:lpstr>
      <vt:lpstr>'RES_zh-CN'!dbt.Residu</vt:lpstr>
      <vt:lpstr>'RES_zh-TW'!dbt.Residu</vt:lpstr>
      <vt:lpstr>'RES_cs-CZ'!dbTTest1</vt:lpstr>
      <vt:lpstr>'RES_da-DK'!dbTTest1</vt:lpstr>
      <vt:lpstr>'RES_de-DE'!dbTTest1</vt:lpstr>
      <vt:lpstr>'RES_el-GR'!dbTTest1</vt:lpstr>
      <vt:lpstr>'RES_en-US'!dbTTest1</vt:lpstr>
      <vt:lpstr>'RES_es-ES'!dbTTest1</vt:lpstr>
      <vt:lpstr>'RES_fi-FI'!dbTTest1</vt:lpstr>
      <vt:lpstr>'RES_fr-FR'!dbTTest1</vt:lpstr>
      <vt:lpstr>'RES_hr-HR'!dbTTest1</vt:lpstr>
      <vt:lpstr>'RES_hu-HU'!dbTTest1</vt:lpstr>
      <vt:lpstr>'RES_it-IT'!dbTTest1</vt:lpstr>
      <vt:lpstr>'RES_ja-JP'!dbTTest1</vt:lpstr>
      <vt:lpstr>'RES_ko-KR'!dbTTest1</vt:lpstr>
      <vt:lpstr>'RES_lv-LV'!dbTTest1</vt:lpstr>
      <vt:lpstr>'RES_nb-NO'!dbTTest1</vt:lpstr>
      <vt:lpstr>'RES_nl-NL'!dbTTest1</vt:lpstr>
      <vt:lpstr>'RES_pl-PL'!dbTTest1</vt:lpstr>
      <vt:lpstr>'RES_pt-BR'!dbTTest1</vt:lpstr>
      <vt:lpstr>'RES_pt-PT'!dbTTest1</vt:lpstr>
      <vt:lpstr>'RES_ro-RO'!dbTTest1</vt:lpstr>
      <vt:lpstr>'RES_ru-RU'!dbTTest1</vt:lpstr>
      <vt:lpstr>'RES_sl-SI'!dbTTest1</vt:lpstr>
      <vt:lpstr>'RES_sv-SE'!dbTTest1</vt:lpstr>
      <vt:lpstr>'RES_tr-TR'!dbTTest1</vt:lpstr>
      <vt:lpstr>'RES_zh-CN'!dbTTest1</vt:lpstr>
      <vt:lpstr>'RES_zh-TW'!dbTTest1</vt:lpstr>
      <vt:lpstr>'RES_cs-CZ'!dbTTest1_AlphaValue</vt:lpstr>
      <vt:lpstr>'RES_da-DK'!dbTTest1_AlphaValue</vt:lpstr>
      <vt:lpstr>'RES_de-DE'!dbTTest1_AlphaValue</vt:lpstr>
      <vt:lpstr>'RES_el-GR'!dbTTest1_AlphaValue</vt:lpstr>
      <vt:lpstr>'RES_en-US'!dbTTest1_AlphaValue</vt:lpstr>
      <vt:lpstr>'RES_es-ES'!dbTTest1_AlphaValue</vt:lpstr>
      <vt:lpstr>'RES_fi-FI'!dbTTest1_AlphaValue</vt:lpstr>
      <vt:lpstr>'RES_fr-FR'!dbTTest1_AlphaValue</vt:lpstr>
      <vt:lpstr>'RES_hr-HR'!dbTTest1_AlphaValue</vt:lpstr>
      <vt:lpstr>'RES_hu-HU'!dbTTest1_AlphaValue</vt:lpstr>
      <vt:lpstr>'RES_it-IT'!dbTTest1_AlphaValue</vt:lpstr>
      <vt:lpstr>'RES_ja-JP'!dbTTest1_AlphaValue</vt:lpstr>
      <vt:lpstr>'RES_ko-KR'!dbTTest1_AlphaValue</vt:lpstr>
      <vt:lpstr>'RES_lv-LV'!dbTTest1_AlphaValue</vt:lpstr>
      <vt:lpstr>'RES_nb-NO'!dbTTest1_AlphaValue</vt:lpstr>
      <vt:lpstr>'RES_nl-NL'!dbTTest1_AlphaValue</vt:lpstr>
      <vt:lpstr>'RES_pl-PL'!dbTTest1_AlphaValue</vt:lpstr>
      <vt:lpstr>'RES_pt-BR'!dbTTest1_AlphaValue</vt:lpstr>
      <vt:lpstr>'RES_pt-PT'!dbTTest1_AlphaValue</vt:lpstr>
      <vt:lpstr>'RES_ro-RO'!dbTTest1_AlphaValue</vt:lpstr>
      <vt:lpstr>'RES_ru-RU'!dbTTest1_AlphaValue</vt:lpstr>
      <vt:lpstr>'RES_sl-SI'!dbTTest1_AlphaValue</vt:lpstr>
      <vt:lpstr>'RES_sv-SE'!dbTTest1_AlphaValue</vt:lpstr>
      <vt:lpstr>'RES_tr-TR'!dbTTest1_AlphaValue</vt:lpstr>
      <vt:lpstr>'RES_zh-CN'!dbTTest1_AlphaValue</vt:lpstr>
      <vt:lpstr>'RES_zh-TW'!dbTTest1_AlphaValue</vt:lpstr>
      <vt:lpstr>'RES_cs-CZ'!dbTTest1_LblChkBox</vt:lpstr>
      <vt:lpstr>'RES_da-DK'!dbTTest1_LblChkBox</vt:lpstr>
      <vt:lpstr>'RES_de-DE'!dbTTest1_LblChkBox</vt:lpstr>
      <vt:lpstr>'RES_el-GR'!dbTTest1_LblChkBox</vt:lpstr>
      <vt:lpstr>'RES_en-US'!dbTTest1_LblChkBox</vt:lpstr>
      <vt:lpstr>'RES_es-ES'!dbTTest1_LblChkBox</vt:lpstr>
      <vt:lpstr>'RES_fi-FI'!dbTTest1_LblChkBox</vt:lpstr>
      <vt:lpstr>'RES_fr-FR'!dbTTest1_LblChkBox</vt:lpstr>
      <vt:lpstr>'RES_hr-HR'!dbTTest1_LblChkBox</vt:lpstr>
      <vt:lpstr>'RES_hu-HU'!dbTTest1_LblChkBox</vt:lpstr>
      <vt:lpstr>'RES_it-IT'!dbTTest1_LblChkBox</vt:lpstr>
      <vt:lpstr>'RES_ja-JP'!dbTTest1_LblChkBox</vt:lpstr>
      <vt:lpstr>'RES_ko-KR'!dbTTest1_LblChkBox</vt:lpstr>
      <vt:lpstr>'RES_lv-LV'!dbTTest1_LblChkBox</vt:lpstr>
      <vt:lpstr>'RES_nb-NO'!dbTTest1_LblChkBox</vt:lpstr>
      <vt:lpstr>'RES_nl-NL'!dbTTest1_LblChkBox</vt:lpstr>
      <vt:lpstr>'RES_pl-PL'!dbTTest1_LblChkBox</vt:lpstr>
      <vt:lpstr>'RES_pt-BR'!dbTTest1_LblChkBox</vt:lpstr>
      <vt:lpstr>'RES_pt-PT'!dbTTest1_LblChkBox</vt:lpstr>
      <vt:lpstr>'RES_ro-RO'!dbTTest1_LblChkBox</vt:lpstr>
      <vt:lpstr>'RES_ru-RU'!dbTTest1_LblChkBox</vt:lpstr>
      <vt:lpstr>'RES_sl-SI'!dbTTest1_LblChkBox</vt:lpstr>
      <vt:lpstr>'RES_sv-SE'!dbTTest1_LblChkBox</vt:lpstr>
      <vt:lpstr>'RES_tr-TR'!dbTTest1_LblChkBox</vt:lpstr>
      <vt:lpstr>'RES_zh-CN'!dbTTest1_LblChkBox</vt:lpstr>
      <vt:lpstr>'RES_zh-TW'!dbTTest1_LblChkBox</vt:lpstr>
      <vt:lpstr>'RES_cs-CZ'!dbTTest1_MeanDiff</vt:lpstr>
      <vt:lpstr>'RES_da-DK'!dbTTest1_MeanDiff</vt:lpstr>
      <vt:lpstr>'RES_de-DE'!dbTTest1_MeanDiff</vt:lpstr>
      <vt:lpstr>'RES_el-GR'!dbTTest1_MeanDiff</vt:lpstr>
      <vt:lpstr>'RES_en-US'!dbTTest1_MeanDiff</vt:lpstr>
      <vt:lpstr>'RES_es-ES'!dbTTest1_MeanDiff</vt:lpstr>
      <vt:lpstr>'RES_fi-FI'!dbTTest1_MeanDiff</vt:lpstr>
      <vt:lpstr>'RES_fr-FR'!dbTTest1_MeanDiff</vt:lpstr>
      <vt:lpstr>'RES_hr-HR'!dbTTest1_MeanDiff</vt:lpstr>
      <vt:lpstr>'RES_hu-HU'!dbTTest1_MeanDiff</vt:lpstr>
      <vt:lpstr>'RES_it-IT'!dbTTest1_MeanDiff</vt:lpstr>
      <vt:lpstr>'RES_ja-JP'!dbTTest1_MeanDiff</vt:lpstr>
      <vt:lpstr>'RES_ko-KR'!dbTTest1_MeanDiff</vt:lpstr>
      <vt:lpstr>'RES_lv-LV'!dbTTest1_MeanDiff</vt:lpstr>
      <vt:lpstr>'RES_nb-NO'!dbTTest1_MeanDiff</vt:lpstr>
      <vt:lpstr>'RES_nl-NL'!dbTTest1_MeanDiff</vt:lpstr>
      <vt:lpstr>'RES_pl-PL'!dbTTest1_MeanDiff</vt:lpstr>
      <vt:lpstr>'RES_pt-BR'!dbTTest1_MeanDiff</vt:lpstr>
      <vt:lpstr>'RES_pt-PT'!dbTTest1_MeanDiff</vt:lpstr>
      <vt:lpstr>'RES_ro-RO'!dbTTest1_MeanDiff</vt:lpstr>
      <vt:lpstr>'RES_ru-RU'!dbTTest1_MeanDiff</vt:lpstr>
      <vt:lpstr>'RES_sl-SI'!dbTTest1_MeanDiff</vt:lpstr>
      <vt:lpstr>'RES_sv-SE'!dbTTest1_MeanDiff</vt:lpstr>
      <vt:lpstr>'RES_tr-TR'!dbTTest1_MeanDiff</vt:lpstr>
      <vt:lpstr>'RES_zh-CN'!dbTTest1_MeanDiff</vt:lpstr>
      <vt:lpstr>'RES_zh-TW'!dbTTest1_MeanDiff</vt:lpstr>
      <vt:lpstr>'RES_cs-CZ'!dbTTest1_OutOption</vt:lpstr>
      <vt:lpstr>'RES_da-DK'!dbTTest1_OutOption</vt:lpstr>
      <vt:lpstr>'RES_de-DE'!dbTTest1_OutOption</vt:lpstr>
      <vt:lpstr>'RES_el-GR'!dbTTest1_OutOption</vt:lpstr>
      <vt:lpstr>'RES_en-US'!dbTTest1_OutOption</vt:lpstr>
      <vt:lpstr>'RES_es-ES'!dbTTest1_OutOption</vt:lpstr>
      <vt:lpstr>'RES_fi-FI'!dbTTest1_OutOption</vt:lpstr>
      <vt:lpstr>'RES_fr-FR'!dbTTest1_OutOption</vt:lpstr>
      <vt:lpstr>'RES_hr-HR'!dbTTest1_OutOption</vt:lpstr>
      <vt:lpstr>'RES_hu-HU'!dbTTest1_OutOption</vt:lpstr>
      <vt:lpstr>'RES_it-IT'!dbTTest1_OutOption</vt:lpstr>
      <vt:lpstr>'RES_ja-JP'!dbTTest1_OutOption</vt:lpstr>
      <vt:lpstr>'RES_ko-KR'!dbTTest1_OutOption</vt:lpstr>
      <vt:lpstr>'RES_lv-LV'!dbTTest1_OutOption</vt:lpstr>
      <vt:lpstr>'RES_nb-NO'!dbTTest1_OutOption</vt:lpstr>
      <vt:lpstr>'RES_nl-NL'!dbTTest1_OutOption</vt:lpstr>
      <vt:lpstr>'RES_pl-PL'!dbTTest1_OutOption</vt:lpstr>
      <vt:lpstr>'RES_pt-BR'!dbTTest1_OutOption</vt:lpstr>
      <vt:lpstr>'RES_pt-PT'!dbTTest1_OutOption</vt:lpstr>
      <vt:lpstr>'RES_ro-RO'!dbTTest1_OutOption</vt:lpstr>
      <vt:lpstr>'RES_ru-RU'!dbTTest1_OutOption</vt:lpstr>
      <vt:lpstr>'RES_sl-SI'!dbTTest1_OutOption</vt:lpstr>
      <vt:lpstr>'RES_sv-SE'!dbTTest1_OutOption</vt:lpstr>
      <vt:lpstr>'RES_tr-TR'!dbTTest1_OutOption</vt:lpstr>
      <vt:lpstr>'RES_zh-CN'!dbTTest1_OutOption</vt:lpstr>
      <vt:lpstr>'RES_zh-TW'!dbTTest1_OutOption</vt:lpstr>
      <vt:lpstr>'RES_cs-CZ'!dbTTest1_PlyInpFld</vt:lpstr>
      <vt:lpstr>'RES_da-DK'!dbTTest1_PlyInpFld</vt:lpstr>
      <vt:lpstr>'RES_de-DE'!dbTTest1_PlyInpFld</vt:lpstr>
      <vt:lpstr>'RES_el-GR'!dbTTest1_PlyInpFld</vt:lpstr>
      <vt:lpstr>'RES_en-US'!dbTTest1_PlyInpFld</vt:lpstr>
      <vt:lpstr>'RES_es-ES'!dbTTest1_PlyInpFld</vt:lpstr>
      <vt:lpstr>'RES_fi-FI'!dbTTest1_PlyInpFld</vt:lpstr>
      <vt:lpstr>'RES_fr-FR'!dbTTest1_PlyInpFld</vt:lpstr>
      <vt:lpstr>'RES_hr-HR'!dbTTest1_PlyInpFld</vt:lpstr>
      <vt:lpstr>'RES_hu-HU'!dbTTest1_PlyInpFld</vt:lpstr>
      <vt:lpstr>'RES_it-IT'!dbTTest1_PlyInpFld</vt:lpstr>
      <vt:lpstr>'RES_ja-JP'!dbTTest1_PlyInpFld</vt:lpstr>
      <vt:lpstr>'RES_ko-KR'!dbTTest1_PlyInpFld</vt:lpstr>
      <vt:lpstr>'RES_lv-LV'!dbTTest1_PlyInpFld</vt:lpstr>
      <vt:lpstr>'RES_nb-NO'!dbTTest1_PlyInpFld</vt:lpstr>
      <vt:lpstr>'RES_nl-NL'!dbTTest1_PlyInpFld</vt:lpstr>
      <vt:lpstr>'RES_pl-PL'!dbTTest1_PlyInpFld</vt:lpstr>
      <vt:lpstr>'RES_pt-BR'!dbTTest1_PlyInpFld</vt:lpstr>
      <vt:lpstr>'RES_pt-PT'!dbTTest1_PlyInpFld</vt:lpstr>
      <vt:lpstr>'RES_ro-RO'!dbTTest1_PlyInpFld</vt:lpstr>
      <vt:lpstr>'RES_ru-RU'!dbTTest1_PlyInpFld</vt:lpstr>
      <vt:lpstr>'RES_sl-SI'!dbTTest1_PlyInpFld</vt:lpstr>
      <vt:lpstr>'RES_sv-SE'!dbTTest1_PlyInpFld</vt:lpstr>
      <vt:lpstr>'RES_tr-TR'!dbTTest1_PlyInpFld</vt:lpstr>
      <vt:lpstr>'RES_zh-CN'!dbTTest1_PlyInpFld</vt:lpstr>
      <vt:lpstr>'RES_zh-TW'!dbTTest1_PlyInpFld</vt:lpstr>
      <vt:lpstr>'RES_cs-CZ'!dbTTest1_PlyName</vt:lpstr>
      <vt:lpstr>'RES_da-DK'!dbTTest1_PlyName</vt:lpstr>
      <vt:lpstr>'RES_de-DE'!dbTTest1_PlyName</vt:lpstr>
      <vt:lpstr>'RES_el-GR'!dbTTest1_PlyName</vt:lpstr>
      <vt:lpstr>'RES_en-US'!dbTTest1_PlyName</vt:lpstr>
      <vt:lpstr>'RES_es-ES'!dbTTest1_PlyName</vt:lpstr>
      <vt:lpstr>'RES_fi-FI'!dbTTest1_PlyName</vt:lpstr>
      <vt:lpstr>'RES_fr-FR'!dbTTest1_PlyName</vt:lpstr>
      <vt:lpstr>'RES_hr-HR'!dbTTest1_PlyName</vt:lpstr>
      <vt:lpstr>'RES_hu-HU'!dbTTest1_PlyName</vt:lpstr>
      <vt:lpstr>'RES_it-IT'!dbTTest1_PlyName</vt:lpstr>
      <vt:lpstr>'RES_ja-JP'!dbTTest1_PlyName</vt:lpstr>
      <vt:lpstr>'RES_ko-KR'!dbTTest1_PlyName</vt:lpstr>
      <vt:lpstr>'RES_lv-LV'!dbTTest1_PlyName</vt:lpstr>
      <vt:lpstr>'RES_nb-NO'!dbTTest1_PlyName</vt:lpstr>
      <vt:lpstr>'RES_nl-NL'!dbTTest1_PlyName</vt:lpstr>
      <vt:lpstr>'RES_pl-PL'!dbTTest1_PlyName</vt:lpstr>
      <vt:lpstr>'RES_pt-BR'!dbTTest1_PlyName</vt:lpstr>
      <vt:lpstr>'RES_pt-PT'!dbTTest1_PlyName</vt:lpstr>
      <vt:lpstr>'RES_ro-RO'!dbTTest1_PlyName</vt:lpstr>
      <vt:lpstr>'RES_ru-RU'!dbTTest1_PlyName</vt:lpstr>
      <vt:lpstr>'RES_sl-SI'!dbTTest1_PlyName</vt:lpstr>
      <vt:lpstr>'RES_sv-SE'!dbTTest1_PlyName</vt:lpstr>
      <vt:lpstr>'RES_tr-TR'!dbTTest1_PlyName</vt:lpstr>
      <vt:lpstr>'RES_zh-CN'!dbTTest1_PlyName</vt:lpstr>
      <vt:lpstr>'RES_zh-TW'!dbTTest1_PlyName</vt:lpstr>
      <vt:lpstr>'RES_cs-CZ'!dbTTest1_RangeInpFld</vt:lpstr>
      <vt:lpstr>'RES_da-DK'!dbTTest1_RangeInpFld</vt:lpstr>
      <vt:lpstr>'RES_de-DE'!dbTTest1_RangeInpFld</vt:lpstr>
      <vt:lpstr>'RES_el-GR'!dbTTest1_RangeInpFld</vt:lpstr>
      <vt:lpstr>'RES_en-US'!dbTTest1_RangeInpFld</vt:lpstr>
      <vt:lpstr>'RES_es-ES'!dbTTest1_RangeInpFld</vt:lpstr>
      <vt:lpstr>'RES_fi-FI'!dbTTest1_RangeInpFld</vt:lpstr>
      <vt:lpstr>'RES_fr-FR'!dbTTest1_RangeInpFld</vt:lpstr>
      <vt:lpstr>'RES_hr-HR'!dbTTest1_RangeInpFld</vt:lpstr>
      <vt:lpstr>'RES_hu-HU'!dbTTest1_RangeInpFld</vt:lpstr>
      <vt:lpstr>'RES_it-IT'!dbTTest1_RangeInpFld</vt:lpstr>
      <vt:lpstr>'RES_ja-JP'!dbTTest1_RangeInpFld</vt:lpstr>
      <vt:lpstr>'RES_ko-KR'!dbTTest1_RangeInpFld</vt:lpstr>
      <vt:lpstr>'RES_lv-LV'!dbTTest1_RangeInpFld</vt:lpstr>
      <vt:lpstr>'RES_nb-NO'!dbTTest1_RangeInpFld</vt:lpstr>
      <vt:lpstr>'RES_nl-NL'!dbTTest1_RangeInpFld</vt:lpstr>
      <vt:lpstr>'RES_pl-PL'!dbTTest1_RangeInpFld</vt:lpstr>
      <vt:lpstr>'RES_pt-BR'!dbTTest1_RangeInpFld</vt:lpstr>
      <vt:lpstr>'RES_pt-PT'!dbTTest1_RangeInpFld</vt:lpstr>
      <vt:lpstr>'RES_ro-RO'!dbTTest1_RangeInpFld</vt:lpstr>
      <vt:lpstr>'RES_ru-RU'!dbTTest1_RangeInpFld</vt:lpstr>
      <vt:lpstr>'RES_sl-SI'!dbTTest1_RangeInpFld</vt:lpstr>
      <vt:lpstr>'RES_sv-SE'!dbTTest1_RangeInpFld</vt:lpstr>
      <vt:lpstr>'RES_tr-TR'!dbTTest1_RangeInpFld</vt:lpstr>
      <vt:lpstr>'RES_zh-CN'!dbTTest1_RangeInpFld</vt:lpstr>
      <vt:lpstr>'RES_zh-TW'!dbTTest1_RangeInpFld</vt:lpstr>
      <vt:lpstr>'RES_cs-CZ'!dbTTest1_RangeRef</vt:lpstr>
      <vt:lpstr>'RES_da-DK'!dbTTest1_RangeRef</vt:lpstr>
      <vt:lpstr>'RES_de-DE'!dbTTest1_RangeRef</vt:lpstr>
      <vt:lpstr>'RES_el-GR'!dbTTest1_RangeRef</vt:lpstr>
      <vt:lpstr>'RES_en-US'!dbTTest1_RangeRef</vt:lpstr>
      <vt:lpstr>'RES_es-ES'!dbTTest1_RangeRef</vt:lpstr>
      <vt:lpstr>'RES_fi-FI'!dbTTest1_RangeRef</vt:lpstr>
      <vt:lpstr>'RES_fr-FR'!dbTTest1_RangeRef</vt:lpstr>
      <vt:lpstr>'RES_hr-HR'!dbTTest1_RangeRef</vt:lpstr>
      <vt:lpstr>'RES_hu-HU'!dbTTest1_RangeRef</vt:lpstr>
      <vt:lpstr>'RES_it-IT'!dbTTest1_RangeRef</vt:lpstr>
      <vt:lpstr>'RES_ja-JP'!dbTTest1_RangeRef</vt:lpstr>
      <vt:lpstr>'RES_ko-KR'!dbTTest1_RangeRef</vt:lpstr>
      <vt:lpstr>'RES_lv-LV'!dbTTest1_RangeRef</vt:lpstr>
      <vt:lpstr>'RES_nb-NO'!dbTTest1_RangeRef</vt:lpstr>
      <vt:lpstr>'RES_nl-NL'!dbTTest1_RangeRef</vt:lpstr>
      <vt:lpstr>'RES_pl-PL'!dbTTest1_RangeRef</vt:lpstr>
      <vt:lpstr>'RES_pt-BR'!dbTTest1_RangeRef</vt:lpstr>
      <vt:lpstr>'RES_pt-PT'!dbTTest1_RangeRef</vt:lpstr>
      <vt:lpstr>'RES_ro-RO'!dbTTest1_RangeRef</vt:lpstr>
      <vt:lpstr>'RES_ru-RU'!dbTTest1_RangeRef</vt:lpstr>
      <vt:lpstr>'RES_sl-SI'!dbTTest1_RangeRef</vt:lpstr>
      <vt:lpstr>'RES_sv-SE'!dbTTest1_RangeRef</vt:lpstr>
      <vt:lpstr>'RES_tr-TR'!dbTTest1_RangeRef</vt:lpstr>
      <vt:lpstr>'RES_zh-CN'!dbTTest1_RangeRef</vt:lpstr>
      <vt:lpstr>'RES_zh-TW'!dbTTest1_RangeRef</vt:lpstr>
      <vt:lpstr>'RES_cs-CZ'!dbTTest1_VarRng1</vt:lpstr>
      <vt:lpstr>'RES_da-DK'!dbTTest1_VarRng1</vt:lpstr>
      <vt:lpstr>'RES_de-DE'!dbTTest1_VarRng1</vt:lpstr>
      <vt:lpstr>'RES_el-GR'!dbTTest1_VarRng1</vt:lpstr>
      <vt:lpstr>'RES_en-US'!dbTTest1_VarRng1</vt:lpstr>
      <vt:lpstr>'RES_es-ES'!dbTTest1_VarRng1</vt:lpstr>
      <vt:lpstr>'RES_fi-FI'!dbTTest1_VarRng1</vt:lpstr>
      <vt:lpstr>'RES_fr-FR'!dbTTest1_VarRng1</vt:lpstr>
      <vt:lpstr>'RES_hr-HR'!dbTTest1_VarRng1</vt:lpstr>
      <vt:lpstr>'RES_hu-HU'!dbTTest1_VarRng1</vt:lpstr>
      <vt:lpstr>'RES_it-IT'!dbTTest1_VarRng1</vt:lpstr>
      <vt:lpstr>'RES_ja-JP'!dbTTest1_VarRng1</vt:lpstr>
      <vt:lpstr>'RES_ko-KR'!dbTTest1_VarRng1</vt:lpstr>
      <vt:lpstr>'RES_lv-LV'!dbTTest1_VarRng1</vt:lpstr>
      <vt:lpstr>'RES_nb-NO'!dbTTest1_VarRng1</vt:lpstr>
      <vt:lpstr>'RES_nl-NL'!dbTTest1_VarRng1</vt:lpstr>
      <vt:lpstr>'RES_pl-PL'!dbTTest1_VarRng1</vt:lpstr>
      <vt:lpstr>'RES_pt-BR'!dbTTest1_VarRng1</vt:lpstr>
      <vt:lpstr>'RES_pt-PT'!dbTTest1_VarRng1</vt:lpstr>
      <vt:lpstr>'RES_ro-RO'!dbTTest1_VarRng1</vt:lpstr>
      <vt:lpstr>'RES_ru-RU'!dbTTest1_VarRng1</vt:lpstr>
      <vt:lpstr>'RES_sl-SI'!dbTTest1_VarRng1</vt:lpstr>
      <vt:lpstr>'RES_sv-SE'!dbTTest1_VarRng1</vt:lpstr>
      <vt:lpstr>'RES_tr-TR'!dbTTest1_VarRng1</vt:lpstr>
      <vt:lpstr>'RES_zh-CN'!dbTTest1_VarRng1</vt:lpstr>
      <vt:lpstr>'RES_zh-TW'!dbTTest1_VarRng1</vt:lpstr>
      <vt:lpstr>'RES_cs-CZ'!dbTTest1_VarRng2</vt:lpstr>
      <vt:lpstr>'RES_da-DK'!dbTTest1_VarRng2</vt:lpstr>
      <vt:lpstr>'RES_de-DE'!dbTTest1_VarRng2</vt:lpstr>
      <vt:lpstr>'RES_el-GR'!dbTTest1_VarRng2</vt:lpstr>
      <vt:lpstr>'RES_en-US'!dbTTest1_VarRng2</vt:lpstr>
      <vt:lpstr>'RES_es-ES'!dbTTest1_VarRng2</vt:lpstr>
      <vt:lpstr>'RES_fi-FI'!dbTTest1_VarRng2</vt:lpstr>
      <vt:lpstr>'RES_fr-FR'!dbTTest1_VarRng2</vt:lpstr>
      <vt:lpstr>'RES_hr-HR'!dbTTest1_VarRng2</vt:lpstr>
      <vt:lpstr>'RES_hu-HU'!dbTTest1_VarRng2</vt:lpstr>
      <vt:lpstr>'RES_it-IT'!dbTTest1_VarRng2</vt:lpstr>
      <vt:lpstr>'RES_ja-JP'!dbTTest1_VarRng2</vt:lpstr>
      <vt:lpstr>'RES_ko-KR'!dbTTest1_VarRng2</vt:lpstr>
      <vt:lpstr>'RES_lv-LV'!dbTTest1_VarRng2</vt:lpstr>
      <vt:lpstr>'RES_nb-NO'!dbTTest1_VarRng2</vt:lpstr>
      <vt:lpstr>'RES_nl-NL'!dbTTest1_VarRng2</vt:lpstr>
      <vt:lpstr>'RES_pl-PL'!dbTTest1_VarRng2</vt:lpstr>
      <vt:lpstr>'RES_pt-BR'!dbTTest1_VarRng2</vt:lpstr>
      <vt:lpstr>'RES_pt-PT'!dbTTest1_VarRng2</vt:lpstr>
      <vt:lpstr>'RES_ro-RO'!dbTTest1_VarRng2</vt:lpstr>
      <vt:lpstr>'RES_ru-RU'!dbTTest1_VarRng2</vt:lpstr>
      <vt:lpstr>'RES_sl-SI'!dbTTest1_VarRng2</vt:lpstr>
      <vt:lpstr>'RES_sv-SE'!dbTTest1_VarRng2</vt:lpstr>
      <vt:lpstr>'RES_tr-TR'!dbTTest1_VarRng2</vt:lpstr>
      <vt:lpstr>'RES_zh-CN'!dbTTest1_VarRng2</vt:lpstr>
      <vt:lpstr>'RES_zh-TW'!dbTTest1_VarRng2</vt:lpstr>
      <vt:lpstr>'RES_cs-CZ'!dbTTest1Title</vt:lpstr>
      <vt:lpstr>'RES_da-DK'!dbTTest1Title</vt:lpstr>
      <vt:lpstr>'RES_de-DE'!dbTTest1Title</vt:lpstr>
      <vt:lpstr>'RES_el-GR'!dbTTest1Title</vt:lpstr>
      <vt:lpstr>'RES_en-US'!dbTTest1Title</vt:lpstr>
      <vt:lpstr>'RES_es-ES'!dbTTest1Title</vt:lpstr>
      <vt:lpstr>'RES_fi-FI'!dbTTest1Title</vt:lpstr>
      <vt:lpstr>'RES_fr-FR'!dbTTest1Title</vt:lpstr>
      <vt:lpstr>'RES_hr-HR'!dbTTest1Title</vt:lpstr>
      <vt:lpstr>'RES_hu-HU'!dbTTest1Title</vt:lpstr>
      <vt:lpstr>'RES_it-IT'!dbTTest1Title</vt:lpstr>
      <vt:lpstr>'RES_ja-JP'!dbTTest1Title</vt:lpstr>
      <vt:lpstr>'RES_ko-KR'!dbTTest1Title</vt:lpstr>
      <vt:lpstr>'RES_lv-LV'!dbTTest1Title</vt:lpstr>
      <vt:lpstr>'RES_nb-NO'!dbTTest1Title</vt:lpstr>
      <vt:lpstr>'RES_nl-NL'!dbTTest1Title</vt:lpstr>
      <vt:lpstr>'RES_pl-PL'!dbTTest1Title</vt:lpstr>
      <vt:lpstr>'RES_pt-BR'!dbTTest1Title</vt:lpstr>
      <vt:lpstr>'RES_pt-PT'!dbTTest1Title</vt:lpstr>
      <vt:lpstr>'RES_ro-RO'!dbTTest1Title</vt:lpstr>
      <vt:lpstr>'RES_ru-RU'!dbTTest1Title</vt:lpstr>
      <vt:lpstr>'RES_sl-SI'!dbTTest1Title</vt:lpstr>
      <vt:lpstr>'RES_sv-SE'!dbTTest1Title</vt:lpstr>
      <vt:lpstr>'RES_tr-TR'!dbTTest1Title</vt:lpstr>
      <vt:lpstr>'RES_zh-CN'!dbTTest1Title</vt:lpstr>
      <vt:lpstr>'RES_zh-TW'!dbTTest1Title</vt:lpstr>
      <vt:lpstr>'RES_cs-CZ'!dbTTest2</vt:lpstr>
      <vt:lpstr>'RES_da-DK'!dbTTest2</vt:lpstr>
      <vt:lpstr>'RES_de-DE'!dbTTest2</vt:lpstr>
      <vt:lpstr>'RES_el-GR'!dbTTest2</vt:lpstr>
      <vt:lpstr>'RES_en-US'!dbTTest2</vt:lpstr>
      <vt:lpstr>'RES_es-ES'!dbTTest2</vt:lpstr>
      <vt:lpstr>'RES_fi-FI'!dbTTest2</vt:lpstr>
      <vt:lpstr>'RES_fr-FR'!dbTTest2</vt:lpstr>
      <vt:lpstr>'RES_hr-HR'!dbTTest2</vt:lpstr>
      <vt:lpstr>'RES_hu-HU'!dbTTest2</vt:lpstr>
      <vt:lpstr>'RES_it-IT'!dbTTest2</vt:lpstr>
      <vt:lpstr>'RES_ja-JP'!dbTTest2</vt:lpstr>
      <vt:lpstr>'RES_ko-KR'!dbTTest2</vt:lpstr>
      <vt:lpstr>'RES_lv-LV'!dbTTest2</vt:lpstr>
      <vt:lpstr>'RES_nb-NO'!dbTTest2</vt:lpstr>
      <vt:lpstr>'RES_nl-NL'!dbTTest2</vt:lpstr>
      <vt:lpstr>'RES_pl-PL'!dbTTest2</vt:lpstr>
      <vt:lpstr>'RES_pt-BR'!dbTTest2</vt:lpstr>
      <vt:lpstr>'RES_pt-PT'!dbTTest2</vt:lpstr>
      <vt:lpstr>'RES_ro-RO'!dbTTest2</vt:lpstr>
      <vt:lpstr>'RES_ru-RU'!dbTTest2</vt:lpstr>
      <vt:lpstr>'RES_sl-SI'!dbTTest2</vt:lpstr>
      <vt:lpstr>'RES_sv-SE'!dbTTest2</vt:lpstr>
      <vt:lpstr>'RES_tr-TR'!dbTTest2</vt:lpstr>
      <vt:lpstr>'RES_zh-CN'!dbTTest2</vt:lpstr>
      <vt:lpstr>'RES_zh-TW'!dbTTest2</vt:lpstr>
      <vt:lpstr>'RES_cs-CZ'!dbTTest2_AlphaValue</vt:lpstr>
      <vt:lpstr>'RES_da-DK'!dbTTest2_AlphaValue</vt:lpstr>
      <vt:lpstr>'RES_de-DE'!dbTTest2_AlphaValue</vt:lpstr>
      <vt:lpstr>'RES_el-GR'!dbTTest2_AlphaValue</vt:lpstr>
      <vt:lpstr>'RES_en-US'!dbTTest2_AlphaValue</vt:lpstr>
      <vt:lpstr>'RES_es-ES'!dbTTest2_AlphaValue</vt:lpstr>
      <vt:lpstr>'RES_fi-FI'!dbTTest2_AlphaValue</vt:lpstr>
      <vt:lpstr>'RES_fr-FR'!dbTTest2_AlphaValue</vt:lpstr>
      <vt:lpstr>'RES_hr-HR'!dbTTest2_AlphaValue</vt:lpstr>
      <vt:lpstr>'RES_hu-HU'!dbTTest2_AlphaValue</vt:lpstr>
      <vt:lpstr>'RES_it-IT'!dbTTest2_AlphaValue</vt:lpstr>
      <vt:lpstr>'RES_ja-JP'!dbTTest2_AlphaValue</vt:lpstr>
      <vt:lpstr>'RES_ko-KR'!dbTTest2_AlphaValue</vt:lpstr>
      <vt:lpstr>'RES_lv-LV'!dbTTest2_AlphaValue</vt:lpstr>
      <vt:lpstr>'RES_nb-NO'!dbTTest2_AlphaValue</vt:lpstr>
      <vt:lpstr>'RES_nl-NL'!dbTTest2_AlphaValue</vt:lpstr>
      <vt:lpstr>'RES_pl-PL'!dbTTest2_AlphaValue</vt:lpstr>
      <vt:lpstr>'RES_pt-BR'!dbTTest2_AlphaValue</vt:lpstr>
      <vt:lpstr>'RES_pt-PT'!dbTTest2_AlphaValue</vt:lpstr>
      <vt:lpstr>'RES_ro-RO'!dbTTest2_AlphaValue</vt:lpstr>
      <vt:lpstr>'RES_ru-RU'!dbTTest2_AlphaValue</vt:lpstr>
      <vt:lpstr>'RES_sl-SI'!dbTTest2_AlphaValue</vt:lpstr>
      <vt:lpstr>'RES_sv-SE'!dbTTest2_AlphaValue</vt:lpstr>
      <vt:lpstr>'RES_tr-TR'!dbTTest2_AlphaValue</vt:lpstr>
      <vt:lpstr>'RES_zh-CN'!dbTTest2_AlphaValue</vt:lpstr>
      <vt:lpstr>'RES_zh-TW'!dbTTest2_AlphaValue</vt:lpstr>
      <vt:lpstr>'RES_cs-CZ'!dbTTest2_LabelText</vt:lpstr>
      <vt:lpstr>'RES_da-DK'!dbTTest2_LabelText</vt:lpstr>
      <vt:lpstr>'RES_de-DE'!dbTTest2_LabelText</vt:lpstr>
      <vt:lpstr>'RES_el-GR'!dbTTest2_LabelText</vt:lpstr>
      <vt:lpstr>'RES_en-US'!dbTTest2_LabelText</vt:lpstr>
      <vt:lpstr>'RES_es-ES'!dbTTest2_LabelText</vt:lpstr>
      <vt:lpstr>'RES_fi-FI'!dbTTest2_LabelText</vt:lpstr>
      <vt:lpstr>'RES_fr-FR'!dbTTest2_LabelText</vt:lpstr>
      <vt:lpstr>'RES_hr-HR'!dbTTest2_LabelText</vt:lpstr>
      <vt:lpstr>'RES_hu-HU'!dbTTest2_LabelText</vt:lpstr>
      <vt:lpstr>'RES_it-IT'!dbTTest2_LabelText</vt:lpstr>
      <vt:lpstr>'RES_ja-JP'!dbTTest2_LabelText</vt:lpstr>
      <vt:lpstr>'RES_ko-KR'!dbTTest2_LabelText</vt:lpstr>
      <vt:lpstr>'RES_lv-LV'!dbTTest2_LabelText</vt:lpstr>
      <vt:lpstr>'RES_nb-NO'!dbTTest2_LabelText</vt:lpstr>
      <vt:lpstr>'RES_nl-NL'!dbTTest2_LabelText</vt:lpstr>
      <vt:lpstr>'RES_pl-PL'!dbTTest2_LabelText</vt:lpstr>
      <vt:lpstr>'RES_pt-BR'!dbTTest2_LabelText</vt:lpstr>
      <vt:lpstr>'RES_pt-PT'!dbTTest2_LabelText</vt:lpstr>
      <vt:lpstr>'RES_ro-RO'!dbTTest2_LabelText</vt:lpstr>
      <vt:lpstr>'RES_ru-RU'!dbTTest2_LabelText</vt:lpstr>
      <vt:lpstr>'RES_sl-SI'!dbTTest2_LabelText</vt:lpstr>
      <vt:lpstr>'RES_sv-SE'!dbTTest2_LabelText</vt:lpstr>
      <vt:lpstr>'RES_tr-TR'!dbTTest2_LabelText</vt:lpstr>
      <vt:lpstr>'RES_zh-CN'!dbTTest2_LabelText</vt:lpstr>
      <vt:lpstr>'RES_zh-TW'!dbTTest2_LabelText</vt:lpstr>
      <vt:lpstr>'RES_cs-CZ'!dbTTest2_LblChkBox</vt:lpstr>
      <vt:lpstr>'RES_da-DK'!dbTTest2_LblChkBox</vt:lpstr>
      <vt:lpstr>'RES_de-DE'!dbTTest2_LblChkBox</vt:lpstr>
      <vt:lpstr>'RES_el-GR'!dbTTest2_LblChkBox</vt:lpstr>
      <vt:lpstr>'RES_en-US'!dbTTest2_LblChkBox</vt:lpstr>
      <vt:lpstr>'RES_es-ES'!dbTTest2_LblChkBox</vt:lpstr>
      <vt:lpstr>'RES_fi-FI'!dbTTest2_LblChkBox</vt:lpstr>
      <vt:lpstr>'RES_fr-FR'!dbTTest2_LblChkBox</vt:lpstr>
      <vt:lpstr>'RES_hr-HR'!dbTTest2_LblChkBox</vt:lpstr>
      <vt:lpstr>'RES_hu-HU'!dbTTest2_LblChkBox</vt:lpstr>
      <vt:lpstr>'RES_it-IT'!dbTTest2_LblChkBox</vt:lpstr>
      <vt:lpstr>'RES_ja-JP'!dbTTest2_LblChkBox</vt:lpstr>
      <vt:lpstr>'RES_ko-KR'!dbTTest2_LblChkBox</vt:lpstr>
      <vt:lpstr>'RES_lv-LV'!dbTTest2_LblChkBox</vt:lpstr>
      <vt:lpstr>'RES_nb-NO'!dbTTest2_LblChkBox</vt:lpstr>
      <vt:lpstr>'RES_nl-NL'!dbTTest2_LblChkBox</vt:lpstr>
      <vt:lpstr>'RES_pl-PL'!dbTTest2_LblChkBox</vt:lpstr>
      <vt:lpstr>'RES_pt-BR'!dbTTest2_LblChkBox</vt:lpstr>
      <vt:lpstr>'RES_pt-PT'!dbTTest2_LblChkBox</vt:lpstr>
      <vt:lpstr>'RES_ro-RO'!dbTTest2_LblChkBox</vt:lpstr>
      <vt:lpstr>'RES_ru-RU'!dbTTest2_LblChkBox</vt:lpstr>
      <vt:lpstr>'RES_sl-SI'!dbTTest2_LblChkBox</vt:lpstr>
      <vt:lpstr>'RES_sv-SE'!dbTTest2_LblChkBox</vt:lpstr>
      <vt:lpstr>'RES_tr-TR'!dbTTest2_LblChkBox</vt:lpstr>
      <vt:lpstr>'RES_zh-CN'!dbTTest2_LblChkBox</vt:lpstr>
      <vt:lpstr>'RES_zh-TW'!dbTTest2_LblChkBox</vt:lpstr>
      <vt:lpstr>'RES_cs-CZ'!dbTTest2_MeanDiff</vt:lpstr>
      <vt:lpstr>'RES_da-DK'!dbTTest2_MeanDiff</vt:lpstr>
      <vt:lpstr>'RES_de-DE'!dbTTest2_MeanDiff</vt:lpstr>
      <vt:lpstr>'RES_el-GR'!dbTTest2_MeanDiff</vt:lpstr>
      <vt:lpstr>'RES_en-US'!dbTTest2_MeanDiff</vt:lpstr>
      <vt:lpstr>'RES_es-ES'!dbTTest2_MeanDiff</vt:lpstr>
      <vt:lpstr>'RES_fi-FI'!dbTTest2_MeanDiff</vt:lpstr>
      <vt:lpstr>'RES_fr-FR'!dbTTest2_MeanDiff</vt:lpstr>
      <vt:lpstr>'RES_hr-HR'!dbTTest2_MeanDiff</vt:lpstr>
      <vt:lpstr>'RES_hu-HU'!dbTTest2_MeanDiff</vt:lpstr>
      <vt:lpstr>'RES_it-IT'!dbTTest2_MeanDiff</vt:lpstr>
      <vt:lpstr>'RES_ja-JP'!dbTTest2_MeanDiff</vt:lpstr>
      <vt:lpstr>'RES_ko-KR'!dbTTest2_MeanDiff</vt:lpstr>
      <vt:lpstr>'RES_lv-LV'!dbTTest2_MeanDiff</vt:lpstr>
      <vt:lpstr>'RES_nb-NO'!dbTTest2_MeanDiff</vt:lpstr>
      <vt:lpstr>'RES_nl-NL'!dbTTest2_MeanDiff</vt:lpstr>
      <vt:lpstr>'RES_pl-PL'!dbTTest2_MeanDiff</vt:lpstr>
      <vt:lpstr>'RES_pt-BR'!dbTTest2_MeanDiff</vt:lpstr>
      <vt:lpstr>'RES_pt-PT'!dbTTest2_MeanDiff</vt:lpstr>
      <vt:lpstr>'RES_ro-RO'!dbTTest2_MeanDiff</vt:lpstr>
      <vt:lpstr>'RES_ru-RU'!dbTTest2_MeanDiff</vt:lpstr>
      <vt:lpstr>'RES_sl-SI'!dbTTest2_MeanDiff</vt:lpstr>
      <vt:lpstr>'RES_sv-SE'!dbTTest2_MeanDiff</vt:lpstr>
      <vt:lpstr>'RES_tr-TR'!dbTTest2_MeanDiff</vt:lpstr>
      <vt:lpstr>'RES_zh-CN'!dbTTest2_MeanDiff</vt:lpstr>
      <vt:lpstr>'RES_zh-TW'!dbTTest2_MeanDiff</vt:lpstr>
      <vt:lpstr>'RES_cs-CZ'!dbTTest2_NewRef</vt:lpstr>
      <vt:lpstr>'RES_da-DK'!dbTTest2_NewRef</vt:lpstr>
      <vt:lpstr>'RES_de-DE'!dbTTest2_NewRef</vt:lpstr>
      <vt:lpstr>'RES_el-GR'!dbTTest2_NewRef</vt:lpstr>
      <vt:lpstr>'RES_en-US'!dbTTest2_NewRef</vt:lpstr>
      <vt:lpstr>'RES_es-ES'!dbTTest2_NewRef</vt:lpstr>
      <vt:lpstr>'RES_fi-FI'!dbTTest2_NewRef</vt:lpstr>
      <vt:lpstr>'RES_fr-FR'!dbTTest2_NewRef</vt:lpstr>
      <vt:lpstr>'RES_hr-HR'!dbTTest2_NewRef</vt:lpstr>
      <vt:lpstr>'RES_hu-HU'!dbTTest2_NewRef</vt:lpstr>
      <vt:lpstr>'RES_it-IT'!dbTTest2_NewRef</vt:lpstr>
      <vt:lpstr>'RES_ja-JP'!dbTTest2_NewRef</vt:lpstr>
      <vt:lpstr>'RES_ko-KR'!dbTTest2_NewRef</vt:lpstr>
      <vt:lpstr>'RES_lv-LV'!dbTTest2_NewRef</vt:lpstr>
      <vt:lpstr>'RES_nb-NO'!dbTTest2_NewRef</vt:lpstr>
      <vt:lpstr>'RES_nl-NL'!dbTTest2_NewRef</vt:lpstr>
      <vt:lpstr>'RES_pl-PL'!dbTTest2_NewRef</vt:lpstr>
      <vt:lpstr>'RES_pt-BR'!dbTTest2_NewRef</vt:lpstr>
      <vt:lpstr>'RES_pt-PT'!dbTTest2_NewRef</vt:lpstr>
      <vt:lpstr>'RES_ro-RO'!dbTTest2_NewRef</vt:lpstr>
      <vt:lpstr>'RES_ru-RU'!dbTTest2_NewRef</vt:lpstr>
      <vt:lpstr>'RES_sl-SI'!dbTTest2_NewRef</vt:lpstr>
      <vt:lpstr>'RES_sv-SE'!dbTTest2_NewRef</vt:lpstr>
      <vt:lpstr>'RES_tr-TR'!dbTTest2_NewRef</vt:lpstr>
      <vt:lpstr>'RES_zh-CN'!dbTTest2_NewRef</vt:lpstr>
      <vt:lpstr>'RES_zh-TW'!dbTTest2_NewRef</vt:lpstr>
      <vt:lpstr>'RES_cs-CZ'!dbTTest2_NewType</vt:lpstr>
      <vt:lpstr>'RES_da-DK'!dbTTest2_NewType</vt:lpstr>
      <vt:lpstr>'RES_de-DE'!dbTTest2_NewType</vt:lpstr>
      <vt:lpstr>'RES_el-GR'!dbTTest2_NewType</vt:lpstr>
      <vt:lpstr>'RES_en-US'!dbTTest2_NewType</vt:lpstr>
      <vt:lpstr>'RES_es-ES'!dbTTest2_NewType</vt:lpstr>
      <vt:lpstr>'RES_fi-FI'!dbTTest2_NewType</vt:lpstr>
      <vt:lpstr>'RES_fr-FR'!dbTTest2_NewType</vt:lpstr>
      <vt:lpstr>'RES_hr-HR'!dbTTest2_NewType</vt:lpstr>
      <vt:lpstr>'RES_hu-HU'!dbTTest2_NewType</vt:lpstr>
      <vt:lpstr>'RES_it-IT'!dbTTest2_NewType</vt:lpstr>
      <vt:lpstr>'RES_ja-JP'!dbTTest2_NewType</vt:lpstr>
      <vt:lpstr>'RES_ko-KR'!dbTTest2_NewType</vt:lpstr>
      <vt:lpstr>'RES_lv-LV'!dbTTest2_NewType</vt:lpstr>
      <vt:lpstr>'RES_nb-NO'!dbTTest2_NewType</vt:lpstr>
      <vt:lpstr>'RES_nl-NL'!dbTTest2_NewType</vt:lpstr>
      <vt:lpstr>'RES_pl-PL'!dbTTest2_NewType</vt:lpstr>
      <vt:lpstr>'RES_pt-BR'!dbTTest2_NewType</vt:lpstr>
      <vt:lpstr>'RES_pt-PT'!dbTTest2_NewType</vt:lpstr>
      <vt:lpstr>'RES_ro-RO'!dbTTest2_NewType</vt:lpstr>
      <vt:lpstr>'RES_ru-RU'!dbTTest2_NewType</vt:lpstr>
      <vt:lpstr>'RES_sl-SI'!dbTTest2_NewType</vt:lpstr>
      <vt:lpstr>'RES_sv-SE'!dbTTest2_NewType</vt:lpstr>
      <vt:lpstr>'RES_tr-TR'!dbTTest2_NewType</vt:lpstr>
      <vt:lpstr>'RES_zh-CN'!dbTTest2_NewType</vt:lpstr>
      <vt:lpstr>'RES_zh-TW'!dbTTest2_NewType</vt:lpstr>
      <vt:lpstr>'RES_cs-CZ'!dbTTest2_OutOption</vt:lpstr>
      <vt:lpstr>'RES_da-DK'!dbTTest2_OutOption</vt:lpstr>
      <vt:lpstr>'RES_de-DE'!dbTTest2_OutOption</vt:lpstr>
      <vt:lpstr>'RES_el-GR'!dbTTest2_OutOption</vt:lpstr>
      <vt:lpstr>'RES_en-US'!dbTTest2_OutOption</vt:lpstr>
      <vt:lpstr>'RES_es-ES'!dbTTest2_OutOption</vt:lpstr>
      <vt:lpstr>'RES_fi-FI'!dbTTest2_OutOption</vt:lpstr>
      <vt:lpstr>'RES_fr-FR'!dbTTest2_OutOption</vt:lpstr>
      <vt:lpstr>'RES_hr-HR'!dbTTest2_OutOption</vt:lpstr>
      <vt:lpstr>'RES_hu-HU'!dbTTest2_OutOption</vt:lpstr>
      <vt:lpstr>'RES_it-IT'!dbTTest2_OutOption</vt:lpstr>
      <vt:lpstr>'RES_ja-JP'!dbTTest2_OutOption</vt:lpstr>
      <vt:lpstr>'RES_ko-KR'!dbTTest2_OutOption</vt:lpstr>
      <vt:lpstr>'RES_lv-LV'!dbTTest2_OutOption</vt:lpstr>
      <vt:lpstr>'RES_nb-NO'!dbTTest2_OutOption</vt:lpstr>
      <vt:lpstr>'RES_nl-NL'!dbTTest2_OutOption</vt:lpstr>
      <vt:lpstr>'RES_pl-PL'!dbTTest2_OutOption</vt:lpstr>
      <vt:lpstr>'RES_pt-BR'!dbTTest2_OutOption</vt:lpstr>
      <vt:lpstr>'RES_pt-PT'!dbTTest2_OutOption</vt:lpstr>
      <vt:lpstr>'RES_ro-RO'!dbTTest2_OutOption</vt:lpstr>
      <vt:lpstr>'RES_ru-RU'!dbTTest2_OutOption</vt:lpstr>
      <vt:lpstr>'RES_sl-SI'!dbTTest2_OutOption</vt:lpstr>
      <vt:lpstr>'RES_sv-SE'!dbTTest2_OutOption</vt:lpstr>
      <vt:lpstr>'RES_tr-TR'!dbTTest2_OutOption</vt:lpstr>
      <vt:lpstr>'RES_zh-CN'!dbTTest2_OutOption</vt:lpstr>
      <vt:lpstr>'RES_zh-TW'!dbTTest2_OutOption</vt:lpstr>
      <vt:lpstr>'RES_cs-CZ'!dbTTest2_OutRef</vt:lpstr>
      <vt:lpstr>'RES_da-DK'!dbTTest2_OutRef</vt:lpstr>
      <vt:lpstr>'RES_de-DE'!dbTTest2_OutRef</vt:lpstr>
      <vt:lpstr>'RES_el-GR'!dbTTest2_OutRef</vt:lpstr>
      <vt:lpstr>'RES_en-US'!dbTTest2_OutRef</vt:lpstr>
      <vt:lpstr>'RES_es-ES'!dbTTest2_OutRef</vt:lpstr>
      <vt:lpstr>'RES_fi-FI'!dbTTest2_OutRef</vt:lpstr>
      <vt:lpstr>'RES_fr-FR'!dbTTest2_OutRef</vt:lpstr>
      <vt:lpstr>'RES_hr-HR'!dbTTest2_OutRef</vt:lpstr>
      <vt:lpstr>'RES_hu-HU'!dbTTest2_OutRef</vt:lpstr>
      <vt:lpstr>'RES_it-IT'!dbTTest2_OutRef</vt:lpstr>
      <vt:lpstr>'RES_ja-JP'!dbTTest2_OutRef</vt:lpstr>
      <vt:lpstr>'RES_ko-KR'!dbTTest2_OutRef</vt:lpstr>
      <vt:lpstr>'RES_lv-LV'!dbTTest2_OutRef</vt:lpstr>
      <vt:lpstr>'RES_nb-NO'!dbTTest2_OutRef</vt:lpstr>
      <vt:lpstr>'RES_nl-NL'!dbTTest2_OutRef</vt:lpstr>
      <vt:lpstr>'RES_pl-PL'!dbTTest2_OutRef</vt:lpstr>
      <vt:lpstr>'RES_pt-BR'!dbTTest2_OutRef</vt:lpstr>
      <vt:lpstr>'RES_pt-PT'!dbTTest2_OutRef</vt:lpstr>
      <vt:lpstr>'RES_ro-RO'!dbTTest2_OutRef</vt:lpstr>
      <vt:lpstr>'RES_ru-RU'!dbTTest2_OutRef</vt:lpstr>
      <vt:lpstr>'RES_sl-SI'!dbTTest2_OutRef</vt:lpstr>
      <vt:lpstr>'RES_sv-SE'!dbTTest2_OutRef</vt:lpstr>
      <vt:lpstr>'RES_tr-TR'!dbTTest2_OutRef</vt:lpstr>
      <vt:lpstr>'RES_zh-CN'!dbTTest2_OutRef</vt:lpstr>
      <vt:lpstr>'RES_zh-TW'!dbTTest2_OutRef</vt:lpstr>
      <vt:lpstr>'RES_cs-CZ'!dbTTest2_OutType</vt:lpstr>
      <vt:lpstr>'RES_da-DK'!dbTTest2_OutType</vt:lpstr>
      <vt:lpstr>'RES_de-DE'!dbTTest2_OutType</vt:lpstr>
      <vt:lpstr>'RES_el-GR'!dbTTest2_OutType</vt:lpstr>
      <vt:lpstr>'RES_en-US'!dbTTest2_OutType</vt:lpstr>
      <vt:lpstr>'RES_es-ES'!dbTTest2_OutType</vt:lpstr>
      <vt:lpstr>'RES_fi-FI'!dbTTest2_OutType</vt:lpstr>
      <vt:lpstr>'RES_fr-FR'!dbTTest2_OutType</vt:lpstr>
      <vt:lpstr>'RES_hr-HR'!dbTTest2_OutType</vt:lpstr>
      <vt:lpstr>'RES_hu-HU'!dbTTest2_OutType</vt:lpstr>
      <vt:lpstr>'RES_it-IT'!dbTTest2_OutType</vt:lpstr>
      <vt:lpstr>'RES_ja-JP'!dbTTest2_OutType</vt:lpstr>
      <vt:lpstr>'RES_ko-KR'!dbTTest2_OutType</vt:lpstr>
      <vt:lpstr>'RES_lv-LV'!dbTTest2_OutType</vt:lpstr>
      <vt:lpstr>'RES_nb-NO'!dbTTest2_OutType</vt:lpstr>
      <vt:lpstr>'RES_nl-NL'!dbTTest2_OutType</vt:lpstr>
      <vt:lpstr>'RES_pl-PL'!dbTTest2_OutType</vt:lpstr>
      <vt:lpstr>'RES_pt-BR'!dbTTest2_OutType</vt:lpstr>
      <vt:lpstr>'RES_pt-PT'!dbTTest2_OutType</vt:lpstr>
      <vt:lpstr>'RES_ro-RO'!dbTTest2_OutType</vt:lpstr>
      <vt:lpstr>'RES_ru-RU'!dbTTest2_OutType</vt:lpstr>
      <vt:lpstr>'RES_sl-SI'!dbTTest2_OutType</vt:lpstr>
      <vt:lpstr>'RES_sv-SE'!dbTTest2_OutType</vt:lpstr>
      <vt:lpstr>'RES_tr-TR'!dbTTest2_OutType</vt:lpstr>
      <vt:lpstr>'RES_zh-CN'!dbTTest2_OutType</vt:lpstr>
      <vt:lpstr>'RES_zh-TW'!dbTTest2_OutType</vt:lpstr>
      <vt:lpstr>'RES_cs-CZ'!dbTTest2_PlyInpFld</vt:lpstr>
      <vt:lpstr>'RES_da-DK'!dbTTest2_PlyInpFld</vt:lpstr>
      <vt:lpstr>'RES_de-DE'!dbTTest2_PlyInpFld</vt:lpstr>
      <vt:lpstr>'RES_el-GR'!dbTTest2_PlyInpFld</vt:lpstr>
      <vt:lpstr>'RES_en-US'!dbTTest2_PlyInpFld</vt:lpstr>
      <vt:lpstr>'RES_es-ES'!dbTTest2_PlyInpFld</vt:lpstr>
      <vt:lpstr>'RES_fi-FI'!dbTTest2_PlyInpFld</vt:lpstr>
      <vt:lpstr>'RES_fr-FR'!dbTTest2_PlyInpFld</vt:lpstr>
      <vt:lpstr>'RES_hr-HR'!dbTTest2_PlyInpFld</vt:lpstr>
      <vt:lpstr>'RES_hu-HU'!dbTTest2_PlyInpFld</vt:lpstr>
      <vt:lpstr>'RES_it-IT'!dbTTest2_PlyInpFld</vt:lpstr>
      <vt:lpstr>'RES_ja-JP'!dbTTest2_PlyInpFld</vt:lpstr>
      <vt:lpstr>'RES_ko-KR'!dbTTest2_PlyInpFld</vt:lpstr>
      <vt:lpstr>'RES_lv-LV'!dbTTest2_PlyInpFld</vt:lpstr>
      <vt:lpstr>'RES_nb-NO'!dbTTest2_PlyInpFld</vt:lpstr>
      <vt:lpstr>'RES_nl-NL'!dbTTest2_PlyInpFld</vt:lpstr>
      <vt:lpstr>'RES_pl-PL'!dbTTest2_PlyInpFld</vt:lpstr>
      <vt:lpstr>'RES_pt-BR'!dbTTest2_PlyInpFld</vt:lpstr>
      <vt:lpstr>'RES_pt-PT'!dbTTest2_PlyInpFld</vt:lpstr>
      <vt:lpstr>'RES_ro-RO'!dbTTest2_PlyInpFld</vt:lpstr>
      <vt:lpstr>'RES_ru-RU'!dbTTest2_PlyInpFld</vt:lpstr>
      <vt:lpstr>'RES_sl-SI'!dbTTest2_PlyInpFld</vt:lpstr>
      <vt:lpstr>'RES_sv-SE'!dbTTest2_PlyInpFld</vt:lpstr>
      <vt:lpstr>'RES_tr-TR'!dbTTest2_PlyInpFld</vt:lpstr>
      <vt:lpstr>'RES_zh-CN'!dbTTest2_PlyInpFld</vt:lpstr>
      <vt:lpstr>'RES_zh-TW'!dbTTest2_PlyInpFld</vt:lpstr>
      <vt:lpstr>'RES_cs-CZ'!dbTTest2_PlyName</vt:lpstr>
      <vt:lpstr>'RES_da-DK'!dbTTest2_PlyName</vt:lpstr>
      <vt:lpstr>'RES_de-DE'!dbTTest2_PlyName</vt:lpstr>
      <vt:lpstr>'RES_el-GR'!dbTTest2_PlyName</vt:lpstr>
      <vt:lpstr>'RES_en-US'!dbTTest2_PlyName</vt:lpstr>
      <vt:lpstr>'RES_es-ES'!dbTTest2_PlyName</vt:lpstr>
      <vt:lpstr>'RES_fi-FI'!dbTTest2_PlyName</vt:lpstr>
      <vt:lpstr>'RES_fr-FR'!dbTTest2_PlyName</vt:lpstr>
      <vt:lpstr>'RES_hr-HR'!dbTTest2_PlyName</vt:lpstr>
      <vt:lpstr>'RES_hu-HU'!dbTTest2_PlyName</vt:lpstr>
      <vt:lpstr>'RES_it-IT'!dbTTest2_PlyName</vt:lpstr>
      <vt:lpstr>'RES_ja-JP'!dbTTest2_PlyName</vt:lpstr>
      <vt:lpstr>'RES_ko-KR'!dbTTest2_PlyName</vt:lpstr>
      <vt:lpstr>'RES_lv-LV'!dbTTest2_PlyName</vt:lpstr>
      <vt:lpstr>'RES_nb-NO'!dbTTest2_PlyName</vt:lpstr>
      <vt:lpstr>'RES_nl-NL'!dbTTest2_PlyName</vt:lpstr>
      <vt:lpstr>'RES_pl-PL'!dbTTest2_PlyName</vt:lpstr>
      <vt:lpstr>'RES_pt-BR'!dbTTest2_PlyName</vt:lpstr>
      <vt:lpstr>'RES_pt-PT'!dbTTest2_PlyName</vt:lpstr>
      <vt:lpstr>'RES_ro-RO'!dbTTest2_PlyName</vt:lpstr>
      <vt:lpstr>'RES_ru-RU'!dbTTest2_PlyName</vt:lpstr>
      <vt:lpstr>'RES_sl-SI'!dbTTest2_PlyName</vt:lpstr>
      <vt:lpstr>'RES_sv-SE'!dbTTest2_PlyName</vt:lpstr>
      <vt:lpstr>'RES_tr-TR'!dbTTest2_PlyName</vt:lpstr>
      <vt:lpstr>'RES_zh-CN'!dbTTest2_PlyName</vt:lpstr>
      <vt:lpstr>'RES_zh-TW'!dbTTest2_PlyName</vt:lpstr>
      <vt:lpstr>'RES_cs-CZ'!dbTTest2_RangeInpFld</vt:lpstr>
      <vt:lpstr>'RES_da-DK'!dbTTest2_RangeInpFld</vt:lpstr>
      <vt:lpstr>'RES_de-DE'!dbTTest2_RangeInpFld</vt:lpstr>
      <vt:lpstr>'RES_el-GR'!dbTTest2_RangeInpFld</vt:lpstr>
      <vt:lpstr>'RES_en-US'!dbTTest2_RangeInpFld</vt:lpstr>
      <vt:lpstr>'RES_es-ES'!dbTTest2_RangeInpFld</vt:lpstr>
      <vt:lpstr>'RES_fi-FI'!dbTTest2_RangeInpFld</vt:lpstr>
      <vt:lpstr>'RES_fr-FR'!dbTTest2_RangeInpFld</vt:lpstr>
      <vt:lpstr>'RES_hr-HR'!dbTTest2_RangeInpFld</vt:lpstr>
      <vt:lpstr>'RES_hu-HU'!dbTTest2_RangeInpFld</vt:lpstr>
      <vt:lpstr>'RES_it-IT'!dbTTest2_RangeInpFld</vt:lpstr>
      <vt:lpstr>'RES_ja-JP'!dbTTest2_RangeInpFld</vt:lpstr>
      <vt:lpstr>'RES_ko-KR'!dbTTest2_RangeInpFld</vt:lpstr>
      <vt:lpstr>'RES_lv-LV'!dbTTest2_RangeInpFld</vt:lpstr>
      <vt:lpstr>'RES_nb-NO'!dbTTest2_RangeInpFld</vt:lpstr>
      <vt:lpstr>'RES_nl-NL'!dbTTest2_RangeInpFld</vt:lpstr>
      <vt:lpstr>'RES_pl-PL'!dbTTest2_RangeInpFld</vt:lpstr>
      <vt:lpstr>'RES_pt-BR'!dbTTest2_RangeInpFld</vt:lpstr>
      <vt:lpstr>'RES_pt-PT'!dbTTest2_RangeInpFld</vt:lpstr>
      <vt:lpstr>'RES_ro-RO'!dbTTest2_RangeInpFld</vt:lpstr>
      <vt:lpstr>'RES_ru-RU'!dbTTest2_RangeInpFld</vt:lpstr>
      <vt:lpstr>'RES_sl-SI'!dbTTest2_RangeInpFld</vt:lpstr>
      <vt:lpstr>'RES_sv-SE'!dbTTest2_RangeInpFld</vt:lpstr>
      <vt:lpstr>'RES_tr-TR'!dbTTest2_RangeInpFld</vt:lpstr>
      <vt:lpstr>'RES_zh-CN'!dbTTest2_RangeInpFld</vt:lpstr>
      <vt:lpstr>'RES_zh-TW'!dbTTest2_RangeInpFld</vt:lpstr>
      <vt:lpstr>'RES_cs-CZ'!dbTTest2_RangeRef</vt:lpstr>
      <vt:lpstr>'RES_da-DK'!dbTTest2_RangeRef</vt:lpstr>
      <vt:lpstr>'RES_de-DE'!dbTTest2_RangeRef</vt:lpstr>
      <vt:lpstr>'RES_el-GR'!dbTTest2_RangeRef</vt:lpstr>
      <vt:lpstr>'RES_en-US'!dbTTest2_RangeRef</vt:lpstr>
      <vt:lpstr>'RES_es-ES'!dbTTest2_RangeRef</vt:lpstr>
      <vt:lpstr>'RES_fi-FI'!dbTTest2_RangeRef</vt:lpstr>
      <vt:lpstr>'RES_fr-FR'!dbTTest2_RangeRef</vt:lpstr>
      <vt:lpstr>'RES_hr-HR'!dbTTest2_RangeRef</vt:lpstr>
      <vt:lpstr>'RES_hu-HU'!dbTTest2_RangeRef</vt:lpstr>
      <vt:lpstr>'RES_it-IT'!dbTTest2_RangeRef</vt:lpstr>
      <vt:lpstr>'RES_ja-JP'!dbTTest2_RangeRef</vt:lpstr>
      <vt:lpstr>'RES_ko-KR'!dbTTest2_RangeRef</vt:lpstr>
      <vt:lpstr>'RES_lv-LV'!dbTTest2_RangeRef</vt:lpstr>
      <vt:lpstr>'RES_nb-NO'!dbTTest2_RangeRef</vt:lpstr>
      <vt:lpstr>'RES_nl-NL'!dbTTest2_RangeRef</vt:lpstr>
      <vt:lpstr>'RES_pl-PL'!dbTTest2_RangeRef</vt:lpstr>
      <vt:lpstr>'RES_pt-BR'!dbTTest2_RangeRef</vt:lpstr>
      <vt:lpstr>'RES_pt-PT'!dbTTest2_RangeRef</vt:lpstr>
      <vt:lpstr>'RES_ro-RO'!dbTTest2_RangeRef</vt:lpstr>
      <vt:lpstr>'RES_ru-RU'!dbTTest2_RangeRef</vt:lpstr>
      <vt:lpstr>'RES_sl-SI'!dbTTest2_RangeRef</vt:lpstr>
      <vt:lpstr>'RES_sv-SE'!dbTTest2_RangeRef</vt:lpstr>
      <vt:lpstr>'RES_tr-TR'!dbTTest2_RangeRef</vt:lpstr>
      <vt:lpstr>'RES_zh-CN'!dbTTest2_RangeRef</vt:lpstr>
      <vt:lpstr>'RES_zh-TW'!dbTTest2_RangeRef</vt:lpstr>
      <vt:lpstr>'RES_cs-CZ'!dbTTest2_VarRng1</vt:lpstr>
      <vt:lpstr>'RES_da-DK'!dbTTest2_VarRng1</vt:lpstr>
      <vt:lpstr>'RES_de-DE'!dbTTest2_VarRng1</vt:lpstr>
      <vt:lpstr>'RES_el-GR'!dbTTest2_VarRng1</vt:lpstr>
      <vt:lpstr>'RES_en-US'!dbTTest2_VarRng1</vt:lpstr>
      <vt:lpstr>'RES_es-ES'!dbTTest2_VarRng1</vt:lpstr>
      <vt:lpstr>'RES_fi-FI'!dbTTest2_VarRng1</vt:lpstr>
      <vt:lpstr>'RES_fr-FR'!dbTTest2_VarRng1</vt:lpstr>
      <vt:lpstr>'RES_hr-HR'!dbTTest2_VarRng1</vt:lpstr>
      <vt:lpstr>'RES_hu-HU'!dbTTest2_VarRng1</vt:lpstr>
      <vt:lpstr>'RES_it-IT'!dbTTest2_VarRng1</vt:lpstr>
      <vt:lpstr>'RES_ja-JP'!dbTTest2_VarRng1</vt:lpstr>
      <vt:lpstr>'RES_ko-KR'!dbTTest2_VarRng1</vt:lpstr>
      <vt:lpstr>'RES_lv-LV'!dbTTest2_VarRng1</vt:lpstr>
      <vt:lpstr>'RES_nb-NO'!dbTTest2_VarRng1</vt:lpstr>
      <vt:lpstr>'RES_nl-NL'!dbTTest2_VarRng1</vt:lpstr>
      <vt:lpstr>'RES_pl-PL'!dbTTest2_VarRng1</vt:lpstr>
      <vt:lpstr>'RES_pt-BR'!dbTTest2_VarRng1</vt:lpstr>
      <vt:lpstr>'RES_pt-PT'!dbTTest2_VarRng1</vt:lpstr>
      <vt:lpstr>'RES_ro-RO'!dbTTest2_VarRng1</vt:lpstr>
      <vt:lpstr>'RES_ru-RU'!dbTTest2_VarRng1</vt:lpstr>
      <vt:lpstr>'RES_sl-SI'!dbTTest2_VarRng1</vt:lpstr>
      <vt:lpstr>'RES_sv-SE'!dbTTest2_VarRng1</vt:lpstr>
      <vt:lpstr>'RES_tr-TR'!dbTTest2_VarRng1</vt:lpstr>
      <vt:lpstr>'RES_zh-CN'!dbTTest2_VarRng1</vt:lpstr>
      <vt:lpstr>'RES_zh-TW'!dbTTest2_VarRng1</vt:lpstr>
      <vt:lpstr>'RES_cs-CZ'!dbTTest2_VarRng2</vt:lpstr>
      <vt:lpstr>'RES_da-DK'!dbTTest2_VarRng2</vt:lpstr>
      <vt:lpstr>'RES_de-DE'!dbTTest2_VarRng2</vt:lpstr>
      <vt:lpstr>'RES_el-GR'!dbTTest2_VarRng2</vt:lpstr>
      <vt:lpstr>'RES_en-US'!dbTTest2_VarRng2</vt:lpstr>
      <vt:lpstr>'RES_es-ES'!dbTTest2_VarRng2</vt:lpstr>
      <vt:lpstr>'RES_fi-FI'!dbTTest2_VarRng2</vt:lpstr>
      <vt:lpstr>'RES_fr-FR'!dbTTest2_VarRng2</vt:lpstr>
      <vt:lpstr>'RES_hr-HR'!dbTTest2_VarRng2</vt:lpstr>
      <vt:lpstr>'RES_hu-HU'!dbTTest2_VarRng2</vt:lpstr>
      <vt:lpstr>'RES_it-IT'!dbTTest2_VarRng2</vt:lpstr>
      <vt:lpstr>'RES_ja-JP'!dbTTest2_VarRng2</vt:lpstr>
      <vt:lpstr>'RES_ko-KR'!dbTTest2_VarRng2</vt:lpstr>
      <vt:lpstr>'RES_lv-LV'!dbTTest2_VarRng2</vt:lpstr>
      <vt:lpstr>'RES_nb-NO'!dbTTest2_VarRng2</vt:lpstr>
      <vt:lpstr>'RES_nl-NL'!dbTTest2_VarRng2</vt:lpstr>
      <vt:lpstr>'RES_pl-PL'!dbTTest2_VarRng2</vt:lpstr>
      <vt:lpstr>'RES_pt-BR'!dbTTest2_VarRng2</vt:lpstr>
      <vt:lpstr>'RES_pt-PT'!dbTTest2_VarRng2</vt:lpstr>
      <vt:lpstr>'RES_ro-RO'!dbTTest2_VarRng2</vt:lpstr>
      <vt:lpstr>'RES_ru-RU'!dbTTest2_VarRng2</vt:lpstr>
      <vt:lpstr>'RES_sl-SI'!dbTTest2_VarRng2</vt:lpstr>
      <vt:lpstr>'RES_sv-SE'!dbTTest2_VarRng2</vt:lpstr>
      <vt:lpstr>'RES_tr-TR'!dbTTest2_VarRng2</vt:lpstr>
      <vt:lpstr>'RES_zh-CN'!dbTTest2_VarRng2</vt:lpstr>
      <vt:lpstr>'RES_zh-TW'!dbTTest2_VarRng2</vt:lpstr>
      <vt:lpstr>'RES_cs-CZ'!dbTTest2Title</vt:lpstr>
      <vt:lpstr>'RES_da-DK'!dbTTest2Title</vt:lpstr>
      <vt:lpstr>'RES_de-DE'!dbTTest2Title</vt:lpstr>
      <vt:lpstr>'RES_el-GR'!dbTTest2Title</vt:lpstr>
      <vt:lpstr>'RES_en-US'!dbTTest2Title</vt:lpstr>
      <vt:lpstr>'RES_es-ES'!dbTTest2Title</vt:lpstr>
      <vt:lpstr>'RES_fi-FI'!dbTTest2Title</vt:lpstr>
      <vt:lpstr>'RES_fr-FR'!dbTTest2Title</vt:lpstr>
      <vt:lpstr>'RES_hr-HR'!dbTTest2Title</vt:lpstr>
      <vt:lpstr>'RES_hu-HU'!dbTTest2Title</vt:lpstr>
      <vt:lpstr>'RES_it-IT'!dbTTest2Title</vt:lpstr>
      <vt:lpstr>'RES_ja-JP'!dbTTest2Title</vt:lpstr>
      <vt:lpstr>'RES_ko-KR'!dbTTest2Title</vt:lpstr>
      <vt:lpstr>'RES_lv-LV'!dbTTest2Title</vt:lpstr>
      <vt:lpstr>'RES_nb-NO'!dbTTest2Title</vt:lpstr>
      <vt:lpstr>'RES_nl-NL'!dbTTest2Title</vt:lpstr>
      <vt:lpstr>'RES_pl-PL'!dbTTest2Title</vt:lpstr>
      <vt:lpstr>'RES_pt-BR'!dbTTest2Title</vt:lpstr>
      <vt:lpstr>'RES_pt-PT'!dbTTest2Title</vt:lpstr>
      <vt:lpstr>'RES_ro-RO'!dbTTest2Title</vt:lpstr>
      <vt:lpstr>'RES_ru-RU'!dbTTest2Title</vt:lpstr>
      <vt:lpstr>'RES_sl-SI'!dbTTest2Title</vt:lpstr>
      <vt:lpstr>'RES_sv-SE'!dbTTest2Title</vt:lpstr>
      <vt:lpstr>'RES_tr-TR'!dbTTest2Title</vt:lpstr>
      <vt:lpstr>'RES_zh-CN'!dbTTest2Title</vt:lpstr>
      <vt:lpstr>'RES_zh-TW'!dbTTest2Title</vt:lpstr>
      <vt:lpstr>'RES_cs-CZ'!dbTTest3</vt:lpstr>
      <vt:lpstr>'RES_da-DK'!dbTTest3</vt:lpstr>
      <vt:lpstr>'RES_de-DE'!dbTTest3</vt:lpstr>
      <vt:lpstr>'RES_el-GR'!dbTTest3</vt:lpstr>
      <vt:lpstr>'RES_en-US'!dbTTest3</vt:lpstr>
      <vt:lpstr>'RES_es-ES'!dbTTest3</vt:lpstr>
      <vt:lpstr>'RES_fi-FI'!dbTTest3</vt:lpstr>
      <vt:lpstr>'RES_fr-FR'!dbTTest3</vt:lpstr>
      <vt:lpstr>'RES_hr-HR'!dbTTest3</vt:lpstr>
      <vt:lpstr>'RES_hu-HU'!dbTTest3</vt:lpstr>
      <vt:lpstr>'RES_it-IT'!dbTTest3</vt:lpstr>
      <vt:lpstr>'RES_ja-JP'!dbTTest3</vt:lpstr>
      <vt:lpstr>'RES_ko-KR'!dbTTest3</vt:lpstr>
      <vt:lpstr>'RES_lv-LV'!dbTTest3</vt:lpstr>
      <vt:lpstr>'RES_nb-NO'!dbTTest3</vt:lpstr>
      <vt:lpstr>'RES_nl-NL'!dbTTest3</vt:lpstr>
      <vt:lpstr>'RES_pl-PL'!dbTTest3</vt:lpstr>
      <vt:lpstr>'RES_pt-BR'!dbTTest3</vt:lpstr>
      <vt:lpstr>'RES_pt-PT'!dbTTest3</vt:lpstr>
      <vt:lpstr>'RES_ro-RO'!dbTTest3</vt:lpstr>
      <vt:lpstr>'RES_ru-RU'!dbTTest3</vt:lpstr>
      <vt:lpstr>'RES_sl-SI'!dbTTest3</vt:lpstr>
      <vt:lpstr>'RES_sv-SE'!dbTTest3</vt:lpstr>
      <vt:lpstr>'RES_tr-TR'!dbTTest3</vt:lpstr>
      <vt:lpstr>'RES_zh-CN'!dbTTest3</vt:lpstr>
      <vt:lpstr>'RES_zh-TW'!dbTTest3</vt:lpstr>
      <vt:lpstr>'RES_cs-CZ'!dbTTest3_AlphaValue</vt:lpstr>
      <vt:lpstr>'RES_da-DK'!dbTTest3_AlphaValue</vt:lpstr>
      <vt:lpstr>'RES_de-DE'!dbTTest3_AlphaValue</vt:lpstr>
      <vt:lpstr>'RES_el-GR'!dbTTest3_AlphaValue</vt:lpstr>
      <vt:lpstr>'RES_en-US'!dbTTest3_AlphaValue</vt:lpstr>
      <vt:lpstr>'RES_es-ES'!dbTTest3_AlphaValue</vt:lpstr>
      <vt:lpstr>'RES_fi-FI'!dbTTest3_AlphaValue</vt:lpstr>
      <vt:lpstr>'RES_fr-FR'!dbTTest3_AlphaValue</vt:lpstr>
      <vt:lpstr>'RES_hr-HR'!dbTTest3_AlphaValue</vt:lpstr>
      <vt:lpstr>'RES_hu-HU'!dbTTest3_AlphaValue</vt:lpstr>
      <vt:lpstr>'RES_it-IT'!dbTTest3_AlphaValue</vt:lpstr>
      <vt:lpstr>'RES_ja-JP'!dbTTest3_AlphaValue</vt:lpstr>
      <vt:lpstr>'RES_ko-KR'!dbTTest3_AlphaValue</vt:lpstr>
      <vt:lpstr>'RES_lv-LV'!dbTTest3_AlphaValue</vt:lpstr>
      <vt:lpstr>'RES_nb-NO'!dbTTest3_AlphaValue</vt:lpstr>
      <vt:lpstr>'RES_nl-NL'!dbTTest3_AlphaValue</vt:lpstr>
      <vt:lpstr>'RES_pl-PL'!dbTTest3_AlphaValue</vt:lpstr>
      <vt:lpstr>'RES_pt-BR'!dbTTest3_AlphaValue</vt:lpstr>
      <vt:lpstr>'RES_pt-PT'!dbTTest3_AlphaValue</vt:lpstr>
      <vt:lpstr>'RES_ro-RO'!dbTTest3_AlphaValue</vt:lpstr>
      <vt:lpstr>'RES_ru-RU'!dbTTest3_AlphaValue</vt:lpstr>
      <vt:lpstr>'RES_sl-SI'!dbTTest3_AlphaValue</vt:lpstr>
      <vt:lpstr>'RES_sv-SE'!dbTTest3_AlphaValue</vt:lpstr>
      <vt:lpstr>'RES_tr-TR'!dbTTest3_AlphaValue</vt:lpstr>
      <vt:lpstr>'RES_zh-CN'!dbTTest3_AlphaValue</vt:lpstr>
      <vt:lpstr>'RES_zh-TW'!dbTTest3_AlphaValue</vt:lpstr>
      <vt:lpstr>'RES_cs-CZ'!dbTTest3_LblChkBox</vt:lpstr>
      <vt:lpstr>'RES_da-DK'!dbTTest3_LblChkBox</vt:lpstr>
      <vt:lpstr>'RES_de-DE'!dbTTest3_LblChkBox</vt:lpstr>
      <vt:lpstr>'RES_el-GR'!dbTTest3_LblChkBox</vt:lpstr>
      <vt:lpstr>'RES_en-US'!dbTTest3_LblChkBox</vt:lpstr>
      <vt:lpstr>'RES_es-ES'!dbTTest3_LblChkBox</vt:lpstr>
      <vt:lpstr>'RES_fi-FI'!dbTTest3_LblChkBox</vt:lpstr>
      <vt:lpstr>'RES_fr-FR'!dbTTest3_LblChkBox</vt:lpstr>
      <vt:lpstr>'RES_hr-HR'!dbTTest3_LblChkBox</vt:lpstr>
      <vt:lpstr>'RES_hu-HU'!dbTTest3_LblChkBox</vt:lpstr>
      <vt:lpstr>'RES_it-IT'!dbTTest3_LblChkBox</vt:lpstr>
      <vt:lpstr>'RES_ja-JP'!dbTTest3_LblChkBox</vt:lpstr>
      <vt:lpstr>'RES_ko-KR'!dbTTest3_LblChkBox</vt:lpstr>
      <vt:lpstr>'RES_lv-LV'!dbTTest3_LblChkBox</vt:lpstr>
      <vt:lpstr>'RES_nb-NO'!dbTTest3_LblChkBox</vt:lpstr>
      <vt:lpstr>'RES_nl-NL'!dbTTest3_LblChkBox</vt:lpstr>
      <vt:lpstr>'RES_pl-PL'!dbTTest3_LblChkBox</vt:lpstr>
      <vt:lpstr>'RES_pt-BR'!dbTTest3_LblChkBox</vt:lpstr>
      <vt:lpstr>'RES_pt-PT'!dbTTest3_LblChkBox</vt:lpstr>
      <vt:lpstr>'RES_ro-RO'!dbTTest3_LblChkBox</vt:lpstr>
      <vt:lpstr>'RES_ru-RU'!dbTTest3_LblChkBox</vt:lpstr>
      <vt:lpstr>'RES_sl-SI'!dbTTest3_LblChkBox</vt:lpstr>
      <vt:lpstr>'RES_sv-SE'!dbTTest3_LblChkBox</vt:lpstr>
      <vt:lpstr>'RES_tr-TR'!dbTTest3_LblChkBox</vt:lpstr>
      <vt:lpstr>'RES_zh-CN'!dbTTest3_LblChkBox</vt:lpstr>
      <vt:lpstr>'RES_zh-TW'!dbTTest3_LblChkBox</vt:lpstr>
      <vt:lpstr>'RES_cs-CZ'!dbTTest3_MeanDiff</vt:lpstr>
      <vt:lpstr>'RES_da-DK'!dbTTest3_MeanDiff</vt:lpstr>
      <vt:lpstr>'RES_de-DE'!dbTTest3_MeanDiff</vt:lpstr>
      <vt:lpstr>'RES_el-GR'!dbTTest3_MeanDiff</vt:lpstr>
      <vt:lpstr>'RES_en-US'!dbTTest3_MeanDiff</vt:lpstr>
      <vt:lpstr>'RES_es-ES'!dbTTest3_MeanDiff</vt:lpstr>
      <vt:lpstr>'RES_fi-FI'!dbTTest3_MeanDiff</vt:lpstr>
      <vt:lpstr>'RES_fr-FR'!dbTTest3_MeanDiff</vt:lpstr>
      <vt:lpstr>'RES_hr-HR'!dbTTest3_MeanDiff</vt:lpstr>
      <vt:lpstr>'RES_hu-HU'!dbTTest3_MeanDiff</vt:lpstr>
      <vt:lpstr>'RES_it-IT'!dbTTest3_MeanDiff</vt:lpstr>
      <vt:lpstr>'RES_ja-JP'!dbTTest3_MeanDiff</vt:lpstr>
      <vt:lpstr>'RES_ko-KR'!dbTTest3_MeanDiff</vt:lpstr>
      <vt:lpstr>'RES_lv-LV'!dbTTest3_MeanDiff</vt:lpstr>
      <vt:lpstr>'RES_nb-NO'!dbTTest3_MeanDiff</vt:lpstr>
      <vt:lpstr>'RES_nl-NL'!dbTTest3_MeanDiff</vt:lpstr>
      <vt:lpstr>'RES_pl-PL'!dbTTest3_MeanDiff</vt:lpstr>
      <vt:lpstr>'RES_pt-BR'!dbTTest3_MeanDiff</vt:lpstr>
      <vt:lpstr>'RES_pt-PT'!dbTTest3_MeanDiff</vt:lpstr>
      <vt:lpstr>'RES_ro-RO'!dbTTest3_MeanDiff</vt:lpstr>
      <vt:lpstr>'RES_ru-RU'!dbTTest3_MeanDiff</vt:lpstr>
      <vt:lpstr>'RES_sl-SI'!dbTTest3_MeanDiff</vt:lpstr>
      <vt:lpstr>'RES_sv-SE'!dbTTest3_MeanDiff</vt:lpstr>
      <vt:lpstr>'RES_tr-TR'!dbTTest3_MeanDiff</vt:lpstr>
      <vt:lpstr>'RES_zh-CN'!dbTTest3_MeanDiff</vt:lpstr>
      <vt:lpstr>'RES_zh-TW'!dbTTest3_MeanDiff</vt:lpstr>
      <vt:lpstr>'RES_cs-CZ'!dbTTest3_NewRef</vt:lpstr>
      <vt:lpstr>'RES_da-DK'!dbTTest3_NewRef</vt:lpstr>
      <vt:lpstr>'RES_de-DE'!dbTTest3_NewRef</vt:lpstr>
      <vt:lpstr>'RES_el-GR'!dbTTest3_NewRef</vt:lpstr>
      <vt:lpstr>'RES_en-US'!dbTTest3_NewRef</vt:lpstr>
      <vt:lpstr>'RES_es-ES'!dbTTest3_NewRef</vt:lpstr>
      <vt:lpstr>'RES_fi-FI'!dbTTest3_NewRef</vt:lpstr>
      <vt:lpstr>'RES_fr-FR'!dbTTest3_NewRef</vt:lpstr>
      <vt:lpstr>'RES_hr-HR'!dbTTest3_NewRef</vt:lpstr>
      <vt:lpstr>'RES_hu-HU'!dbTTest3_NewRef</vt:lpstr>
      <vt:lpstr>'RES_it-IT'!dbTTest3_NewRef</vt:lpstr>
      <vt:lpstr>'RES_ja-JP'!dbTTest3_NewRef</vt:lpstr>
      <vt:lpstr>'RES_ko-KR'!dbTTest3_NewRef</vt:lpstr>
      <vt:lpstr>'RES_lv-LV'!dbTTest3_NewRef</vt:lpstr>
      <vt:lpstr>'RES_nb-NO'!dbTTest3_NewRef</vt:lpstr>
      <vt:lpstr>'RES_nl-NL'!dbTTest3_NewRef</vt:lpstr>
      <vt:lpstr>'RES_pl-PL'!dbTTest3_NewRef</vt:lpstr>
      <vt:lpstr>'RES_pt-BR'!dbTTest3_NewRef</vt:lpstr>
      <vt:lpstr>'RES_pt-PT'!dbTTest3_NewRef</vt:lpstr>
      <vt:lpstr>'RES_ro-RO'!dbTTest3_NewRef</vt:lpstr>
      <vt:lpstr>'RES_ru-RU'!dbTTest3_NewRef</vt:lpstr>
      <vt:lpstr>'RES_sl-SI'!dbTTest3_NewRef</vt:lpstr>
      <vt:lpstr>'RES_sv-SE'!dbTTest3_NewRef</vt:lpstr>
      <vt:lpstr>'RES_tr-TR'!dbTTest3_NewRef</vt:lpstr>
      <vt:lpstr>'RES_zh-CN'!dbTTest3_NewRef</vt:lpstr>
      <vt:lpstr>'RES_zh-TW'!dbTTest3_NewRef</vt:lpstr>
      <vt:lpstr>'RES_cs-CZ'!dbTTest3_NewType</vt:lpstr>
      <vt:lpstr>'RES_da-DK'!dbTTest3_NewType</vt:lpstr>
      <vt:lpstr>'RES_de-DE'!dbTTest3_NewType</vt:lpstr>
      <vt:lpstr>'RES_el-GR'!dbTTest3_NewType</vt:lpstr>
      <vt:lpstr>'RES_en-US'!dbTTest3_NewType</vt:lpstr>
      <vt:lpstr>'RES_es-ES'!dbTTest3_NewType</vt:lpstr>
      <vt:lpstr>'RES_fi-FI'!dbTTest3_NewType</vt:lpstr>
      <vt:lpstr>'RES_fr-FR'!dbTTest3_NewType</vt:lpstr>
      <vt:lpstr>'RES_hr-HR'!dbTTest3_NewType</vt:lpstr>
      <vt:lpstr>'RES_hu-HU'!dbTTest3_NewType</vt:lpstr>
      <vt:lpstr>'RES_it-IT'!dbTTest3_NewType</vt:lpstr>
      <vt:lpstr>'RES_ja-JP'!dbTTest3_NewType</vt:lpstr>
      <vt:lpstr>'RES_ko-KR'!dbTTest3_NewType</vt:lpstr>
      <vt:lpstr>'RES_lv-LV'!dbTTest3_NewType</vt:lpstr>
      <vt:lpstr>'RES_nb-NO'!dbTTest3_NewType</vt:lpstr>
      <vt:lpstr>'RES_nl-NL'!dbTTest3_NewType</vt:lpstr>
      <vt:lpstr>'RES_pl-PL'!dbTTest3_NewType</vt:lpstr>
      <vt:lpstr>'RES_pt-BR'!dbTTest3_NewType</vt:lpstr>
      <vt:lpstr>'RES_pt-PT'!dbTTest3_NewType</vt:lpstr>
      <vt:lpstr>'RES_ro-RO'!dbTTest3_NewType</vt:lpstr>
      <vt:lpstr>'RES_ru-RU'!dbTTest3_NewType</vt:lpstr>
      <vt:lpstr>'RES_sl-SI'!dbTTest3_NewType</vt:lpstr>
      <vt:lpstr>'RES_sv-SE'!dbTTest3_NewType</vt:lpstr>
      <vt:lpstr>'RES_tr-TR'!dbTTest3_NewType</vt:lpstr>
      <vt:lpstr>'RES_zh-CN'!dbTTest3_NewType</vt:lpstr>
      <vt:lpstr>'RES_zh-TW'!dbTTest3_NewType</vt:lpstr>
      <vt:lpstr>'RES_cs-CZ'!dbTTest3_OutOption</vt:lpstr>
      <vt:lpstr>'RES_da-DK'!dbTTest3_OutOption</vt:lpstr>
      <vt:lpstr>'RES_de-DE'!dbTTest3_OutOption</vt:lpstr>
      <vt:lpstr>'RES_el-GR'!dbTTest3_OutOption</vt:lpstr>
      <vt:lpstr>'RES_en-US'!dbTTest3_OutOption</vt:lpstr>
      <vt:lpstr>'RES_es-ES'!dbTTest3_OutOption</vt:lpstr>
      <vt:lpstr>'RES_fi-FI'!dbTTest3_OutOption</vt:lpstr>
      <vt:lpstr>'RES_fr-FR'!dbTTest3_OutOption</vt:lpstr>
      <vt:lpstr>'RES_hr-HR'!dbTTest3_OutOption</vt:lpstr>
      <vt:lpstr>'RES_hu-HU'!dbTTest3_OutOption</vt:lpstr>
      <vt:lpstr>'RES_it-IT'!dbTTest3_OutOption</vt:lpstr>
      <vt:lpstr>'RES_ja-JP'!dbTTest3_OutOption</vt:lpstr>
      <vt:lpstr>'RES_ko-KR'!dbTTest3_OutOption</vt:lpstr>
      <vt:lpstr>'RES_lv-LV'!dbTTest3_OutOption</vt:lpstr>
      <vt:lpstr>'RES_nb-NO'!dbTTest3_OutOption</vt:lpstr>
      <vt:lpstr>'RES_nl-NL'!dbTTest3_OutOption</vt:lpstr>
      <vt:lpstr>'RES_pl-PL'!dbTTest3_OutOption</vt:lpstr>
      <vt:lpstr>'RES_pt-BR'!dbTTest3_OutOption</vt:lpstr>
      <vt:lpstr>'RES_pt-PT'!dbTTest3_OutOption</vt:lpstr>
      <vt:lpstr>'RES_ro-RO'!dbTTest3_OutOption</vt:lpstr>
      <vt:lpstr>'RES_ru-RU'!dbTTest3_OutOption</vt:lpstr>
      <vt:lpstr>'RES_sl-SI'!dbTTest3_OutOption</vt:lpstr>
      <vt:lpstr>'RES_sv-SE'!dbTTest3_OutOption</vt:lpstr>
      <vt:lpstr>'RES_tr-TR'!dbTTest3_OutOption</vt:lpstr>
      <vt:lpstr>'RES_zh-CN'!dbTTest3_OutOption</vt:lpstr>
      <vt:lpstr>'RES_zh-TW'!dbTTest3_OutOption</vt:lpstr>
      <vt:lpstr>'RES_cs-CZ'!dbTTest3_OutRef</vt:lpstr>
      <vt:lpstr>'RES_da-DK'!dbTTest3_OutRef</vt:lpstr>
      <vt:lpstr>'RES_de-DE'!dbTTest3_OutRef</vt:lpstr>
      <vt:lpstr>'RES_el-GR'!dbTTest3_OutRef</vt:lpstr>
      <vt:lpstr>'RES_en-US'!dbTTest3_OutRef</vt:lpstr>
      <vt:lpstr>'RES_es-ES'!dbTTest3_OutRef</vt:lpstr>
      <vt:lpstr>'RES_fi-FI'!dbTTest3_OutRef</vt:lpstr>
      <vt:lpstr>'RES_fr-FR'!dbTTest3_OutRef</vt:lpstr>
      <vt:lpstr>'RES_hr-HR'!dbTTest3_OutRef</vt:lpstr>
      <vt:lpstr>'RES_hu-HU'!dbTTest3_OutRef</vt:lpstr>
      <vt:lpstr>'RES_it-IT'!dbTTest3_OutRef</vt:lpstr>
      <vt:lpstr>'RES_ja-JP'!dbTTest3_OutRef</vt:lpstr>
      <vt:lpstr>'RES_ko-KR'!dbTTest3_OutRef</vt:lpstr>
      <vt:lpstr>'RES_lv-LV'!dbTTest3_OutRef</vt:lpstr>
      <vt:lpstr>'RES_nb-NO'!dbTTest3_OutRef</vt:lpstr>
      <vt:lpstr>'RES_nl-NL'!dbTTest3_OutRef</vt:lpstr>
      <vt:lpstr>'RES_pl-PL'!dbTTest3_OutRef</vt:lpstr>
      <vt:lpstr>'RES_pt-BR'!dbTTest3_OutRef</vt:lpstr>
      <vt:lpstr>'RES_pt-PT'!dbTTest3_OutRef</vt:lpstr>
      <vt:lpstr>'RES_ro-RO'!dbTTest3_OutRef</vt:lpstr>
      <vt:lpstr>'RES_ru-RU'!dbTTest3_OutRef</vt:lpstr>
      <vt:lpstr>'RES_sl-SI'!dbTTest3_OutRef</vt:lpstr>
      <vt:lpstr>'RES_sv-SE'!dbTTest3_OutRef</vt:lpstr>
      <vt:lpstr>'RES_tr-TR'!dbTTest3_OutRef</vt:lpstr>
      <vt:lpstr>'RES_zh-CN'!dbTTest3_OutRef</vt:lpstr>
      <vt:lpstr>'RES_zh-TW'!dbTTest3_OutRef</vt:lpstr>
      <vt:lpstr>'RES_cs-CZ'!dbTTest3_OutType</vt:lpstr>
      <vt:lpstr>'RES_da-DK'!dbTTest3_OutType</vt:lpstr>
      <vt:lpstr>'RES_de-DE'!dbTTest3_OutType</vt:lpstr>
      <vt:lpstr>'RES_el-GR'!dbTTest3_OutType</vt:lpstr>
      <vt:lpstr>'RES_en-US'!dbTTest3_OutType</vt:lpstr>
      <vt:lpstr>'RES_es-ES'!dbTTest3_OutType</vt:lpstr>
      <vt:lpstr>'RES_fi-FI'!dbTTest3_OutType</vt:lpstr>
      <vt:lpstr>'RES_fr-FR'!dbTTest3_OutType</vt:lpstr>
      <vt:lpstr>'RES_hr-HR'!dbTTest3_OutType</vt:lpstr>
      <vt:lpstr>'RES_hu-HU'!dbTTest3_OutType</vt:lpstr>
      <vt:lpstr>'RES_it-IT'!dbTTest3_OutType</vt:lpstr>
      <vt:lpstr>'RES_ja-JP'!dbTTest3_OutType</vt:lpstr>
      <vt:lpstr>'RES_ko-KR'!dbTTest3_OutType</vt:lpstr>
      <vt:lpstr>'RES_lv-LV'!dbTTest3_OutType</vt:lpstr>
      <vt:lpstr>'RES_nb-NO'!dbTTest3_OutType</vt:lpstr>
      <vt:lpstr>'RES_nl-NL'!dbTTest3_OutType</vt:lpstr>
      <vt:lpstr>'RES_pl-PL'!dbTTest3_OutType</vt:lpstr>
      <vt:lpstr>'RES_pt-BR'!dbTTest3_OutType</vt:lpstr>
      <vt:lpstr>'RES_pt-PT'!dbTTest3_OutType</vt:lpstr>
      <vt:lpstr>'RES_ro-RO'!dbTTest3_OutType</vt:lpstr>
      <vt:lpstr>'RES_ru-RU'!dbTTest3_OutType</vt:lpstr>
      <vt:lpstr>'RES_sl-SI'!dbTTest3_OutType</vt:lpstr>
      <vt:lpstr>'RES_sv-SE'!dbTTest3_OutType</vt:lpstr>
      <vt:lpstr>'RES_tr-TR'!dbTTest3_OutType</vt:lpstr>
      <vt:lpstr>'RES_zh-CN'!dbTTest3_OutType</vt:lpstr>
      <vt:lpstr>'RES_zh-TW'!dbTTest3_OutType</vt:lpstr>
      <vt:lpstr>'RES_cs-CZ'!dbTTest3_PlyInpFld</vt:lpstr>
      <vt:lpstr>'RES_da-DK'!dbTTest3_PlyInpFld</vt:lpstr>
      <vt:lpstr>'RES_de-DE'!dbTTest3_PlyInpFld</vt:lpstr>
      <vt:lpstr>'RES_el-GR'!dbTTest3_PlyInpFld</vt:lpstr>
      <vt:lpstr>'RES_en-US'!dbTTest3_PlyInpFld</vt:lpstr>
      <vt:lpstr>'RES_es-ES'!dbTTest3_PlyInpFld</vt:lpstr>
      <vt:lpstr>'RES_fi-FI'!dbTTest3_PlyInpFld</vt:lpstr>
      <vt:lpstr>'RES_fr-FR'!dbTTest3_PlyInpFld</vt:lpstr>
      <vt:lpstr>'RES_hr-HR'!dbTTest3_PlyInpFld</vt:lpstr>
      <vt:lpstr>'RES_hu-HU'!dbTTest3_PlyInpFld</vt:lpstr>
      <vt:lpstr>'RES_it-IT'!dbTTest3_PlyInpFld</vt:lpstr>
      <vt:lpstr>'RES_ja-JP'!dbTTest3_PlyInpFld</vt:lpstr>
      <vt:lpstr>'RES_ko-KR'!dbTTest3_PlyInpFld</vt:lpstr>
      <vt:lpstr>'RES_lv-LV'!dbTTest3_PlyInpFld</vt:lpstr>
      <vt:lpstr>'RES_nb-NO'!dbTTest3_PlyInpFld</vt:lpstr>
      <vt:lpstr>'RES_nl-NL'!dbTTest3_PlyInpFld</vt:lpstr>
      <vt:lpstr>'RES_pl-PL'!dbTTest3_PlyInpFld</vt:lpstr>
      <vt:lpstr>'RES_pt-BR'!dbTTest3_PlyInpFld</vt:lpstr>
      <vt:lpstr>'RES_pt-PT'!dbTTest3_PlyInpFld</vt:lpstr>
      <vt:lpstr>'RES_ro-RO'!dbTTest3_PlyInpFld</vt:lpstr>
      <vt:lpstr>'RES_ru-RU'!dbTTest3_PlyInpFld</vt:lpstr>
      <vt:lpstr>'RES_sl-SI'!dbTTest3_PlyInpFld</vt:lpstr>
      <vt:lpstr>'RES_sv-SE'!dbTTest3_PlyInpFld</vt:lpstr>
      <vt:lpstr>'RES_tr-TR'!dbTTest3_PlyInpFld</vt:lpstr>
      <vt:lpstr>'RES_zh-CN'!dbTTest3_PlyInpFld</vt:lpstr>
      <vt:lpstr>'RES_zh-TW'!dbTTest3_PlyInpFld</vt:lpstr>
      <vt:lpstr>'RES_cs-CZ'!dbTTest3_PlyName</vt:lpstr>
      <vt:lpstr>'RES_da-DK'!dbTTest3_PlyName</vt:lpstr>
      <vt:lpstr>'RES_de-DE'!dbTTest3_PlyName</vt:lpstr>
      <vt:lpstr>'RES_el-GR'!dbTTest3_PlyName</vt:lpstr>
      <vt:lpstr>'RES_en-US'!dbTTest3_PlyName</vt:lpstr>
      <vt:lpstr>'RES_es-ES'!dbTTest3_PlyName</vt:lpstr>
      <vt:lpstr>'RES_fi-FI'!dbTTest3_PlyName</vt:lpstr>
      <vt:lpstr>'RES_fr-FR'!dbTTest3_PlyName</vt:lpstr>
      <vt:lpstr>'RES_hr-HR'!dbTTest3_PlyName</vt:lpstr>
      <vt:lpstr>'RES_hu-HU'!dbTTest3_PlyName</vt:lpstr>
      <vt:lpstr>'RES_it-IT'!dbTTest3_PlyName</vt:lpstr>
      <vt:lpstr>'RES_ja-JP'!dbTTest3_PlyName</vt:lpstr>
      <vt:lpstr>'RES_ko-KR'!dbTTest3_PlyName</vt:lpstr>
      <vt:lpstr>'RES_lv-LV'!dbTTest3_PlyName</vt:lpstr>
      <vt:lpstr>'RES_nb-NO'!dbTTest3_PlyName</vt:lpstr>
      <vt:lpstr>'RES_nl-NL'!dbTTest3_PlyName</vt:lpstr>
      <vt:lpstr>'RES_pl-PL'!dbTTest3_PlyName</vt:lpstr>
      <vt:lpstr>'RES_pt-BR'!dbTTest3_PlyName</vt:lpstr>
      <vt:lpstr>'RES_pt-PT'!dbTTest3_PlyName</vt:lpstr>
      <vt:lpstr>'RES_ro-RO'!dbTTest3_PlyName</vt:lpstr>
      <vt:lpstr>'RES_ru-RU'!dbTTest3_PlyName</vt:lpstr>
      <vt:lpstr>'RES_sl-SI'!dbTTest3_PlyName</vt:lpstr>
      <vt:lpstr>'RES_sv-SE'!dbTTest3_PlyName</vt:lpstr>
      <vt:lpstr>'RES_tr-TR'!dbTTest3_PlyName</vt:lpstr>
      <vt:lpstr>'RES_zh-CN'!dbTTest3_PlyName</vt:lpstr>
      <vt:lpstr>'RES_zh-TW'!dbTTest3_PlyName</vt:lpstr>
      <vt:lpstr>'RES_cs-CZ'!dbTTest3_RangeInpFld</vt:lpstr>
      <vt:lpstr>'RES_da-DK'!dbTTest3_RangeInpFld</vt:lpstr>
      <vt:lpstr>'RES_de-DE'!dbTTest3_RangeInpFld</vt:lpstr>
      <vt:lpstr>'RES_el-GR'!dbTTest3_RangeInpFld</vt:lpstr>
      <vt:lpstr>'RES_en-US'!dbTTest3_RangeInpFld</vt:lpstr>
      <vt:lpstr>'RES_es-ES'!dbTTest3_RangeInpFld</vt:lpstr>
      <vt:lpstr>'RES_fi-FI'!dbTTest3_RangeInpFld</vt:lpstr>
      <vt:lpstr>'RES_fr-FR'!dbTTest3_RangeInpFld</vt:lpstr>
      <vt:lpstr>'RES_hr-HR'!dbTTest3_RangeInpFld</vt:lpstr>
      <vt:lpstr>'RES_hu-HU'!dbTTest3_RangeInpFld</vt:lpstr>
      <vt:lpstr>'RES_it-IT'!dbTTest3_RangeInpFld</vt:lpstr>
      <vt:lpstr>'RES_ja-JP'!dbTTest3_RangeInpFld</vt:lpstr>
      <vt:lpstr>'RES_ko-KR'!dbTTest3_RangeInpFld</vt:lpstr>
      <vt:lpstr>'RES_lv-LV'!dbTTest3_RangeInpFld</vt:lpstr>
      <vt:lpstr>'RES_nb-NO'!dbTTest3_RangeInpFld</vt:lpstr>
      <vt:lpstr>'RES_nl-NL'!dbTTest3_RangeInpFld</vt:lpstr>
      <vt:lpstr>'RES_pl-PL'!dbTTest3_RangeInpFld</vt:lpstr>
      <vt:lpstr>'RES_pt-BR'!dbTTest3_RangeInpFld</vt:lpstr>
      <vt:lpstr>'RES_pt-PT'!dbTTest3_RangeInpFld</vt:lpstr>
      <vt:lpstr>'RES_ro-RO'!dbTTest3_RangeInpFld</vt:lpstr>
      <vt:lpstr>'RES_ru-RU'!dbTTest3_RangeInpFld</vt:lpstr>
      <vt:lpstr>'RES_sl-SI'!dbTTest3_RangeInpFld</vt:lpstr>
      <vt:lpstr>'RES_sv-SE'!dbTTest3_RangeInpFld</vt:lpstr>
      <vt:lpstr>'RES_tr-TR'!dbTTest3_RangeInpFld</vt:lpstr>
      <vt:lpstr>'RES_zh-CN'!dbTTest3_RangeInpFld</vt:lpstr>
      <vt:lpstr>'RES_zh-TW'!dbTTest3_RangeInpFld</vt:lpstr>
      <vt:lpstr>'RES_cs-CZ'!dbTTest3_RangeRef</vt:lpstr>
      <vt:lpstr>'RES_da-DK'!dbTTest3_RangeRef</vt:lpstr>
      <vt:lpstr>'RES_de-DE'!dbTTest3_RangeRef</vt:lpstr>
      <vt:lpstr>'RES_el-GR'!dbTTest3_RangeRef</vt:lpstr>
      <vt:lpstr>'RES_en-US'!dbTTest3_RangeRef</vt:lpstr>
      <vt:lpstr>'RES_es-ES'!dbTTest3_RangeRef</vt:lpstr>
      <vt:lpstr>'RES_fi-FI'!dbTTest3_RangeRef</vt:lpstr>
      <vt:lpstr>'RES_fr-FR'!dbTTest3_RangeRef</vt:lpstr>
      <vt:lpstr>'RES_hr-HR'!dbTTest3_RangeRef</vt:lpstr>
      <vt:lpstr>'RES_hu-HU'!dbTTest3_RangeRef</vt:lpstr>
      <vt:lpstr>'RES_it-IT'!dbTTest3_RangeRef</vt:lpstr>
      <vt:lpstr>'RES_ja-JP'!dbTTest3_RangeRef</vt:lpstr>
      <vt:lpstr>'RES_ko-KR'!dbTTest3_RangeRef</vt:lpstr>
      <vt:lpstr>'RES_lv-LV'!dbTTest3_RangeRef</vt:lpstr>
      <vt:lpstr>'RES_nb-NO'!dbTTest3_RangeRef</vt:lpstr>
      <vt:lpstr>'RES_nl-NL'!dbTTest3_RangeRef</vt:lpstr>
      <vt:lpstr>'RES_pl-PL'!dbTTest3_RangeRef</vt:lpstr>
      <vt:lpstr>'RES_pt-BR'!dbTTest3_RangeRef</vt:lpstr>
      <vt:lpstr>'RES_pt-PT'!dbTTest3_RangeRef</vt:lpstr>
      <vt:lpstr>'RES_ro-RO'!dbTTest3_RangeRef</vt:lpstr>
      <vt:lpstr>'RES_ru-RU'!dbTTest3_RangeRef</vt:lpstr>
      <vt:lpstr>'RES_sl-SI'!dbTTest3_RangeRef</vt:lpstr>
      <vt:lpstr>'RES_sv-SE'!dbTTest3_RangeRef</vt:lpstr>
      <vt:lpstr>'RES_tr-TR'!dbTTest3_RangeRef</vt:lpstr>
      <vt:lpstr>'RES_zh-CN'!dbTTest3_RangeRef</vt:lpstr>
      <vt:lpstr>'RES_zh-TW'!dbTTest3_RangeRef</vt:lpstr>
      <vt:lpstr>'RES_cs-CZ'!dbTTest3_VarRng1</vt:lpstr>
      <vt:lpstr>'RES_da-DK'!dbTTest3_VarRng1</vt:lpstr>
      <vt:lpstr>'RES_de-DE'!dbTTest3_VarRng1</vt:lpstr>
      <vt:lpstr>'RES_el-GR'!dbTTest3_VarRng1</vt:lpstr>
      <vt:lpstr>'RES_en-US'!dbTTest3_VarRng1</vt:lpstr>
      <vt:lpstr>'RES_es-ES'!dbTTest3_VarRng1</vt:lpstr>
      <vt:lpstr>'RES_fi-FI'!dbTTest3_VarRng1</vt:lpstr>
      <vt:lpstr>'RES_fr-FR'!dbTTest3_VarRng1</vt:lpstr>
      <vt:lpstr>'RES_hr-HR'!dbTTest3_VarRng1</vt:lpstr>
      <vt:lpstr>'RES_hu-HU'!dbTTest3_VarRng1</vt:lpstr>
      <vt:lpstr>'RES_it-IT'!dbTTest3_VarRng1</vt:lpstr>
      <vt:lpstr>'RES_ja-JP'!dbTTest3_VarRng1</vt:lpstr>
      <vt:lpstr>'RES_ko-KR'!dbTTest3_VarRng1</vt:lpstr>
      <vt:lpstr>'RES_lv-LV'!dbTTest3_VarRng1</vt:lpstr>
      <vt:lpstr>'RES_nb-NO'!dbTTest3_VarRng1</vt:lpstr>
      <vt:lpstr>'RES_nl-NL'!dbTTest3_VarRng1</vt:lpstr>
      <vt:lpstr>'RES_pl-PL'!dbTTest3_VarRng1</vt:lpstr>
      <vt:lpstr>'RES_pt-BR'!dbTTest3_VarRng1</vt:lpstr>
      <vt:lpstr>'RES_pt-PT'!dbTTest3_VarRng1</vt:lpstr>
      <vt:lpstr>'RES_ro-RO'!dbTTest3_VarRng1</vt:lpstr>
      <vt:lpstr>'RES_ru-RU'!dbTTest3_VarRng1</vt:lpstr>
      <vt:lpstr>'RES_sl-SI'!dbTTest3_VarRng1</vt:lpstr>
      <vt:lpstr>'RES_sv-SE'!dbTTest3_VarRng1</vt:lpstr>
      <vt:lpstr>'RES_tr-TR'!dbTTest3_VarRng1</vt:lpstr>
      <vt:lpstr>'RES_zh-CN'!dbTTest3_VarRng1</vt:lpstr>
      <vt:lpstr>'RES_zh-TW'!dbTTest3_VarRng1</vt:lpstr>
      <vt:lpstr>'RES_cs-CZ'!dbTTest3_VarRng2</vt:lpstr>
      <vt:lpstr>'RES_da-DK'!dbTTest3_VarRng2</vt:lpstr>
      <vt:lpstr>'RES_de-DE'!dbTTest3_VarRng2</vt:lpstr>
      <vt:lpstr>'RES_el-GR'!dbTTest3_VarRng2</vt:lpstr>
      <vt:lpstr>'RES_en-US'!dbTTest3_VarRng2</vt:lpstr>
      <vt:lpstr>'RES_es-ES'!dbTTest3_VarRng2</vt:lpstr>
      <vt:lpstr>'RES_fi-FI'!dbTTest3_VarRng2</vt:lpstr>
      <vt:lpstr>'RES_fr-FR'!dbTTest3_VarRng2</vt:lpstr>
      <vt:lpstr>'RES_hr-HR'!dbTTest3_VarRng2</vt:lpstr>
      <vt:lpstr>'RES_hu-HU'!dbTTest3_VarRng2</vt:lpstr>
      <vt:lpstr>'RES_it-IT'!dbTTest3_VarRng2</vt:lpstr>
      <vt:lpstr>'RES_ja-JP'!dbTTest3_VarRng2</vt:lpstr>
      <vt:lpstr>'RES_ko-KR'!dbTTest3_VarRng2</vt:lpstr>
      <vt:lpstr>'RES_lv-LV'!dbTTest3_VarRng2</vt:lpstr>
      <vt:lpstr>'RES_nb-NO'!dbTTest3_VarRng2</vt:lpstr>
      <vt:lpstr>'RES_nl-NL'!dbTTest3_VarRng2</vt:lpstr>
      <vt:lpstr>'RES_pl-PL'!dbTTest3_VarRng2</vt:lpstr>
      <vt:lpstr>'RES_pt-BR'!dbTTest3_VarRng2</vt:lpstr>
      <vt:lpstr>'RES_pt-PT'!dbTTest3_VarRng2</vt:lpstr>
      <vt:lpstr>'RES_ro-RO'!dbTTest3_VarRng2</vt:lpstr>
      <vt:lpstr>'RES_ru-RU'!dbTTest3_VarRng2</vt:lpstr>
      <vt:lpstr>'RES_sl-SI'!dbTTest3_VarRng2</vt:lpstr>
      <vt:lpstr>'RES_sv-SE'!dbTTest3_VarRng2</vt:lpstr>
      <vt:lpstr>'RES_tr-TR'!dbTTest3_VarRng2</vt:lpstr>
      <vt:lpstr>'RES_zh-CN'!dbTTest3_VarRng2</vt:lpstr>
      <vt:lpstr>'RES_zh-TW'!dbTTest3_VarRng2</vt:lpstr>
      <vt:lpstr>'RES_cs-CZ'!dbTTest3Title</vt:lpstr>
      <vt:lpstr>'RES_da-DK'!dbTTest3Title</vt:lpstr>
      <vt:lpstr>'RES_de-DE'!dbTTest3Title</vt:lpstr>
      <vt:lpstr>'RES_el-GR'!dbTTest3Title</vt:lpstr>
      <vt:lpstr>'RES_en-US'!dbTTest3Title</vt:lpstr>
      <vt:lpstr>'RES_es-ES'!dbTTest3Title</vt:lpstr>
      <vt:lpstr>'RES_fi-FI'!dbTTest3Title</vt:lpstr>
      <vt:lpstr>'RES_fr-FR'!dbTTest3Title</vt:lpstr>
      <vt:lpstr>'RES_hr-HR'!dbTTest3Title</vt:lpstr>
      <vt:lpstr>'RES_hu-HU'!dbTTest3Title</vt:lpstr>
      <vt:lpstr>'RES_it-IT'!dbTTest3Title</vt:lpstr>
      <vt:lpstr>'RES_ja-JP'!dbTTest3Title</vt:lpstr>
      <vt:lpstr>'RES_ko-KR'!dbTTest3Title</vt:lpstr>
      <vt:lpstr>'RES_lv-LV'!dbTTest3Title</vt:lpstr>
      <vt:lpstr>'RES_nb-NO'!dbTTest3Title</vt:lpstr>
      <vt:lpstr>'RES_nl-NL'!dbTTest3Title</vt:lpstr>
      <vt:lpstr>'RES_pl-PL'!dbTTest3Title</vt:lpstr>
      <vt:lpstr>'RES_pt-BR'!dbTTest3Title</vt:lpstr>
      <vt:lpstr>'RES_pt-PT'!dbTTest3Title</vt:lpstr>
      <vt:lpstr>'RES_ro-RO'!dbTTest3Title</vt:lpstr>
      <vt:lpstr>'RES_ru-RU'!dbTTest3Title</vt:lpstr>
      <vt:lpstr>'RES_sl-SI'!dbTTest3Title</vt:lpstr>
      <vt:lpstr>'RES_sv-SE'!dbTTest3Title</vt:lpstr>
      <vt:lpstr>'RES_tr-TR'!dbTTest3Title</vt:lpstr>
      <vt:lpstr>'RES_zh-CN'!dbTTest3Title</vt:lpstr>
      <vt:lpstr>'RES_zh-TW'!dbTTest3Title</vt:lpstr>
      <vt:lpstr>'RES_cs-CZ'!dbUniform</vt:lpstr>
      <vt:lpstr>'RES_da-DK'!dbUniform</vt:lpstr>
      <vt:lpstr>'RES_de-DE'!dbUniform</vt:lpstr>
      <vt:lpstr>'RES_el-GR'!dbUniform</vt:lpstr>
      <vt:lpstr>'RES_en-US'!dbUniform</vt:lpstr>
      <vt:lpstr>'RES_es-ES'!dbUniform</vt:lpstr>
      <vt:lpstr>'RES_fi-FI'!dbUniform</vt:lpstr>
      <vt:lpstr>'RES_fr-FR'!dbUniform</vt:lpstr>
      <vt:lpstr>'RES_hr-HR'!dbUniform</vt:lpstr>
      <vt:lpstr>'RES_hu-HU'!dbUniform</vt:lpstr>
      <vt:lpstr>'RES_it-IT'!dbUniform</vt:lpstr>
      <vt:lpstr>'RES_ja-JP'!dbUniform</vt:lpstr>
      <vt:lpstr>'RES_ko-KR'!dbUniform</vt:lpstr>
      <vt:lpstr>'RES_lv-LV'!dbUniform</vt:lpstr>
      <vt:lpstr>'RES_nb-NO'!dbUniform</vt:lpstr>
      <vt:lpstr>'RES_nl-NL'!dbUniform</vt:lpstr>
      <vt:lpstr>'RES_pl-PL'!dbUniform</vt:lpstr>
      <vt:lpstr>'RES_pt-BR'!dbUniform</vt:lpstr>
      <vt:lpstr>'RES_pt-PT'!dbUniform</vt:lpstr>
      <vt:lpstr>'RES_ro-RO'!dbUniform</vt:lpstr>
      <vt:lpstr>'RES_ru-RU'!dbUniform</vt:lpstr>
      <vt:lpstr>'RES_sl-SI'!dbUniform</vt:lpstr>
      <vt:lpstr>'RES_sv-SE'!dbUniform</vt:lpstr>
      <vt:lpstr>'RES_tr-TR'!dbUniform</vt:lpstr>
      <vt:lpstr>'RES_zh-CN'!dbUniform</vt:lpstr>
      <vt:lpstr>'RES_zh-TW'!dbUniform</vt:lpstr>
      <vt:lpstr>'RES_cs-CZ'!dbZTest</vt:lpstr>
      <vt:lpstr>'RES_da-DK'!dbZTest</vt:lpstr>
      <vt:lpstr>'RES_de-DE'!dbZTest</vt:lpstr>
      <vt:lpstr>'RES_el-GR'!dbZTest</vt:lpstr>
      <vt:lpstr>'RES_en-US'!dbZTest</vt:lpstr>
      <vt:lpstr>'RES_es-ES'!dbZTest</vt:lpstr>
      <vt:lpstr>'RES_fi-FI'!dbZTest</vt:lpstr>
      <vt:lpstr>'RES_fr-FR'!dbZTest</vt:lpstr>
      <vt:lpstr>'RES_hr-HR'!dbZTest</vt:lpstr>
      <vt:lpstr>'RES_hu-HU'!dbZTest</vt:lpstr>
      <vt:lpstr>'RES_it-IT'!dbZTest</vt:lpstr>
      <vt:lpstr>'RES_ja-JP'!dbZTest</vt:lpstr>
      <vt:lpstr>'RES_ko-KR'!dbZTest</vt:lpstr>
      <vt:lpstr>'RES_lv-LV'!dbZTest</vt:lpstr>
      <vt:lpstr>'RES_nb-NO'!dbZTest</vt:lpstr>
      <vt:lpstr>'RES_nl-NL'!dbZTest</vt:lpstr>
      <vt:lpstr>'RES_pl-PL'!dbZTest</vt:lpstr>
      <vt:lpstr>'RES_pt-BR'!dbZTest</vt:lpstr>
      <vt:lpstr>'RES_pt-PT'!dbZTest</vt:lpstr>
      <vt:lpstr>'RES_ro-RO'!dbZTest</vt:lpstr>
      <vt:lpstr>'RES_ru-RU'!dbZTest</vt:lpstr>
      <vt:lpstr>'RES_sl-SI'!dbZTest</vt:lpstr>
      <vt:lpstr>'RES_sv-SE'!dbZTest</vt:lpstr>
      <vt:lpstr>'RES_tr-TR'!dbZTest</vt:lpstr>
      <vt:lpstr>'RES_zh-CN'!dbZTest</vt:lpstr>
      <vt:lpstr>'RES_zh-TW'!dbZTest</vt:lpstr>
      <vt:lpstr>'RES_cs-CZ'!dbZTest_AlphaValue</vt:lpstr>
      <vt:lpstr>'RES_da-DK'!dbZTest_AlphaValue</vt:lpstr>
      <vt:lpstr>'RES_de-DE'!dbZTest_AlphaValue</vt:lpstr>
      <vt:lpstr>'RES_el-GR'!dbZTest_AlphaValue</vt:lpstr>
      <vt:lpstr>'RES_en-US'!dbZTest_AlphaValue</vt:lpstr>
      <vt:lpstr>'RES_es-ES'!dbZTest_AlphaValue</vt:lpstr>
      <vt:lpstr>'RES_fi-FI'!dbZTest_AlphaValue</vt:lpstr>
      <vt:lpstr>'RES_fr-FR'!dbZTest_AlphaValue</vt:lpstr>
      <vt:lpstr>'RES_hr-HR'!dbZTest_AlphaValue</vt:lpstr>
      <vt:lpstr>'RES_hu-HU'!dbZTest_AlphaValue</vt:lpstr>
      <vt:lpstr>'RES_it-IT'!dbZTest_AlphaValue</vt:lpstr>
      <vt:lpstr>'RES_ja-JP'!dbZTest_AlphaValue</vt:lpstr>
      <vt:lpstr>'RES_ko-KR'!dbZTest_AlphaValue</vt:lpstr>
      <vt:lpstr>'RES_lv-LV'!dbZTest_AlphaValue</vt:lpstr>
      <vt:lpstr>'RES_nb-NO'!dbZTest_AlphaValue</vt:lpstr>
      <vt:lpstr>'RES_nl-NL'!dbZTest_AlphaValue</vt:lpstr>
      <vt:lpstr>'RES_pl-PL'!dbZTest_AlphaValue</vt:lpstr>
      <vt:lpstr>'RES_pt-BR'!dbZTest_AlphaValue</vt:lpstr>
      <vt:lpstr>'RES_pt-PT'!dbZTest_AlphaValue</vt:lpstr>
      <vt:lpstr>'RES_ro-RO'!dbZTest_AlphaValue</vt:lpstr>
      <vt:lpstr>'RES_ru-RU'!dbZTest_AlphaValue</vt:lpstr>
      <vt:lpstr>'RES_sl-SI'!dbZTest_AlphaValue</vt:lpstr>
      <vt:lpstr>'RES_sv-SE'!dbZTest_AlphaValue</vt:lpstr>
      <vt:lpstr>'RES_tr-TR'!dbZTest_AlphaValue</vt:lpstr>
      <vt:lpstr>'RES_zh-CN'!dbZTest_AlphaValue</vt:lpstr>
      <vt:lpstr>'RES_zh-TW'!dbZTest_AlphaValue</vt:lpstr>
      <vt:lpstr>'RES_cs-CZ'!dbZTest_LblChkBox</vt:lpstr>
      <vt:lpstr>'RES_da-DK'!dbZTest_LblChkBox</vt:lpstr>
      <vt:lpstr>'RES_de-DE'!dbZTest_LblChkBox</vt:lpstr>
      <vt:lpstr>'RES_el-GR'!dbZTest_LblChkBox</vt:lpstr>
      <vt:lpstr>'RES_en-US'!dbZTest_LblChkBox</vt:lpstr>
      <vt:lpstr>'RES_es-ES'!dbZTest_LblChkBox</vt:lpstr>
      <vt:lpstr>'RES_fi-FI'!dbZTest_LblChkBox</vt:lpstr>
      <vt:lpstr>'RES_fr-FR'!dbZTest_LblChkBox</vt:lpstr>
      <vt:lpstr>'RES_hr-HR'!dbZTest_LblChkBox</vt:lpstr>
      <vt:lpstr>'RES_hu-HU'!dbZTest_LblChkBox</vt:lpstr>
      <vt:lpstr>'RES_it-IT'!dbZTest_LblChkBox</vt:lpstr>
      <vt:lpstr>'RES_ja-JP'!dbZTest_LblChkBox</vt:lpstr>
      <vt:lpstr>'RES_ko-KR'!dbZTest_LblChkBox</vt:lpstr>
      <vt:lpstr>'RES_lv-LV'!dbZTest_LblChkBox</vt:lpstr>
      <vt:lpstr>'RES_nb-NO'!dbZTest_LblChkBox</vt:lpstr>
      <vt:lpstr>'RES_nl-NL'!dbZTest_LblChkBox</vt:lpstr>
      <vt:lpstr>'RES_pl-PL'!dbZTest_LblChkBox</vt:lpstr>
      <vt:lpstr>'RES_pt-BR'!dbZTest_LblChkBox</vt:lpstr>
      <vt:lpstr>'RES_pt-PT'!dbZTest_LblChkBox</vt:lpstr>
      <vt:lpstr>'RES_ro-RO'!dbZTest_LblChkBox</vt:lpstr>
      <vt:lpstr>'RES_ru-RU'!dbZTest_LblChkBox</vt:lpstr>
      <vt:lpstr>'RES_sl-SI'!dbZTest_LblChkBox</vt:lpstr>
      <vt:lpstr>'RES_sv-SE'!dbZTest_LblChkBox</vt:lpstr>
      <vt:lpstr>'RES_tr-TR'!dbZTest_LblChkBox</vt:lpstr>
      <vt:lpstr>'RES_zh-CN'!dbZTest_LblChkBox</vt:lpstr>
      <vt:lpstr>'RES_zh-TW'!dbZTest_LblChkBox</vt:lpstr>
      <vt:lpstr>'RES_cs-CZ'!dbZTest_MeanDiff</vt:lpstr>
      <vt:lpstr>'RES_da-DK'!dbZTest_MeanDiff</vt:lpstr>
      <vt:lpstr>'RES_de-DE'!dbZTest_MeanDiff</vt:lpstr>
      <vt:lpstr>'RES_el-GR'!dbZTest_MeanDiff</vt:lpstr>
      <vt:lpstr>'RES_en-US'!dbZTest_MeanDiff</vt:lpstr>
      <vt:lpstr>'RES_es-ES'!dbZTest_MeanDiff</vt:lpstr>
      <vt:lpstr>'RES_fi-FI'!dbZTest_MeanDiff</vt:lpstr>
      <vt:lpstr>'RES_fr-FR'!dbZTest_MeanDiff</vt:lpstr>
      <vt:lpstr>'RES_hr-HR'!dbZTest_MeanDiff</vt:lpstr>
      <vt:lpstr>'RES_hu-HU'!dbZTest_MeanDiff</vt:lpstr>
      <vt:lpstr>'RES_it-IT'!dbZTest_MeanDiff</vt:lpstr>
      <vt:lpstr>'RES_ja-JP'!dbZTest_MeanDiff</vt:lpstr>
      <vt:lpstr>'RES_ko-KR'!dbZTest_MeanDiff</vt:lpstr>
      <vt:lpstr>'RES_lv-LV'!dbZTest_MeanDiff</vt:lpstr>
      <vt:lpstr>'RES_nb-NO'!dbZTest_MeanDiff</vt:lpstr>
      <vt:lpstr>'RES_nl-NL'!dbZTest_MeanDiff</vt:lpstr>
      <vt:lpstr>'RES_pl-PL'!dbZTest_MeanDiff</vt:lpstr>
      <vt:lpstr>'RES_pt-BR'!dbZTest_MeanDiff</vt:lpstr>
      <vt:lpstr>'RES_pt-PT'!dbZTest_MeanDiff</vt:lpstr>
      <vt:lpstr>'RES_ro-RO'!dbZTest_MeanDiff</vt:lpstr>
      <vt:lpstr>'RES_ru-RU'!dbZTest_MeanDiff</vt:lpstr>
      <vt:lpstr>'RES_sl-SI'!dbZTest_MeanDiff</vt:lpstr>
      <vt:lpstr>'RES_sv-SE'!dbZTest_MeanDiff</vt:lpstr>
      <vt:lpstr>'RES_tr-TR'!dbZTest_MeanDiff</vt:lpstr>
      <vt:lpstr>'RES_zh-CN'!dbZTest_MeanDiff</vt:lpstr>
      <vt:lpstr>'RES_zh-TW'!dbZTest_MeanDiff</vt:lpstr>
      <vt:lpstr>'RES_cs-CZ'!dbZTest_NewRef</vt:lpstr>
      <vt:lpstr>'RES_da-DK'!dbZTest_NewRef</vt:lpstr>
      <vt:lpstr>'RES_de-DE'!dbZTest_NewRef</vt:lpstr>
      <vt:lpstr>'RES_el-GR'!dbZTest_NewRef</vt:lpstr>
      <vt:lpstr>'RES_en-US'!dbZTest_NewRef</vt:lpstr>
      <vt:lpstr>'RES_es-ES'!dbZTest_NewRef</vt:lpstr>
      <vt:lpstr>'RES_fi-FI'!dbZTest_NewRef</vt:lpstr>
      <vt:lpstr>'RES_fr-FR'!dbZTest_NewRef</vt:lpstr>
      <vt:lpstr>'RES_hr-HR'!dbZTest_NewRef</vt:lpstr>
      <vt:lpstr>'RES_hu-HU'!dbZTest_NewRef</vt:lpstr>
      <vt:lpstr>'RES_it-IT'!dbZTest_NewRef</vt:lpstr>
      <vt:lpstr>'RES_ja-JP'!dbZTest_NewRef</vt:lpstr>
      <vt:lpstr>'RES_ko-KR'!dbZTest_NewRef</vt:lpstr>
      <vt:lpstr>'RES_lv-LV'!dbZTest_NewRef</vt:lpstr>
      <vt:lpstr>'RES_nb-NO'!dbZTest_NewRef</vt:lpstr>
      <vt:lpstr>'RES_nl-NL'!dbZTest_NewRef</vt:lpstr>
      <vt:lpstr>'RES_pl-PL'!dbZTest_NewRef</vt:lpstr>
      <vt:lpstr>'RES_pt-BR'!dbZTest_NewRef</vt:lpstr>
      <vt:lpstr>'RES_pt-PT'!dbZTest_NewRef</vt:lpstr>
      <vt:lpstr>'RES_ro-RO'!dbZTest_NewRef</vt:lpstr>
      <vt:lpstr>'RES_ru-RU'!dbZTest_NewRef</vt:lpstr>
      <vt:lpstr>'RES_sl-SI'!dbZTest_NewRef</vt:lpstr>
      <vt:lpstr>'RES_sv-SE'!dbZTest_NewRef</vt:lpstr>
      <vt:lpstr>'RES_tr-TR'!dbZTest_NewRef</vt:lpstr>
      <vt:lpstr>'RES_zh-CN'!dbZTest_NewRef</vt:lpstr>
      <vt:lpstr>'RES_zh-TW'!dbZTest_NewRef</vt:lpstr>
      <vt:lpstr>'RES_cs-CZ'!dbZTest_NewType</vt:lpstr>
      <vt:lpstr>'RES_da-DK'!dbZTest_NewType</vt:lpstr>
      <vt:lpstr>'RES_de-DE'!dbZTest_NewType</vt:lpstr>
      <vt:lpstr>'RES_el-GR'!dbZTest_NewType</vt:lpstr>
      <vt:lpstr>'RES_en-US'!dbZTest_NewType</vt:lpstr>
      <vt:lpstr>'RES_es-ES'!dbZTest_NewType</vt:lpstr>
      <vt:lpstr>'RES_fi-FI'!dbZTest_NewType</vt:lpstr>
      <vt:lpstr>'RES_fr-FR'!dbZTest_NewType</vt:lpstr>
      <vt:lpstr>'RES_hr-HR'!dbZTest_NewType</vt:lpstr>
      <vt:lpstr>'RES_hu-HU'!dbZTest_NewType</vt:lpstr>
      <vt:lpstr>'RES_it-IT'!dbZTest_NewType</vt:lpstr>
      <vt:lpstr>'RES_ja-JP'!dbZTest_NewType</vt:lpstr>
      <vt:lpstr>'RES_ko-KR'!dbZTest_NewType</vt:lpstr>
      <vt:lpstr>'RES_lv-LV'!dbZTest_NewType</vt:lpstr>
      <vt:lpstr>'RES_nb-NO'!dbZTest_NewType</vt:lpstr>
      <vt:lpstr>'RES_nl-NL'!dbZTest_NewType</vt:lpstr>
      <vt:lpstr>'RES_pl-PL'!dbZTest_NewType</vt:lpstr>
      <vt:lpstr>'RES_pt-BR'!dbZTest_NewType</vt:lpstr>
      <vt:lpstr>'RES_pt-PT'!dbZTest_NewType</vt:lpstr>
      <vt:lpstr>'RES_ro-RO'!dbZTest_NewType</vt:lpstr>
      <vt:lpstr>'RES_ru-RU'!dbZTest_NewType</vt:lpstr>
      <vt:lpstr>'RES_sl-SI'!dbZTest_NewType</vt:lpstr>
      <vt:lpstr>'RES_sv-SE'!dbZTest_NewType</vt:lpstr>
      <vt:lpstr>'RES_tr-TR'!dbZTest_NewType</vt:lpstr>
      <vt:lpstr>'RES_zh-CN'!dbZTest_NewType</vt:lpstr>
      <vt:lpstr>'RES_zh-TW'!dbZTest_NewType</vt:lpstr>
      <vt:lpstr>'RES_cs-CZ'!dbZTest_OutOption</vt:lpstr>
      <vt:lpstr>'RES_da-DK'!dbZTest_OutOption</vt:lpstr>
      <vt:lpstr>'RES_de-DE'!dbZTest_OutOption</vt:lpstr>
      <vt:lpstr>'RES_el-GR'!dbZTest_OutOption</vt:lpstr>
      <vt:lpstr>'RES_en-US'!dbZTest_OutOption</vt:lpstr>
      <vt:lpstr>'RES_es-ES'!dbZTest_OutOption</vt:lpstr>
      <vt:lpstr>'RES_fi-FI'!dbZTest_OutOption</vt:lpstr>
      <vt:lpstr>'RES_fr-FR'!dbZTest_OutOption</vt:lpstr>
      <vt:lpstr>'RES_hr-HR'!dbZTest_OutOption</vt:lpstr>
      <vt:lpstr>'RES_hu-HU'!dbZTest_OutOption</vt:lpstr>
      <vt:lpstr>'RES_it-IT'!dbZTest_OutOption</vt:lpstr>
      <vt:lpstr>'RES_ja-JP'!dbZTest_OutOption</vt:lpstr>
      <vt:lpstr>'RES_ko-KR'!dbZTest_OutOption</vt:lpstr>
      <vt:lpstr>'RES_lv-LV'!dbZTest_OutOption</vt:lpstr>
      <vt:lpstr>'RES_nb-NO'!dbZTest_OutOption</vt:lpstr>
      <vt:lpstr>'RES_nl-NL'!dbZTest_OutOption</vt:lpstr>
      <vt:lpstr>'RES_pl-PL'!dbZTest_OutOption</vt:lpstr>
      <vt:lpstr>'RES_pt-BR'!dbZTest_OutOption</vt:lpstr>
      <vt:lpstr>'RES_pt-PT'!dbZTest_OutOption</vt:lpstr>
      <vt:lpstr>'RES_ro-RO'!dbZTest_OutOption</vt:lpstr>
      <vt:lpstr>'RES_ru-RU'!dbZTest_OutOption</vt:lpstr>
      <vt:lpstr>'RES_sl-SI'!dbZTest_OutOption</vt:lpstr>
      <vt:lpstr>'RES_sv-SE'!dbZTest_OutOption</vt:lpstr>
      <vt:lpstr>'RES_tr-TR'!dbZTest_OutOption</vt:lpstr>
      <vt:lpstr>'RES_zh-CN'!dbZTest_OutOption</vt:lpstr>
      <vt:lpstr>'RES_zh-TW'!dbZTest_OutOption</vt:lpstr>
      <vt:lpstr>'RES_cs-CZ'!dbZTest_OutRef</vt:lpstr>
      <vt:lpstr>'RES_da-DK'!dbZTest_OutRef</vt:lpstr>
      <vt:lpstr>'RES_de-DE'!dbZTest_OutRef</vt:lpstr>
      <vt:lpstr>'RES_el-GR'!dbZTest_OutRef</vt:lpstr>
      <vt:lpstr>'RES_en-US'!dbZTest_OutRef</vt:lpstr>
      <vt:lpstr>'RES_es-ES'!dbZTest_OutRef</vt:lpstr>
      <vt:lpstr>'RES_fi-FI'!dbZTest_OutRef</vt:lpstr>
      <vt:lpstr>'RES_fr-FR'!dbZTest_OutRef</vt:lpstr>
      <vt:lpstr>'RES_hr-HR'!dbZTest_OutRef</vt:lpstr>
      <vt:lpstr>'RES_hu-HU'!dbZTest_OutRef</vt:lpstr>
      <vt:lpstr>'RES_it-IT'!dbZTest_OutRef</vt:lpstr>
      <vt:lpstr>'RES_ja-JP'!dbZTest_OutRef</vt:lpstr>
      <vt:lpstr>'RES_ko-KR'!dbZTest_OutRef</vt:lpstr>
      <vt:lpstr>'RES_lv-LV'!dbZTest_OutRef</vt:lpstr>
      <vt:lpstr>'RES_nb-NO'!dbZTest_OutRef</vt:lpstr>
      <vt:lpstr>'RES_nl-NL'!dbZTest_OutRef</vt:lpstr>
      <vt:lpstr>'RES_pl-PL'!dbZTest_OutRef</vt:lpstr>
      <vt:lpstr>'RES_pt-BR'!dbZTest_OutRef</vt:lpstr>
      <vt:lpstr>'RES_pt-PT'!dbZTest_OutRef</vt:lpstr>
      <vt:lpstr>'RES_ro-RO'!dbZTest_OutRef</vt:lpstr>
      <vt:lpstr>'RES_ru-RU'!dbZTest_OutRef</vt:lpstr>
      <vt:lpstr>'RES_sl-SI'!dbZTest_OutRef</vt:lpstr>
      <vt:lpstr>'RES_sv-SE'!dbZTest_OutRef</vt:lpstr>
      <vt:lpstr>'RES_tr-TR'!dbZTest_OutRef</vt:lpstr>
      <vt:lpstr>'RES_zh-CN'!dbZTest_OutRef</vt:lpstr>
      <vt:lpstr>'RES_zh-TW'!dbZTest_OutRef</vt:lpstr>
      <vt:lpstr>'RES_cs-CZ'!dbZTest_OutType</vt:lpstr>
      <vt:lpstr>'RES_da-DK'!dbZTest_OutType</vt:lpstr>
      <vt:lpstr>'RES_de-DE'!dbZTest_OutType</vt:lpstr>
      <vt:lpstr>'RES_el-GR'!dbZTest_OutType</vt:lpstr>
      <vt:lpstr>'RES_en-US'!dbZTest_OutType</vt:lpstr>
      <vt:lpstr>'RES_es-ES'!dbZTest_OutType</vt:lpstr>
      <vt:lpstr>'RES_fi-FI'!dbZTest_OutType</vt:lpstr>
      <vt:lpstr>'RES_fr-FR'!dbZTest_OutType</vt:lpstr>
      <vt:lpstr>'RES_hr-HR'!dbZTest_OutType</vt:lpstr>
      <vt:lpstr>'RES_hu-HU'!dbZTest_OutType</vt:lpstr>
      <vt:lpstr>'RES_it-IT'!dbZTest_OutType</vt:lpstr>
      <vt:lpstr>'RES_ja-JP'!dbZTest_OutType</vt:lpstr>
      <vt:lpstr>'RES_ko-KR'!dbZTest_OutType</vt:lpstr>
      <vt:lpstr>'RES_lv-LV'!dbZTest_OutType</vt:lpstr>
      <vt:lpstr>'RES_nb-NO'!dbZTest_OutType</vt:lpstr>
      <vt:lpstr>'RES_nl-NL'!dbZTest_OutType</vt:lpstr>
      <vt:lpstr>'RES_pl-PL'!dbZTest_OutType</vt:lpstr>
      <vt:lpstr>'RES_pt-BR'!dbZTest_OutType</vt:lpstr>
      <vt:lpstr>'RES_pt-PT'!dbZTest_OutType</vt:lpstr>
      <vt:lpstr>'RES_ro-RO'!dbZTest_OutType</vt:lpstr>
      <vt:lpstr>'RES_ru-RU'!dbZTest_OutType</vt:lpstr>
      <vt:lpstr>'RES_sl-SI'!dbZTest_OutType</vt:lpstr>
      <vt:lpstr>'RES_sv-SE'!dbZTest_OutType</vt:lpstr>
      <vt:lpstr>'RES_tr-TR'!dbZTest_OutType</vt:lpstr>
      <vt:lpstr>'RES_zh-CN'!dbZTest_OutType</vt:lpstr>
      <vt:lpstr>'RES_zh-TW'!dbZTest_OutType</vt:lpstr>
      <vt:lpstr>'RES_cs-CZ'!dbZTest_PlyInpFld</vt:lpstr>
      <vt:lpstr>'RES_da-DK'!dbZTest_PlyInpFld</vt:lpstr>
      <vt:lpstr>'RES_de-DE'!dbZTest_PlyInpFld</vt:lpstr>
      <vt:lpstr>'RES_el-GR'!dbZTest_PlyInpFld</vt:lpstr>
      <vt:lpstr>'RES_en-US'!dbZTest_PlyInpFld</vt:lpstr>
      <vt:lpstr>'RES_es-ES'!dbZTest_PlyInpFld</vt:lpstr>
      <vt:lpstr>'RES_fi-FI'!dbZTest_PlyInpFld</vt:lpstr>
      <vt:lpstr>'RES_fr-FR'!dbZTest_PlyInpFld</vt:lpstr>
      <vt:lpstr>'RES_hr-HR'!dbZTest_PlyInpFld</vt:lpstr>
      <vt:lpstr>'RES_hu-HU'!dbZTest_PlyInpFld</vt:lpstr>
      <vt:lpstr>'RES_it-IT'!dbZTest_PlyInpFld</vt:lpstr>
      <vt:lpstr>'RES_ja-JP'!dbZTest_PlyInpFld</vt:lpstr>
      <vt:lpstr>'RES_ko-KR'!dbZTest_PlyInpFld</vt:lpstr>
      <vt:lpstr>'RES_lv-LV'!dbZTest_PlyInpFld</vt:lpstr>
      <vt:lpstr>'RES_nb-NO'!dbZTest_PlyInpFld</vt:lpstr>
      <vt:lpstr>'RES_nl-NL'!dbZTest_PlyInpFld</vt:lpstr>
      <vt:lpstr>'RES_pl-PL'!dbZTest_PlyInpFld</vt:lpstr>
      <vt:lpstr>'RES_pt-BR'!dbZTest_PlyInpFld</vt:lpstr>
      <vt:lpstr>'RES_pt-PT'!dbZTest_PlyInpFld</vt:lpstr>
      <vt:lpstr>'RES_ro-RO'!dbZTest_PlyInpFld</vt:lpstr>
      <vt:lpstr>'RES_ru-RU'!dbZTest_PlyInpFld</vt:lpstr>
      <vt:lpstr>'RES_sl-SI'!dbZTest_PlyInpFld</vt:lpstr>
      <vt:lpstr>'RES_sv-SE'!dbZTest_PlyInpFld</vt:lpstr>
      <vt:lpstr>'RES_tr-TR'!dbZTest_PlyInpFld</vt:lpstr>
      <vt:lpstr>'RES_zh-CN'!dbZTest_PlyInpFld</vt:lpstr>
      <vt:lpstr>'RES_zh-TW'!dbZTest_PlyInpFld</vt:lpstr>
      <vt:lpstr>'RES_cs-CZ'!dbZTest_PlyName</vt:lpstr>
      <vt:lpstr>'RES_da-DK'!dbZTest_PlyName</vt:lpstr>
      <vt:lpstr>'RES_de-DE'!dbZTest_PlyName</vt:lpstr>
      <vt:lpstr>'RES_el-GR'!dbZTest_PlyName</vt:lpstr>
      <vt:lpstr>'RES_en-US'!dbZTest_PlyName</vt:lpstr>
      <vt:lpstr>'RES_es-ES'!dbZTest_PlyName</vt:lpstr>
      <vt:lpstr>'RES_fi-FI'!dbZTest_PlyName</vt:lpstr>
      <vt:lpstr>'RES_fr-FR'!dbZTest_PlyName</vt:lpstr>
      <vt:lpstr>'RES_hr-HR'!dbZTest_PlyName</vt:lpstr>
      <vt:lpstr>'RES_hu-HU'!dbZTest_PlyName</vt:lpstr>
      <vt:lpstr>'RES_it-IT'!dbZTest_PlyName</vt:lpstr>
      <vt:lpstr>'RES_ja-JP'!dbZTest_PlyName</vt:lpstr>
      <vt:lpstr>'RES_ko-KR'!dbZTest_PlyName</vt:lpstr>
      <vt:lpstr>'RES_lv-LV'!dbZTest_PlyName</vt:lpstr>
      <vt:lpstr>'RES_nb-NO'!dbZTest_PlyName</vt:lpstr>
      <vt:lpstr>'RES_nl-NL'!dbZTest_PlyName</vt:lpstr>
      <vt:lpstr>'RES_pl-PL'!dbZTest_PlyName</vt:lpstr>
      <vt:lpstr>'RES_pt-BR'!dbZTest_PlyName</vt:lpstr>
      <vt:lpstr>'RES_pt-PT'!dbZTest_PlyName</vt:lpstr>
      <vt:lpstr>'RES_ro-RO'!dbZTest_PlyName</vt:lpstr>
      <vt:lpstr>'RES_ru-RU'!dbZTest_PlyName</vt:lpstr>
      <vt:lpstr>'RES_sl-SI'!dbZTest_PlyName</vt:lpstr>
      <vt:lpstr>'RES_sv-SE'!dbZTest_PlyName</vt:lpstr>
      <vt:lpstr>'RES_tr-TR'!dbZTest_PlyName</vt:lpstr>
      <vt:lpstr>'RES_zh-CN'!dbZTest_PlyName</vt:lpstr>
      <vt:lpstr>'RES_zh-TW'!dbZTest_PlyName</vt:lpstr>
      <vt:lpstr>'RES_cs-CZ'!dbZTest_RangeInpFld</vt:lpstr>
      <vt:lpstr>'RES_da-DK'!dbZTest_RangeInpFld</vt:lpstr>
      <vt:lpstr>'RES_de-DE'!dbZTest_RangeInpFld</vt:lpstr>
      <vt:lpstr>'RES_el-GR'!dbZTest_RangeInpFld</vt:lpstr>
      <vt:lpstr>'RES_en-US'!dbZTest_RangeInpFld</vt:lpstr>
      <vt:lpstr>'RES_es-ES'!dbZTest_RangeInpFld</vt:lpstr>
      <vt:lpstr>'RES_fi-FI'!dbZTest_RangeInpFld</vt:lpstr>
      <vt:lpstr>'RES_fr-FR'!dbZTest_RangeInpFld</vt:lpstr>
      <vt:lpstr>'RES_hr-HR'!dbZTest_RangeInpFld</vt:lpstr>
      <vt:lpstr>'RES_hu-HU'!dbZTest_RangeInpFld</vt:lpstr>
      <vt:lpstr>'RES_it-IT'!dbZTest_RangeInpFld</vt:lpstr>
      <vt:lpstr>'RES_ja-JP'!dbZTest_RangeInpFld</vt:lpstr>
      <vt:lpstr>'RES_ko-KR'!dbZTest_RangeInpFld</vt:lpstr>
      <vt:lpstr>'RES_lv-LV'!dbZTest_RangeInpFld</vt:lpstr>
      <vt:lpstr>'RES_nb-NO'!dbZTest_RangeInpFld</vt:lpstr>
      <vt:lpstr>'RES_nl-NL'!dbZTest_RangeInpFld</vt:lpstr>
      <vt:lpstr>'RES_pl-PL'!dbZTest_RangeInpFld</vt:lpstr>
      <vt:lpstr>'RES_pt-BR'!dbZTest_RangeInpFld</vt:lpstr>
      <vt:lpstr>'RES_pt-PT'!dbZTest_RangeInpFld</vt:lpstr>
      <vt:lpstr>'RES_ro-RO'!dbZTest_RangeInpFld</vt:lpstr>
      <vt:lpstr>'RES_ru-RU'!dbZTest_RangeInpFld</vt:lpstr>
      <vt:lpstr>'RES_sl-SI'!dbZTest_RangeInpFld</vt:lpstr>
      <vt:lpstr>'RES_sv-SE'!dbZTest_RangeInpFld</vt:lpstr>
      <vt:lpstr>'RES_tr-TR'!dbZTest_RangeInpFld</vt:lpstr>
      <vt:lpstr>'RES_zh-CN'!dbZTest_RangeInpFld</vt:lpstr>
      <vt:lpstr>'RES_zh-TW'!dbZTest_RangeInpFld</vt:lpstr>
      <vt:lpstr>'RES_cs-CZ'!dbZTest_RangeRef</vt:lpstr>
      <vt:lpstr>'RES_da-DK'!dbZTest_RangeRef</vt:lpstr>
      <vt:lpstr>'RES_de-DE'!dbZTest_RangeRef</vt:lpstr>
      <vt:lpstr>'RES_el-GR'!dbZTest_RangeRef</vt:lpstr>
      <vt:lpstr>'RES_en-US'!dbZTest_RangeRef</vt:lpstr>
      <vt:lpstr>'RES_es-ES'!dbZTest_RangeRef</vt:lpstr>
      <vt:lpstr>'RES_fi-FI'!dbZTest_RangeRef</vt:lpstr>
      <vt:lpstr>'RES_fr-FR'!dbZTest_RangeRef</vt:lpstr>
      <vt:lpstr>'RES_hr-HR'!dbZTest_RangeRef</vt:lpstr>
      <vt:lpstr>'RES_hu-HU'!dbZTest_RangeRef</vt:lpstr>
      <vt:lpstr>'RES_it-IT'!dbZTest_RangeRef</vt:lpstr>
      <vt:lpstr>'RES_ja-JP'!dbZTest_RangeRef</vt:lpstr>
      <vt:lpstr>'RES_ko-KR'!dbZTest_RangeRef</vt:lpstr>
      <vt:lpstr>'RES_lv-LV'!dbZTest_RangeRef</vt:lpstr>
      <vt:lpstr>'RES_nb-NO'!dbZTest_RangeRef</vt:lpstr>
      <vt:lpstr>'RES_nl-NL'!dbZTest_RangeRef</vt:lpstr>
      <vt:lpstr>'RES_pl-PL'!dbZTest_RangeRef</vt:lpstr>
      <vt:lpstr>'RES_pt-BR'!dbZTest_RangeRef</vt:lpstr>
      <vt:lpstr>'RES_pt-PT'!dbZTest_RangeRef</vt:lpstr>
      <vt:lpstr>'RES_ro-RO'!dbZTest_RangeRef</vt:lpstr>
      <vt:lpstr>'RES_ru-RU'!dbZTest_RangeRef</vt:lpstr>
      <vt:lpstr>'RES_sl-SI'!dbZTest_RangeRef</vt:lpstr>
      <vt:lpstr>'RES_sv-SE'!dbZTest_RangeRef</vt:lpstr>
      <vt:lpstr>'RES_tr-TR'!dbZTest_RangeRef</vt:lpstr>
      <vt:lpstr>'RES_zh-CN'!dbZTest_RangeRef</vt:lpstr>
      <vt:lpstr>'RES_zh-TW'!dbZTest_RangeRef</vt:lpstr>
      <vt:lpstr>'RES_cs-CZ'!dbZTest_VarianceVal1</vt:lpstr>
      <vt:lpstr>'RES_da-DK'!dbZTest_VarianceVal1</vt:lpstr>
      <vt:lpstr>'RES_de-DE'!dbZTest_VarianceVal1</vt:lpstr>
      <vt:lpstr>'RES_el-GR'!dbZTest_VarianceVal1</vt:lpstr>
      <vt:lpstr>'RES_en-US'!dbZTest_VarianceVal1</vt:lpstr>
      <vt:lpstr>'RES_es-ES'!dbZTest_VarianceVal1</vt:lpstr>
      <vt:lpstr>'RES_fi-FI'!dbZTest_VarianceVal1</vt:lpstr>
      <vt:lpstr>'RES_fr-FR'!dbZTest_VarianceVal1</vt:lpstr>
      <vt:lpstr>'RES_hr-HR'!dbZTest_VarianceVal1</vt:lpstr>
      <vt:lpstr>'RES_hu-HU'!dbZTest_VarianceVal1</vt:lpstr>
      <vt:lpstr>'RES_it-IT'!dbZTest_VarianceVal1</vt:lpstr>
      <vt:lpstr>'RES_ja-JP'!dbZTest_VarianceVal1</vt:lpstr>
      <vt:lpstr>'RES_ko-KR'!dbZTest_VarianceVal1</vt:lpstr>
      <vt:lpstr>'RES_lv-LV'!dbZTest_VarianceVal1</vt:lpstr>
      <vt:lpstr>'RES_nb-NO'!dbZTest_VarianceVal1</vt:lpstr>
      <vt:lpstr>'RES_nl-NL'!dbZTest_VarianceVal1</vt:lpstr>
      <vt:lpstr>'RES_pl-PL'!dbZTest_VarianceVal1</vt:lpstr>
      <vt:lpstr>'RES_pt-BR'!dbZTest_VarianceVal1</vt:lpstr>
      <vt:lpstr>'RES_pt-PT'!dbZTest_VarianceVal1</vt:lpstr>
      <vt:lpstr>'RES_ro-RO'!dbZTest_VarianceVal1</vt:lpstr>
      <vt:lpstr>'RES_ru-RU'!dbZTest_VarianceVal1</vt:lpstr>
      <vt:lpstr>'RES_sl-SI'!dbZTest_VarianceVal1</vt:lpstr>
      <vt:lpstr>'RES_sv-SE'!dbZTest_VarianceVal1</vt:lpstr>
      <vt:lpstr>'RES_tr-TR'!dbZTest_VarianceVal1</vt:lpstr>
      <vt:lpstr>'RES_zh-CN'!dbZTest_VarianceVal1</vt:lpstr>
      <vt:lpstr>'RES_zh-TW'!dbZTest_VarianceVal1</vt:lpstr>
      <vt:lpstr>'RES_cs-CZ'!dbZTest_VarianceVal2</vt:lpstr>
      <vt:lpstr>'RES_da-DK'!dbZTest_VarianceVal2</vt:lpstr>
      <vt:lpstr>'RES_de-DE'!dbZTest_VarianceVal2</vt:lpstr>
      <vt:lpstr>'RES_el-GR'!dbZTest_VarianceVal2</vt:lpstr>
      <vt:lpstr>'RES_en-US'!dbZTest_VarianceVal2</vt:lpstr>
      <vt:lpstr>'RES_es-ES'!dbZTest_VarianceVal2</vt:lpstr>
      <vt:lpstr>'RES_fi-FI'!dbZTest_VarianceVal2</vt:lpstr>
      <vt:lpstr>'RES_fr-FR'!dbZTest_VarianceVal2</vt:lpstr>
      <vt:lpstr>'RES_hr-HR'!dbZTest_VarianceVal2</vt:lpstr>
      <vt:lpstr>'RES_hu-HU'!dbZTest_VarianceVal2</vt:lpstr>
      <vt:lpstr>'RES_it-IT'!dbZTest_VarianceVal2</vt:lpstr>
      <vt:lpstr>'RES_ja-JP'!dbZTest_VarianceVal2</vt:lpstr>
      <vt:lpstr>'RES_ko-KR'!dbZTest_VarianceVal2</vt:lpstr>
      <vt:lpstr>'RES_lv-LV'!dbZTest_VarianceVal2</vt:lpstr>
      <vt:lpstr>'RES_nb-NO'!dbZTest_VarianceVal2</vt:lpstr>
      <vt:lpstr>'RES_nl-NL'!dbZTest_VarianceVal2</vt:lpstr>
      <vt:lpstr>'RES_pl-PL'!dbZTest_VarianceVal2</vt:lpstr>
      <vt:lpstr>'RES_pt-BR'!dbZTest_VarianceVal2</vt:lpstr>
      <vt:lpstr>'RES_pt-PT'!dbZTest_VarianceVal2</vt:lpstr>
      <vt:lpstr>'RES_ro-RO'!dbZTest_VarianceVal2</vt:lpstr>
      <vt:lpstr>'RES_ru-RU'!dbZTest_VarianceVal2</vt:lpstr>
      <vt:lpstr>'RES_sl-SI'!dbZTest_VarianceVal2</vt:lpstr>
      <vt:lpstr>'RES_sv-SE'!dbZTest_VarianceVal2</vt:lpstr>
      <vt:lpstr>'RES_tr-TR'!dbZTest_VarianceVal2</vt:lpstr>
      <vt:lpstr>'RES_zh-CN'!dbZTest_VarianceVal2</vt:lpstr>
      <vt:lpstr>'RES_zh-TW'!dbZTest_VarianceVal2</vt:lpstr>
      <vt:lpstr>'RES_cs-CZ'!dbZTest_VarRng1</vt:lpstr>
      <vt:lpstr>'RES_da-DK'!dbZTest_VarRng1</vt:lpstr>
      <vt:lpstr>'RES_de-DE'!dbZTest_VarRng1</vt:lpstr>
      <vt:lpstr>'RES_el-GR'!dbZTest_VarRng1</vt:lpstr>
      <vt:lpstr>'RES_en-US'!dbZTest_VarRng1</vt:lpstr>
      <vt:lpstr>'RES_es-ES'!dbZTest_VarRng1</vt:lpstr>
      <vt:lpstr>'RES_fi-FI'!dbZTest_VarRng1</vt:lpstr>
      <vt:lpstr>'RES_fr-FR'!dbZTest_VarRng1</vt:lpstr>
      <vt:lpstr>'RES_hr-HR'!dbZTest_VarRng1</vt:lpstr>
      <vt:lpstr>'RES_hu-HU'!dbZTest_VarRng1</vt:lpstr>
      <vt:lpstr>'RES_it-IT'!dbZTest_VarRng1</vt:lpstr>
      <vt:lpstr>'RES_ja-JP'!dbZTest_VarRng1</vt:lpstr>
      <vt:lpstr>'RES_ko-KR'!dbZTest_VarRng1</vt:lpstr>
      <vt:lpstr>'RES_lv-LV'!dbZTest_VarRng1</vt:lpstr>
      <vt:lpstr>'RES_nb-NO'!dbZTest_VarRng1</vt:lpstr>
      <vt:lpstr>'RES_nl-NL'!dbZTest_VarRng1</vt:lpstr>
      <vt:lpstr>'RES_pl-PL'!dbZTest_VarRng1</vt:lpstr>
      <vt:lpstr>'RES_pt-BR'!dbZTest_VarRng1</vt:lpstr>
      <vt:lpstr>'RES_pt-PT'!dbZTest_VarRng1</vt:lpstr>
      <vt:lpstr>'RES_ro-RO'!dbZTest_VarRng1</vt:lpstr>
      <vt:lpstr>'RES_ru-RU'!dbZTest_VarRng1</vt:lpstr>
      <vt:lpstr>'RES_sl-SI'!dbZTest_VarRng1</vt:lpstr>
      <vt:lpstr>'RES_sv-SE'!dbZTest_VarRng1</vt:lpstr>
      <vt:lpstr>'RES_tr-TR'!dbZTest_VarRng1</vt:lpstr>
      <vt:lpstr>'RES_zh-CN'!dbZTest_VarRng1</vt:lpstr>
      <vt:lpstr>'RES_zh-TW'!dbZTest_VarRng1</vt:lpstr>
      <vt:lpstr>'RES_cs-CZ'!dbZTest_VarRng2</vt:lpstr>
      <vt:lpstr>'RES_da-DK'!dbZTest_VarRng2</vt:lpstr>
      <vt:lpstr>'RES_de-DE'!dbZTest_VarRng2</vt:lpstr>
      <vt:lpstr>'RES_el-GR'!dbZTest_VarRng2</vt:lpstr>
      <vt:lpstr>'RES_en-US'!dbZTest_VarRng2</vt:lpstr>
      <vt:lpstr>'RES_es-ES'!dbZTest_VarRng2</vt:lpstr>
      <vt:lpstr>'RES_fi-FI'!dbZTest_VarRng2</vt:lpstr>
      <vt:lpstr>'RES_fr-FR'!dbZTest_VarRng2</vt:lpstr>
      <vt:lpstr>'RES_hr-HR'!dbZTest_VarRng2</vt:lpstr>
      <vt:lpstr>'RES_hu-HU'!dbZTest_VarRng2</vt:lpstr>
      <vt:lpstr>'RES_it-IT'!dbZTest_VarRng2</vt:lpstr>
      <vt:lpstr>'RES_ja-JP'!dbZTest_VarRng2</vt:lpstr>
      <vt:lpstr>'RES_ko-KR'!dbZTest_VarRng2</vt:lpstr>
      <vt:lpstr>'RES_lv-LV'!dbZTest_VarRng2</vt:lpstr>
      <vt:lpstr>'RES_nb-NO'!dbZTest_VarRng2</vt:lpstr>
      <vt:lpstr>'RES_nl-NL'!dbZTest_VarRng2</vt:lpstr>
      <vt:lpstr>'RES_pl-PL'!dbZTest_VarRng2</vt:lpstr>
      <vt:lpstr>'RES_pt-BR'!dbZTest_VarRng2</vt:lpstr>
      <vt:lpstr>'RES_pt-PT'!dbZTest_VarRng2</vt:lpstr>
      <vt:lpstr>'RES_ro-RO'!dbZTest_VarRng2</vt:lpstr>
      <vt:lpstr>'RES_ru-RU'!dbZTest_VarRng2</vt:lpstr>
      <vt:lpstr>'RES_sl-SI'!dbZTest_VarRng2</vt:lpstr>
      <vt:lpstr>'RES_sv-SE'!dbZTest_VarRng2</vt:lpstr>
      <vt:lpstr>'RES_tr-TR'!dbZTest_VarRng2</vt:lpstr>
      <vt:lpstr>'RES_zh-CN'!dbZTest_VarRng2</vt:lpstr>
      <vt:lpstr>'RES_zh-TW'!dbZTest_VarRng2</vt:lpstr>
      <vt:lpstr>'RES_cs-CZ'!dbZTestTitle</vt:lpstr>
      <vt:lpstr>'RES_da-DK'!dbZTestTitle</vt:lpstr>
      <vt:lpstr>'RES_de-DE'!dbZTestTitle</vt:lpstr>
      <vt:lpstr>'RES_el-GR'!dbZTestTitle</vt:lpstr>
      <vt:lpstr>'RES_en-US'!dbZTestTitle</vt:lpstr>
      <vt:lpstr>'RES_es-ES'!dbZTestTitle</vt:lpstr>
      <vt:lpstr>'RES_fi-FI'!dbZTestTitle</vt:lpstr>
      <vt:lpstr>'RES_fr-FR'!dbZTestTitle</vt:lpstr>
      <vt:lpstr>'RES_hr-HR'!dbZTestTitle</vt:lpstr>
      <vt:lpstr>'RES_hu-HU'!dbZTestTitle</vt:lpstr>
      <vt:lpstr>'RES_it-IT'!dbZTestTitle</vt:lpstr>
      <vt:lpstr>'RES_ja-JP'!dbZTestTitle</vt:lpstr>
      <vt:lpstr>'RES_ko-KR'!dbZTestTitle</vt:lpstr>
      <vt:lpstr>'RES_lv-LV'!dbZTestTitle</vt:lpstr>
      <vt:lpstr>'RES_nb-NO'!dbZTestTitle</vt:lpstr>
      <vt:lpstr>'RES_nl-NL'!dbZTestTitle</vt:lpstr>
      <vt:lpstr>'RES_pl-PL'!dbZTestTitle</vt:lpstr>
      <vt:lpstr>'RES_pt-BR'!dbZTestTitle</vt:lpstr>
      <vt:lpstr>'RES_pt-PT'!dbZTestTitle</vt:lpstr>
      <vt:lpstr>'RES_ro-RO'!dbZTestTitle</vt:lpstr>
      <vt:lpstr>'RES_ru-RU'!dbZTestTitle</vt:lpstr>
      <vt:lpstr>'RES_sl-SI'!dbZTestTitle</vt:lpstr>
      <vt:lpstr>'RES_sv-SE'!dbZTestTitle</vt:lpstr>
      <vt:lpstr>'RES_tr-TR'!dbZTestTitle</vt:lpstr>
      <vt:lpstr>'RES_zh-CN'!dbZTestTitle</vt:lpstr>
      <vt:lpstr>'RES_zh-TW'!dbZTestTitle</vt:lpstr>
      <vt:lpstr>'RES_cs-CZ'!Dialog_table</vt:lpstr>
      <vt:lpstr>'RES_da-DK'!Dialog_table</vt:lpstr>
      <vt:lpstr>'RES_de-DE'!Dialog_table</vt:lpstr>
      <vt:lpstr>'RES_el-GR'!Dialog_table</vt:lpstr>
      <vt:lpstr>'RES_en-US'!Dialog_table</vt:lpstr>
      <vt:lpstr>'RES_es-ES'!Dialog_table</vt:lpstr>
      <vt:lpstr>'RES_fi-FI'!Dialog_table</vt:lpstr>
      <vt:lpstr>'RES_fr-FR'!Dialog_table</vt:lpstr>
      <vt:lpstr>'RES_hr-HR'!Dialog_table</vt:lpstr>
      <vt:lpstr>'RES_hu-HU'!Dialog_table</vt:lpstr>
      <vt:lpstr>'RES_it-IT'!Dialog_table</vt:lpstr>
      <vt:lpstr>'RES_ja-JP'!Dialog_table</vt:lpstr>
      <vt:lpstr>'RES_ko-KR'!Dialog_table</vt:lpstr>
      <vt:lpstr>'RES_lv-LV'!Dialog_table</vt:lpstr>
      <vt:lpstr>'RES_nb-NO'!Dialog_table</vt:lpstr>
      <vt:lpstr>'RES_nl-NL'!Dialog_table</vt:lpstr>
      <vt:lpstr>'RES_pl-PL'!Dialog_table</vt:lpstr>
      <vt:lpstr>'RES_pt-BR'!Dialog_table</vt:lpstr>
      <vt:lpstr>'RES_pt-PT'!Dialog_table</vt:lpstr>
      <vt:lpstr>'RES_ro-RO'!Dialog_table</vt:lpstr>
      <vt:lpstr>'RES_ru-RU'!Dialog_table</vt:lpstr>
      <vt:lpstr>'RES_sl-SI'!Dialog_table</vt:lpstr>
      <vt:lpstr>'RES_sv-SE'!Dialog_table</vt:lpstr>
      <vt:lpstr>'RES_tr-TR'!Dialog_table</vt:lpstr>
      <vt:lpstr>'RES_zh-CN'!Dialog_table</vt:lpstr>
      <vt:lpstr>'RES_zh-TW'!Dialog_table</vt:lpstr>
      <vt:lpstr>'RES_cs-CZ'!errmsg.ActiveXError</vt:lpstr>
      <vt:lpstr>'RES_da-DK'!errmsg.ActiveXError</vt:lpstr>
      <vt:lpstr>'RES_de-DE'!errmsg.ActiveXError</vt:lpstr>
      <vt:lpstr>'RES_el-GR'!errmsg.ActiveXError</vt:lpstr>
      <vt:lpstr>'RES_en-US'!errmsg.ActiveXError</vt:lpstr>
      <vt:lpstr>'RES_es-ES'!errmsg.ActiveXError</vt:lpstr>
      <vt:lpstr>'RES_fi-FI'!errmsg.ActiveXError</vt:lpstr>
      <vt:lpstr>'RES_fr-FR'!errmsg.ActiveXError</vt:lpstr>
      <vt:lpstr>'RES_hr-HR'!errmsg.ActiveXError</vt:lpstr>
      <vt:lpstr>'RES_hu-HU'!errmsg.ActiveXError</vt:lpstr>
      <vt:lpstr>'RES_it-IT'!errmsg.ActiveXError</vt:lpstr>
      <vt:lpstr>'RES_ja-JP'!errmsg.ActiveXError</vt:lpstr>
      <vt:lpstr>'RES_ko-KR'!errmsg.ActiveXError</vt:lpstr>
      <vt:lpstr>'RES_lv-LV'!errmsg.ActiveXError</vt:lpstr>
      <vt:lpstr>'RES_nb-NO'!errmsg.ActiveXError</vt:lpstr>
      <vt:lpstr>'RES_nl-NL'!errmsg.ActiveXError</vt:lpstr>
      <vt:lpstr>'RES_pl-PL'!errmsg.ActiveXError</vt:lpstr>
      <vt:lpstr>'RES_pt-BR'!errmsg.ActiveXError</vt:lpstr>
      <vt:lpstr>'RES_pt-PT'!errmsg.ActiveXError</vt:lpstr>
      <vt:lpstr>'RES_ro-RO'!errmsg.ActiveXError</vt:lpstr>
      <vt:lpstr>'RES_ru-RU'!errmsg.ActiveXError</vt:lpstr>
      <vt:lpstr>'RES_sl-SI'!errmsg.ActiveXError</vt:lpstr>
      <vt:lpstr>'RES_sv-SE'!errmsg.ActiveXError</vt:lpstr>
      <vt:lpstr>'RES_tr-TR'!errmsg.ActiveXError</vt:lpstr>
      <vt:lpstr>'RES_zh-CN'!errmsg.ActiveXError</vt:lpstr>
      <vt:lpstr>'RES_zh-TW'!errmsg.ActiveXError</vt:lpstr>
      <vt:lpstr>'RES_cs-CZ'!errmsg.AllocMemErrCalc</vt:lpstr>
      <vt:lpstr>'RES_da-DK'!errmsg.AllocMemErrCalc</vt:lpstr>
      <vt:lpstr>'RES_de-DE'!errmsg.AllocMemErrCalc</vt:lpstr>
      <vt:lpstr>'RES_el-GR'!errmsg.AllocMemErrCalc</vt:lpstr>
      <vt:lpstr>'RES_en-US'!errmsg.AllocMemErrCalc</vt:lpstr>
      <vt:lpstr>'RES_es-ES'!errmsg.AllocMemErrCalc</vt:lpstr>
      <vt:lpstr>'RES_fi-FI'!errmsg.AllocMemErrCalc</vt:lpstr>
      <vt:lpstr>'RES_fr-FR'!errmsg.AllocMemErrCalc</vt:lpstr>
      <vt:lpstr>'RES_hr-HR'!errmsg.AllocMemErrCalc</vt:lpstr>
      <vt:lpstr>'RES_hu-HU'!errmsg.AllocMemErrCalc</vt:lpstr>
      <vt:lpstr>'RES_it-IT'!errmsg.AllocMemErrCalc</vt:lpstr>
      <vt:lpstr>'RES_ja-JP'!errmsg.AllocMemErrCalc</vt:lpstr>
      <vt:lpstr>'RES_ko-KR'!errmsg.AllocMemErrCalc</vt:lpstr>
      <vt:lpstr>'RES_lv-LV'!errmsg.AllocMemErrCalc</vt:lpstr>
      <vt:lpstr>'RES_nb-NO'!errmsg.AllocMemErrCalc</vt:lpstr>
      <vt:lpstr>'RES_nl-NL'!errmsg.AllocMemErrCalc</vt:lpstr>
      <vt:lpstr>'RES_pl-PL'!errmsg.AllocMemErrCalc</vt:lpstr>
      <vt:lpstr>'RES_pt-BR'!errmsg.AllocMemErrCalc</vt:lpstr>
      <vt:lpstr>'RES_pt-PT'!errmsg.AllocMemErrCalc</vt:lpstr>
      <vt:lpstr>'RES_ro-RO'!errmsg.AllocMemErrCalc</vt:lpstr>
      <vt:lpstr>'RES_ru-RU'!errmsg.AllocMemErrCalc</vt:lpstr>
      <vt:lpstr>'RES_sl-SI'!errmsg.AllocMemErrCalc</vt:lpstr>
      <vt:lpstr>'RES_sv-SE'!errmsg.AllocMemErrCalc</vt:lpstr>
      <vt:lpstr>'RES_tr-TR'!errmsg.AllocMemErrCalc</vt:lpstr>
      <vt:lpstr>'RES_zh-CN'!errmsg.AllocMemErrCalc</vt:lpstr>
      <vt:lpstr>'RES_zh-TW'!errmsg.AllocMemErrCalc</vt:lpstr>
      <vt:lpstr>'RES_cs-CZ'!errmsg.AlphaNumeric</vt:lpstr>
      <vt:lpstr>'RES_da-DK'!errmsg.AlphaNumeric</vt:lpstr>
      <vt:lpstr>'RES_de-DE'!errmsg.AlphaNumeric</vt:lpstr>
      <vt:lpstr>'RES_el-GR'!errmsg.AlphaNumeric</vt:lpstr>
      <vt:lpstr>'RES_en-US'!errmsg.AlphaNumeric</vt:lpstr>
      <vt:lpstr>'RES_es-ES'!errmsg.AlphaNumeric</vt:lpstr>
      <vt:lpstr>'RES_fi-FI'!errmsg.AlphaNumeric</vt:lpstr>
      <vt:lpstr>'RES_fr-FR'!errmsg.AlphaNumeric</vt:lpstr>
      <vt:lpstr>'RES_hr-HR'!errmsg.AlphaNumeric</vt:lpstr>
      <vt:lpstr>'RES_hu-HU'!errmsg.AlphaNumeric</vt:lpstr>
      <vt:lpstr>'RES_it-IT'!errmsg.AlphaNumeric</vt:lpstr>
      <vt:lpstr>'RES_ja-JP'!errmsg.AlphaNumeric</vt:lpstr>
      <vt:lpstr>'RES_ko-KR'!errmsg.AlphaNumeric</vt:lpstr>
      <vt:lpstr>'RES_lv-LV'!errmsg.AlphaNumeric</vt:lpstr>
      <vt:lpstr>'RES_nb-NO'!errmsg.AlphaNumeric</vt:lpstr>
      <vt:lpstr>'RES_nl-NL'!errmsg.AlphaNumeric</vt:lpstr>
      <vt:lpstr>'RES_pl-PL'!errmsg.AlphaNumeric</vt:lpstr>
      <vt:lpstr>'RES_pt-BR'!errmsg.AlphaNumeric</vt:lpstr>
      <vt:lpstr>'RES_pt-PT'!errmsg.AlphaNumeric</vt:lpstr>
      <vt:lpstr>'RES_ro-RO'!errmsg.AlphaNumeric</vt:lpstr>
      <vt:lpstr>'RES_ru-RU'!errmsg.AlphaNumeric</vt:lpstr>
      <vt:lpstr>'RES_sl-SI'!errmsg.AlphaNumeric</vt:lpstr>
      <vt:lpstr>'RES_sv-SE'!errmsg.AlphaNumeric</vt:lpstr>
      <vt:lpstr>'RES_tr-TR'!errmsg.AlphaNumeric</vt:lpstr>
      <vt:lpstr>'RES_zh-CN'!errmsg.AlphaNumeric</vt:lpstr>
      <vt:lpstr>'RES_zh-TW'!errmsg.AlphaNumeric</vt:lpstr>
      <vt:lpstr>'RES_cs-CZ'!errmsg.BernoulliProbErr</vt:lpstr>
      <vt:lpstr>'RES_da-DK'!errmsg.BernoulliProbErr</vt:lpstr>
      <vt:lpstr>'RES_de-DE'!errmsg.BernoulliProbErr</vt:lpstr>
      <vt:lpstr>'RES_el-GR'!errmsg.BernoulliProbErr</vt:lpstr>
      <vt:lpstr>'RES_en-US'!errmsg.BernoulliProbErr</vt:lpstr>
      <vt:lpstr>'RES_es-ES'!errmsg.BernoulliProbErr</vt:lpstr>
      <vt:lpstr>'RES_fi-FI'!errmsg.BernoulliProbErr</vt:lpstr>
      <vt:lpstr>'RES_fr-FR'!errmsg.BernoulliProbErr</vt:lpstr>
      <vt:lpstr>'RES_hr-HR'!errmsg.BernoulliProbErr</vt:lpstr>
      <vt:lpstr>'RES_hu-HU'!errmsg.BernoulliProbErr</vt:lpstr>
      <vt:lpstr>'RES_it-IT'!errmsg.BernoulliProbErr</vt:lpstr>
      <vt:lpstr>'RES_ja-JP'!errmsg.BernoulliProbErr</vt:lpstr>
      <vt:lpstr>'RES_ko-KR'!errmsg.BernoulliProbErr</vt:lpstr>
      <vt:lpstr>'RES_lv-LV'!errmsg.BernoulliProbErr</vt:lpstr>
      <vt:lpstr>'RES_nb-NO'!errmsg.BernoulliProbErr</vt:lpstr>
      <vt:lpstr>'RES_nl-NL'!errmsg.BernoulliProbErr</vt:lpstr>
      <vt:lpstr>'RES_pl-PL'!errmsg.BernoulliProbErr</vt:lpstr>
      <vt:lpstr>'RES_pt-BR'!errmsg.BernoulliProbErr</vt:lpstr>
      <vt:lpstr>'RES_pt-PT'!errmsg.BernoulliProbErr</vt:lpstr>
      <vt:lpstr>'RES_ro-RO'!errmsg.BernoulliProbErr</vt:lpstr>
      <vt:lpstr>'RES_ru-RU'!errmsg.BernoulliProbErr</vt:lpstr>
      <vt:lpstr>'RES_sl-SI'!errmsg.BernoulliProbErr</vt:lpstr>
      <vt:lpstr>'RES_sv-SE'!errmsg.BernoulliProbErr</vt:lpstr>
      <vt:lpstr>'RES_tr-TR'!errmsg.BernoulliProbErr</vt:lpstr>
      <vt:lpstr>'RES_zh-CN'!errmsg.BernoulliProbErr</vt:lpstr>
      <vt:lpstr>'RES_zh-TW'!errmsg.BernoulliProbErr</vt:lpstr>
      <vt:lpstr>'RES_cs-CZ'!errmsg.BernoulliValErr</vt:lpstr>
      <vt:lpstr>'RES_da-DK'!errmsg.BernoulliValErr</vt:lpstr>
      <vt:lpstr>'RES_de-DE'!errmsg.BernoulliValErr</vt:lpstr>
      <vt:lpstr>'RES_el-GR'!errmsg.BernoulliValErr</vt:lpstr>
      <vt:lpstr>'RES_en-US'!errmsg.BernoulliValErr</vt:lpstr>
      <vt:lpstr>'RES_es-ES'!errmsg.BernoulliValErr</vt:lpstr>
      <vt:lpstr>'RES_fi-FI'!errmsg.BernoulliValErr</vt:lpstr>
      <vt:lpstr>'RES_fr-FR'!errmsg.BernoulliValErr</vt:lpstr>
      <vt:lpstr>'RES_hr-HR'!errmsg.BernoulliValErr</vt:lpstr>
      <vt:lpstr>'RES_hu-HU'!errmsg.BernoulliValErr</vt:lpstr>
      <vt:lpstr>'RES_it-IT'!errmsg.BernoulliValErr</vt:lpstr>
      <vt:lpstr>'RES_ja-JP'!errmsg.BernoulliValErr</vt:lpstr>
      <vt:lpstr>'RES_ko-KR'!errmsg.BernoulliValErr</vt:lpstr>
      <vt:lpstr>'RES_lv-LV'!errmsg.BernoulliValErr</vt:lpstr>
      <vt:lpstr>'RES_nb-NO'!errmsg.BernoulliValErr</vt:lpstr>
      <vt:lpstr>'RES_nl-NL'!errmsg.BernoulliValErr</vt:lpstr>
      <vt:lpstr>'RES_pl-PL'!errmsg.BernoulliValErr</vt:lpstr>
      <vt:lpstr>'RES_pt-BR'!errmsg.BernoulliValErr</vt:lpstr>
      <vt:lpstr>'RES_pt-PT'!errmsg.BernoulliValErr</vt:lpstr>
      <vt:lpstr>'RES_ro-RO'!errmsg.BernoulliValErr</vt:lpstr>
      <vt:lpstr>'RES_ru-RU'!errmsg.BernoulliValErr</vt:lpstr>
      <vt:lpstr>'RES_sl-SI'!errmsg.BernoulliValErr</vt:lpstr>
      <vt:lpstr>'RES_sv-SE'!errmsg.BernoulliValErr</vt:lpstr>
      <vt:lpstr>'RES_tr-TR'!errmsg.BernoulliValErr</vt:lpstr>
      <vt:lpstr>'RES_zh-CN'!errmsg.BernoulliValErr</vt:lpstr>
      <vt:lpstr>'RES_zh-TW'!errmsg.BernoulliValErr</vt:lpstr>
      <vt:lpstr>'RES_cs-CZ'!errmsg.BinInOverlap</vt:lpstr>
      <vt:lpstr>'RES_da-DK'!errmsg.BinInOverlap</vt:lpstr>
      <vt:lpstr>'RES_de-DE'!errmsg.BinInOverlap</vt:lpstr>
      <vt:lpstr>'RES_el-GR'!errmsg.BinInOverlap</vt:lpstr>
      <vt:lpstr>'RES_en-US'!errmsg.BinInOverlap</vt:lpstr>
      <vt:lpstr>'RES_es-ES'!errmsg.BinInOverlap</vt:lpstr>
      <vt:lpstr>'RES_fi-FI'!errmsg.BinInOverlap</vt:lpstr>
      <vt:lpstr>'RES_fr-FR'!errmsg.BinInOverlap</vt:lpstr>
      <vt:lpstr>'RES_hr-HR'!errmsg.BinInOverlap</vt:lpstr>
      <vt:lpstr>'RES_hu-HU'!errmsg.BinInOverlap</vt:lpstr>
      <vt:lpstr>'RES_it-IT'!errmsg.BinInOverlap</vt:lpstr>
      <vt:lpstr>'RES_ja-JP'!errmsg.BinInOverlap</vt:lpstr>
      <vt:lpstr>'RES_ko-KR'!errmsg.BinInOverlap</vt:lpstr>
      <vt:lpstr>'RES_lv-LV'!errmsg.BinInOverlap</vt:lpstr>
      <vt:lpstr>'RES_nb-NO'!errmsg.BinInOverlap</vt:lpstr>
      <vt:lpstr>'RES_nl-NL'!errmsg.BinInOverlap</vt:lpstr>
      <vt:lpstr>'RES_pl-PL'!errmsg.BinInOverlap</vt:lpstr>
      <vt:lpstr>'RES_pt-BR'!errmsg.BinInOverlap</vt:lpstr>
      <vt:lpstr>'RES_pt-PT'!errmsg.BinInOverlap</vt:lpstr>
      <vt:lpstr>'RES_ro-RO'!errmsg.BinInOverlap</vt:lpstr>
      <vt:lpstr>'RES_ru-RU'!errmsg.BinInOverlap</vt:lpstr>
      <vt:lpstr>'RES_sl-SI'!errmsg.BinInOverlap</vt:lpstr>
      <vt:lpstr>'RES_sv-SE'!errmsg.BinInOverlap</vt:lpstr>
      <vt:lpstr>'RES_tr-TR'!errmsg.BinInOverlap</vt:lpstr>
      <vt:lpstr>'RES_zh-CN'!errmsg.BinInOverlap</vt:lpstr>
      <vt:lpstr>'RES_zh-TW'!errmsg.BinInOverlap</vt:lpstr>
      <vt:lpstr>'RES_cs-CZ'!errmsg.BinomialProbErr</vt:lpstr>
      <vt:lpstr>'RES_da-DK'!errmsg.BinomialProbErr</vt:lpstr>
      <vt:lpstr>'RES_de-DE'!errmsg.BinomialProbErr</vt:lpstr>
      <vt:lpstr>'RES_el-GR'!errmsg.BinomialProbErr</vt:lpstr>
      <vt:lpstr>'RES_en-US'!errmsg.BinomialProbErr</vt:lpstr>
      <vt:lpstr>'RES_es-ES'!errmsg.BinomialProbErr</vt:lpstr>
      <vt:lpstr>'RES_fi-FI'!errmsg.BinomialProbErr</vt:lpstr>
      <vt:lpstr>'RES_fr-FR'!errmsg.BinomialProbErr</vt:lpstr>
      <vt:lpstr>'RES_hr-HR'!errmsg.BinomialProbErr</vt:lpstr>
      <vt:lpstr>'RES_hu-HU'!errmsg.BinomialProbErr</vt:lpstr>
      <vt:lpstr>'RES_it-IT'!errmsg.BinomialProbErr</vt:lpstr>
      <vt:lpstr>'RES_ja-JP'!errmsg.BinomialProbErr</vt:lpstr>
      <vt:lpstr>'RES_ko-KR'!errmsg.BinomialProbErr</vt:lpstr>
      <vt:lpstr>'RES_lv-LV'!errmsg.BinomialProbErr</vt:lpstr>
      <vt:lpstr>'RES_nb-NO'!errmsg.BinomialProbErr</vt:lpstr>
      <vt:lpstr>'RES_nl-NL'!errmsg.BinomialProbErr</vt:lpstr>
      <vt:lpstr>'RES_pl-PL'!errmsg.BinomialProbErr</vt:lpstr>
      <vt:lpstr>'RES_pt-BR'!errmsg.BinomialProbErr</vt:lpstr>
      <vt:lpstr>'RES_pt-PT'!errmsg.BinomialProbErr</vt:lpstr>
      <vt:lpstr>'RES_ro-RO'!errmsg.BinomialProbErr</vt:lpstr>
      <vt:lpstr>'RES_ru-RU'!errmsg.BinomialProbErr</vt:lpstr>
      <vt:lpstr>'RES_sl-SI'!errmsg.BinomialProbErr</vt:lpstr>
      <vt:lpstr>'RES_sv-SE'!errmsg.BinomialProbErr</vt:lpstr>
      <vt:lpstr>'RES_tr-TR'!errmsg.BinomialProbErr</vt:lpstr>
      <vt:lpstr>'RES_zh-CN'!errmsg.BinomialProbErr</vt:lpstr>
      <vt:lpstr>'RES_zh-TW'!errmsg.BinomialProbErr</vt:lpstr>
      <vt:lpstr>'RES_cs-CZ'!errmsg.BinomialTrialErr</vt:lpstr>
      <vt:lpstr>'RES_da-DK'!errmsg.BinomialTrialErr</vt:lpstr>
      <vt:lpstr>'RES_de-DE'!errmsg.BinomialTrialErr</vt:lpstr>
      <vt:lpstr>'RES_el-GR'!errmsg.BinomialTrialErr</vt:lpstr>
      <vt:lpstr>'RES_en-US'!errmsg.BinomialTrialErr</vt:lpstr>
      <vt:lpstr>'RES_es-ES'!errmsg.BinomialTrialErr</vt:lpstr>
      <vt:lpstr>'RES_fi-FI'!errmsg.BinomialTrialErr</vt:lpstr>
      <vt:lpstr>'RES_fr-FR'!errmsg.BinomialTrialErr</vt:lpstr>
      <vt:lpstr>'RES_hr-HR'!errmsg.BinomialTrialErr</vt:lpstr>
      <vt:lpstr>'RES_hu-HU'!errmsg.BinomialTrialErr</vt:lpstr>
      <vt:lpstr>'RES_it-IT'!errmsg.BinomialTrialErr</vt:lpstr>
      <vt:lpstr>'RES_ja-JP'!errmsg.BinomialTrialErr</vt:lpstr>
      <vt:lpstr>'RES_ko-KR'!errmsg.BinomialTrialErr</vt:lpstr>
      <vt:lpstr>'RES_lv-LV'!errmsg.BinomialTrialErr</vt:lpstr>
      <vt:lpstr>'RES_nb-NO'!errmsg.BinomialTrialErr</vt:lpstr>
      <vt:lpstr>'RES_nl-NL'!errmsg.BinomialTrialErr</vt:lpstr>
      <vt:lpstr>'RES_pl-PL'!errmsg.BinomialTrialErr</vt:lpstr>
      <vt:lpstr>'RES_pt-BR'!errmsg.BinomialTrialErr</vt:lpstr>
      <vt:lpstr>'RES_pt-PT'!errmsg.BinomialTrialErr</vt:lpstr>
      <vt:lpstr>'RES_ro-RO'!errmsg.BinomialTrialErr</vt:lpstr>
      <vt:lpstr>'RES_ru-RU'!errmsg.BinomialTrialErr</vt:lpstr>
      <vt:lpstr>'RES_sl-SI'!errmsg.BinomialTrialErr</vt:lpstr>
      <vt:lpstr>'RES_sv-SE'!errmsg.BinomialTrialErr</vt:lpstr>
      <vt:lpstr>'RES_tr-TR'!errmsg.BinomialTrialErr</vt:lpstr>
      <vt:lpstr>'RES_zh-CN'!errmsg.BinomialTrialErr</vt:lpstr>
      <vt:lpstr>'RES_zh-TW'!errmsg.BinomialTrialErr</vt:lpstr>
      <vt:lpstr>'RES_cs-CZ'!errmsg.BinomialValErr</vt:lpstr>
      <vt:lpstr>'RES_da-DK'!errmsg.BinomialValErr</vt:lpstr>
      <vt:lpstr>'RES_de-DE'!errmsg.BinomialValErr</vt:lpstr>
      <vt:lpstr>'RES_el-GR'!errmsg.BinomialValErr</vt:lpstr>
      <vt:lpstr>'RES_en-US'!errmsg.BinomialValErr</vt:lpstr>
      <vt:lpstr>'RES_es-ES'!errmsg.BinomialValErr</vt:lpstr>
      <vt:lpstr>'RES_fi-FI'!errmsg.BinomialValErr</vt:lpstr>
      <vt:lpstr>'RES_fr-FR'!errmsg.BinomialValErr</vt:lpstr>
      <vt:lpstr>'RES_hr-HR'!errmsg.BinomialValErr</vt:lpstr>
      <vt:lpstr>'RES_hu-HU'!errmsg.BinomialValErr</vt:lpstr>
      <vt:lpstr>'RES_it-IT'!errmsg.BinomialValErr</vt:lpstr>
      <vt:lpstr>'RES_ja-JP'!errmsg.BinomialValErr</vt:lpstr>
      <vt:lpstr>'RES_ko-KR'!errmsg.BinomialValErr</vt:lpstr>
      <vt:lpstr>'RES_lv-LV'!errmsg.BinomialValErr</vt:lpstr>
      <vt:lpstr>'RES_nb-NO'!errmsg.BinomialValErr</vt:lpstr>
      <vt:lpstr>'RES_nl-NL'!errmsg.BinomialValErr</vt:lpstr>
      <vt:lpstr>'RES_pl-PL'!errmsg.BinomialValErr</vt:lpstr>
      <vt:lpstr>'RES_pt-BR'!errmsg.BinomialValErr</vt:lpstr>
      <vt:lpstr>'RES_pt-PT'!errmsg.BinomialValErr</vt:lpstr>
      <vt:lpstr>'RES_ro-RO'!errmsg.BinomialValErr</vt:lpstr>
      <vt:lpstr>'RES_ru-RU'!errmsg.BinomialValErr</vt:lpstr>
      <vt:lpstr>'RES_sl-SI'!errmsg.BinomialValErr</vt:lpstr>
      <vt:lpstr>'RES_sv-SE'!errmsg.BinomialValErr</vt:lpstr>
      <vt:lpstr>'RES_tr-TR'!errmsg.BinomialValErr</vt:lpstr>
      <vt:lpstr>'RES_zh-CN'!errmsg.BinomialValErr</vt:lpstr>
      <vt:lpstr>'RES_zh-TW'!errmsg.BinomialValErr</vt:lpstr>
      <vt:lpstr>'RES_cs-CZ'!errmsg.BinOutOverlap</vt:lpstr>
      <vt:lpstr>'RES_da-DK'!errmsg.BinOutOverlap</vt:lpstr>
      <vt:lpstr>'RES_de-DE'!errmsg.BinOutOverlap</vt:lpstr>
      <vt:lpstr>'RES_el-GR'!errmsg.BinOutOverlap</vt:lpstr>
      <vt:lpstr>'RES_en-US'!errmsg.BinOutOverlap</vt:lpstr>
      <vt:lpstr>'RES_es-ES'!errmsg.BinOutOverlap</vt:lpstr>
      <vt:lpstr>'RES_fi-FI'!errmsg.BinOutOverlap</vt:lpstr>
      <vt:lpstr>'RES_fr-FR'!errmsg.BinOutOverlap</vt:lpstr>
      <vt:lpstr>'RES_hr-HR'!errmsg.BinOutOverlap</vt:lpstr>
      <vt:lpstr>'RES_hu-HU'!errmsg.BinOutOverlap</vt:lpstr>
      <vt:lpstr>'RES_it-IT'!errmsg.BinOutOverlap</vt:lpstr>
      <vt:lpstr>'RES_ja-JP'!errmsg.BinOutOverlap</vt:lpstr>
      <vt:lpstr>'RES_ko-KR'!errmsg.BinOutOverlap</vt:lpstr>
      <vt:lpstr>'RES_lv-LV'!errmsg.BinOutOverlap</vt:lpstr>
      <vt:lpstr>'RES_nb-NO'!errmsg.BinOutOverlap</vt:lpstr>
      <vt:lpstr>'RES_nl-NL'!errmsg.BinOutOverlap</vt:lpstr>
      <vt:lpstr>'RES_pl-PL'!errmsg.BinOutOverlap</vt:lpstr>
      <vt:lpstr>'RES_pt-BR'!errmsg.BinOutOverlap</vt:lpstr>
      <vt:lpstr>'RES_pt-PT'!errmsg.BinOutOverlap</vt:lpstr>
      <vt:lpstr>'RES_ro-RO'!errmsg.BinOutOverlap</vt:lpstr>
      <vt:lpstr>'RES_ru-RU'!errmsg.BinOutOverlap</vt:lpstr>
      <vt:lpstr>'RES_sl-SI'!errmsg.BinOutOverlap</vt:lpstr>
      <vt:lpstr>'RES_sv-SE'!errmsg.BinOutOverlap</vt:lpstr>
      <vt:lpstr>'RES_tr-TR'!errmsg.BinOutOverlap</vt:lpstr>
      <vt:lpstr>'RES_zh-CN'!errmsg.BinOutOverlap</vt:lpstr>
      <vt:lpstr>'RES_zh-TW'!errmsg.BinOutOverlap</vt:lpstr>
      <vt:lpstr>'RES_cs-CZ'!errmsg.BinRgHasNoData</vt:lpstr>
      <vt:lpstr>'RES_da-DK'!errmsg.BinRgHasNoData</vt:lpstr>
      <vt:lpstr>'RES_de-DE'!errmsg.BinRgHasNoData</vt:lpstr>
      <vt:lpstr>'RES_el-GR'!errmsg.BinRgHasNoData</vt:lpstr>
      <vt:lpstr>'RES_en-US'!errmsg.BinRgHasNoData</vt:lpstr>
      <vt:lpstr>'RES_es-ES'!errmsg.BinRgHasNoData</vt:lpstr>
      <vt:lpstr>'RES_fi-FI'!errmsg.BinRgHasNoData</vt:lpstr>
      <vt:lpstr>'RES_fr-FR'!errmsg.BinRgHasNoData</vt:lpstr>
      <vt:lpstr>'RES_hr-HR'!errmsg.BinRgHasNoData</vt:lpstr>
      <vt:lpstr>'RES_hu-HU'!errmsg.BinRgHasNoData</vt:lpstr>
      <vt:lpstr>'RES_it-IT'!errmsg.BinRgHasNoData</vt:lpstr>
      <vt:lpstr>'RES_ja-JP'!errmsg.BinRgHasNoData</vt:lpstr>
      <vt:lpstr>'RES_ko-KR'!errmsg.BinRgHasNoData</vt:lpstr>
      <vt:lpstr>'RES_lv-LV'!errmsg.BinRgHasNoData</vt:lpstr>
      <vt:lpstr>'RES_nb-NO'!errmsg.BinRgHasNoData</vt:lpstr>
      <vt:lpstr>'RES_nl-NL'!errmsg.BinRgHasNoData</vt:lpstr>
      <vt:lpstr>'RES_pl-PL'!errmsg.BinRgHasNoData</vt:lpstr>
      <vt:lpstr>'RES_pt-BR'!errmsg.BinRgHasNoData</vt:lpstr>
      <vt:lpstr>'RES_pt-PT'!errmsg.BinRgHasNoData</vt:lpstr>
      <vt:lpstr>'RES_ro-RO'!errmsg.BinRgHasNoData</vt:lpstr>
      <vt:lpstr>'RES_ru-RU'!errmsg.BinRgHasNoData</vt:lpstr>
      <vt:lpstr>'RES_sl-SI'!errmsg.BinRgHasNoData</vt:lpstr>
      <vt:lpstr>'RES_sv-SE'!errmsg.BinRgHasNoData</vt:lpstr>
      <vt:lpstr>'RES_tr-TR'!errmsg.BinRgHasNoData</vt:lpstr>
      <vt:lpstr>'RES_zh-CN'!errmsg.BinRgHasNoData</vt:lpstr>
      <vt:lpstr>'RES_zh-TW'!errmsg.BinRgHasNoData</vt:lpstr>
      <vt:lpstr>'RES_cs-CZ'!errmsg.BinRgMustBeRef</vt:lpstr>
      <vt:lpstr>'RES_da-DK'!errmsg.BinRgMustBeRef</vt:lpstr>
      <vt:lpstr>'RES_de-DE'!errmsg.BinRgMustBeRef</vt:lpstr>
      <vt:lpstr>'RES_el-GR'!errmsg.BinRgMustBeRef</vt:lpstr>
      <vt:lpstr>'RES_en-US'!errmsg.BinRgMustBeRef</vt:lpstr>
      <vt:lpstr>'RES_es-ES'!errmsg.BinRgMustBeRef</vt:lpstr>
      <vt:lpstr>'RES_fi-FI'!errmsg.BinRgMustBeRef</vt:lpstr>
      <vt:lpstr>'RES_fr-FR'!errmsg.BinRgMustBeRef</vt:lpstr>
      <vt:lpstr>'RES_hr-HR'!errmsg.BinRgMustBeRef</vt:lpstr>
      <vt:lpstr>'RES_hu-HU'!errmsg.BinRgMustBeRef</vt:lpstr>
      <vt:lpstr>'RES_it-IT'!errmsg.BinRgMustBeRef</vt:lpstr>
      <vt:lpstr>'RES_ja-JP'!errmsg.BinRgMustBeRef</vt:lpstr>
      <vt:lpstr>'RES_ko-KR'!errmsg.BinRgMustBeRef</vt:lpstr>
      <vt:lpstr>'RES_lv-LV'!errmsg.BinRgMustBeRef</vt:lpstr>
      <vt:lpstr>'RES_nb-NO'!errmsg.BinRgMustBeRef</vt:lpstr>
      <vt:lpstr>'RES_nl-NL'!errmsg.BinRgMustBeRef</vt:lpstr>
      <vt:lpstr>'RES_pl-PL'!errmsg.BinRgMustBeRef</vt:lpstr>
      <vt:lpstr>'RES_pt-BR'!errmsg.BinRgMustBeRef</vt:lpstr>
      <vt:lpstr>'RES_pt-PT'!errmsg.BinRgMustBeRef</vt:lpstr>
      <vt:lpstr>'RES_ro-RO'!errmsg.BinRgMustBeRef</vt:lpstr>
      <vt:lpstr>'RES_ru-RU'!errmsg.BinRgMustBeRef</vt:lpstr>
      <vt:lpstr>'RES_sl-SI'!errmsg.BinRgMustBeRef</vt:lpstr>
      <vt:lpstr>'RES_sv-SE'!errmsg.BinRgMustBeRef</vt:lpstr>
      <vt:lpstr>'RES_tr-TR'!errmsg.BinRgMustBeRef</vt:lpstr>
      <vt:lpstr>'RES_zh-CN'!errmsg.BinRgMustBeRef</vt:lpstr>
      <vt:lpstr>'RES_zh-TW'!errmsg.BinRgMustBeRef</vt:lpstr>
      <vt:lpstr>'RES_cs-CZ'!errmsg.BinRgNonNumeric</vt:lpstr>
      <vt:lpstr>'RES_da-DK'!errmsg.BinRgNonNumeric</vt:lpstr>
      <vt:lpstr>'RES_de-DE'!errmsg.BinRgNonNumeric</vt:lpstr>
      <vt:lpstr>'RES_el-GR'!errmsg.BinRgNonNumeric</vt:lpstr>
      <vt:lpstr>'RES_en-US'!errmsg.BinRgNonNumeric</vt:lpstr>
      <vt:lpstr>'RES_es-ES'!errmsg.BinRgNonNumeric</vt:lpstr>
      <vt:lpstr>'RES_fi-FI'!errmsg.BinRgNonNumeric</vt:lpstr>
      <vt:lpstr>'RES_fr-FR'!errmsg.BinRgNonNumeric</vt:lpstr>
      <vt:lpstr>'RES_hr-HR'!errmsg.BinRgNonNumeric</vt:lpstr>
      <vt:lpstr>'RES_hu-HU'!errmsg.BinRgNonNumeric</vt:lpstr>
      <vt:lpstr>'RES_it-IT'!errmsg.BinRgNonNumeric</vt:lpstr>
      <vt:lpstr>'RES_ja-JP'!errmsg.BinRgNonNumeric</vt:lpstr>
      <vt:lpstr>'RES_ko-KR'!errmsg.BinRgNonNumeric</vt:lpstr>
      <vt:lpstr>'RES_lv-LV'!errmsg.BinRgNonNumeric</vt:lpstr>
      <vt:lpstr>'RES_nb-NO'!errmsg.BinRgNonNumeric</vt:lpstr>
      <vt:lpstr>'RES_nl-NL'!errmsg.BinRgNonNumeric</vt:lpstr>
      <vt:lpstr>'RES_pl-PL'!errmsg.BinRgNonNumeric</vt:lpstr>
      <vt:lpstr>'RES_pt-BR'!errmsg.BinRgNonNumeric</vt:lpstr>
      <vt:lpstr>'RES_pt-PT'!errmsg.BinRgNonNumeric</vt:lpstr>
      <vt:lpstr>'RES_ro-RO'!errmsg.BinRgNonNumeric</vt:lpstr>
      <vt:lpstr>'RES_ru-RU'!errmsg.BinRgNonNumeric</vt:lpstr>
      <vt:lpstr>'RES_sl-SI'!errmsg.BinRgNonNumeric</vt:lpstr>
      <vt:lpstr>'RES_sv-SE'!errmsg.BinRgNonNumeric</vt:lpstr>
      <vt:lpstr>'RES_tr-TR'!errmsg.BinRgNonNumeric</vt:lpstr>
      <vt:lpstr>'RES_zh-CN'!errmsg.BinRgNonNumeric</vt:lpstr>
      <vt:lpstr>'RES_zh-TW'!errmsg.BinRgNonNumeric</vt:lpstr>
      <vt:lpstr>'RES_cs-CZ'!errmsg.BinsEmpty</vt:lpstr>
      <vt:lpstr>'RES_da-DK'!errmsg.BinsEmpty</vt:lpstr>
      <vt:lpstr>'RES_de-DE'!errmsg.BinsEmpty</vt:lpstr>
      <vt:lpstr>'RES_el-GR'!errmsg.BinsEmpty</vt:lpstr>
      <vt:lpstr>'RES_en-US'!errmsg.BinsEmpty</vt:lpstr>
      <vt:lpstr>'RES_es-ES'!errmsg.BinsEmpty</vt:lpstr>
      <vt:lpstr>'RES_fi-FI'!errmsg.BinsEmpty</vt:lpstr>
      <vt:lpstr>'RES_fr-FR'!errmsg.BinsEmpty</vt:lpstr>
      <vt:lpstr>'RES_hr-HR'!errmsg.BinsEmpty</vt:lpstr>
      <vt:lpstr>'RES_hu-HU'!errmsg.BinsEmpty</vt:lpstr>
      <vt:lpstr>'RES_it-IT'!errmsg.BinsEmpty</vt:lpstr>
      <vt:lpstr>'RES_ja-JP'!errmsg.BinsEmpty</vt:lpstr>
      <vt:lpstr>'RES_ko-KR'!errmsg.BinsEmpty</vt:lpstr>
      <vt:lpstr>'RES_lv-LV'!errmsg.BinsEmpty</vt:lpstr>
      <vt:lpstr>'RES_nb-NO'!errmsg.BinsEmpty</vt:lpstr>
      <vt:lpstr>'RES_nl-NL'!errmsg.BinsEmpty</vt:lpstr>
      <vt:lpstr>'RES_pl-PL'!errmsg.BinsEmpty</vt:lpstr>
      <vt:lpstr>'RES_pt-BR'!errmsg.BinsEmpty</vt:lpstr>
      <vt:lpstr>'RES_pt-PT'!errmsg.BinsEmpty</vt:lpstr>
      <vt:lpstr>'RES_ro-RO'!errmsg.BinsEmpty</vt:lpstr>
      <vt:lpstr>'RES_ru-RU'!errmsg.BinsEmpty</vt:lpstr>
      <vt:lpstr>'RES_sl-SI'!errmsg.BinsEmpty</vt:lpstr>
      <vt:lpstr>'RES_sv-SE'!errmsg.BinsEmpty</vt:lpstr>
      <vt:lpstr>'RES_tr-TR'!errmsg.BinsEmpty</vt:lpstr>
      <vt:lpstr>'RES_zh-CN'!errmsg.BinsEmpty</vt:lpstr>
      <vt:lpstr>'RES_zh-TW'!errmsg.BinsEmpty</vt:lpstr>
      <vt:lpstr>'RES_cs-CZ'!errmsg.BoolChart</vt:lpstr>
      <vt:lpstr>'RES_da-DK'!errmsg.BoolChart</vt:lpstr>
      <vt:lpstr>'RES_de-DE'!errmsg.BoolChart</vt:lpstr>
      <vt:lpstr>'RES_el-GR'!errmsg.BoolChart</vt:lpstr>
      <vt:lpstr>'RES_en-US'!errmsg.BoolChart</vt:lpstr>
      <vt:lpstr>'RES_es-ES'!errmsg.BoolChart</vt:lpstr>
      <vt:lpstr>'RES_fi-FI'!errmsg.BoolChart</vt:lpstr>
      <vt:lpstr>'RES_fr-FR'!errmsg.BoolChart</vt:lpstr>
      <vt:lpstr>'RES_hr-HR'!errmsg.BoolChart</vt:lpstr>
      <vt:lpstr>'RES_hu-HU'!errmsg.BoolChart</vt:lpstr>
      <vt:lpstr>'RES_it-IT'!errmsg.BoolChart</vt:lpstr>
      <vt:lpstr>'RES_ja-JP'!errmsg.BoolChart</vt:lpstr>
      <vt:lpstr>'RES_ko-KR'!errmsg.BoolChart</vt:lpstr>
      <vt:lpstr>'RES_lv-LV'!errmsg.BoolChart</vt:lpstr>
      <vt:lpstr>'RES_nb-NO'!errmsg.BoolChart</vt:lpstr>
      <vt:lpstr>'RES_nl-NL'!errmsg.BoolChart</vt:lpstr>
      <vt:lpstr>'RES_pl-PL'!errmsg.BoolChart</vt:lpstr>
      <vt:lpstr>'RES_pt-BR'!errmsg.BoolChart</vt:lpstr>
      <vt:lpstr>'RES_pt-PT'!errmsg.BoolChart</vt:lpstr>
      <vt:lpstr>'RES_ro-RO'!errmsg.BoolChart</vt:lpstr>
      <vt:lpstr>'RES_ru-RU'!errmsg.BoolChart</vt:lpstr>
      <vt:lpstr>'RES_sl-SI'!errmsg.BoolChart</vt:lpstr>
      <vt:lpstr>'RES_sv-SE'!errmsg.BoolChart</vt:lpstr>
      <vt:lpstr>'RES_tr-TR'!errmsg.BoolChart</vt:lpstr>
      <vt:lpstr>'RES_zh-CN'!errmsg.BoolChart</vt:lpstr>
      <vt:lpstr>'RES_zh-TW'!errmsg.BoolChart</vt:lpstr>
      <vt:lpstr>'RES_cs-CZ'!errmsg.BoolConstZero</vt:lpstr>
      <vt:lpstr>'RES_da-DK'!errmsg.BoolConstZero</vt:lpstr>
      <vt:lpstr>'RES_de-DE'!errmsg.BoolConstZero</vt:lpstr>
      <vt:lpstr>'RES_el-GR'!errmsg.BoolConstZero</vt:lpstr>
      <vt:lpstr>'RES_en-US'!errmsg.BoolConstZero</vt:lpstr>
      <vt:lpstr>'RES_es-ES'!errmsg.BoolConstZero</vt:lpstr>
      <vt:lpstr>'RES_fi-FI'!errmsg.BoolConstZero</vt:lpstr>
      <vt:lpstr>'RES_fr-FR'!errmsg.BoolConstZero</vt:lpstr>
      <vt:lpstr>'RES_hr-HR'!errmsg.BoolConstZero</vt:lpstr>
      <vt:lpstr>'RES_hu-HU'!errmsg.BoolConstZero</vt:lpstr>
      <vt:lpstr>'RES_it-IT'!errmsg.BoolConstZero</vt:lpstr>
      <vt:lpstr>'RES_ja-JP'!errmsg.BoolConstZero</vt:lpstr>
      <vt:lpstr>'RES_ko-KR'!errmsg.BoolConstZero</vt:lpstr>
      <vt:lpstr>'RES_lv-LV'!errmsg.BoolConstZero</vt:lpstr>
      <vt:lpstr>'RES_nb-NO'!errmsg.BoolConstZero</vt:lpstr>
      <vt:lpstr>'RES_nl-NL'!errmsg.BoolConstZero</vt:lpstr>
      <vt:lpstr>'RES_pl-PL'!errmsg.BoolConstZero</vt:lpstr>
      <vt:lpstr>'RES_pt-BR'!errmsg.BoolConstZero</vt:lpstr>
      <vt:lpstr>'RES_pt-PT'!errmsg.BoolConstZero</vt:lpstr>
      <vt:lpstr>'RES_ro-RO'!errmsg.BoolConstZero</vt:lpstr>
      <vt:lpstr>'RES_ru-RU'!errmsg.BoolConstZero</vt:lpstr>
      <vt:lpstr>'RES_sl-SI'!errmsg.BoolConstZero</vt:lpstr>
      <vt:lpstr>'RES_sv-SE'!errmsg.BoolConstZero</vt:lpstr>
      <vt:lpstr>'RES_tr-TR'!errmsg.BoolConstZero</vt:lpstr>
      <vt:lpstr>'RES_zh-CN'!errmsg.BoolConstZero</vt:lpstr>
      <vt:lpstr>'RES_zh-TW'!errmsg.BoolConstZero</vt:lpstr>
      <vt:lpstr>'RES_cs-CZ'!errmsg.BoolCumuPerc</vt:lpstr>
      <vt:lpstr>'RES_da-DK'!errmsg.BoolCumuPerc</vt:lpstr>
      <vt:lpstr>'RES_de-DE'!errmsg.BoolCumuPerc</vt:lpstr>
      <vt:lpstr>'RES_el-GR'!errmsg.BoolCumuPerc</vt:lpstr>
      <vt:lpstr>'RES_en-US'!errmsg.BoolCumuPerc</vt:lpstr>
      <vt:lpstr>'RES_es-ES'!errmsg.BoolCumuPerc</vt:lpstr>
      <vt:lpstr>'RES_fi-FI'!errmsg.BoolCumuPerc</vt:lpstr>
      <vt:lpstr>'RES_fr-FR'!errmsg.BoolCumuPerc</vt:lpstr>
      <vt:lpstr>'RES_hr-HR'!errmsg.BoolCumuPerc</vt:lpstr>
      <vt:lpstr>'RES_hu-HU'!errmsg.BoolCumuPerc</vt:lpstr>
      <vt:lpstr>'RES_it-IT'!errmsg.BoolCumuPerc</vt:lpstr>
      <vt:lpstr>'RES_ja-JP'!errmsg.BoolCumuPerc</vt:lpstr>
      <vt:lpstr>'RES_ko-KR'!errmsg.BoolCumuPerc</vt:lpstr>
      <vt:lpstr>'RES_lv-LV'!errmsg.BoolCumuPerc</vt:lpstr>
      <vt:lpstr>'RES_nb-NO'!errmsg.BoolCumuPerc</vt:lpstr>
      <vt:lpstr>'RES_nl-NL'!errmsg.BoolCumuPerc</vt:lpstr>
      <vt:lpstr>'RES_pl-PL'!errmsg.BoolCumuPerc</vt:lpstr>
      <vt:lpstr>'RES_pt-BR'!errmsg.BoolCumuPerc</vt:lpstr>
      <vt:lpstr>'RES_pt-PT'!errmsg.BoolCumuPerc</vt:lpstr>
      <vt:lpstr>'RES_ro-RO'!errmsg.BoolCumuPerc</vt:lpstr>
      <vt:lpstr>'RES_ru-RU'!errmsg.BoolCumuPerc</vt:lpstr>
      <vt:lpstr>'RES_sl-SI'!errmsg.BoolCumuPerc</vt:lpstr>
      <vt:lpstr>'RES_sv-SE'!errmsg.BoolCumuPerc</vt:lpstr>
      <vt:lpstr>'RES_tr-TR'!errmsg.BoolCumuPerc</vt:lpstr>
      <vt:lpstr>'RES_zh-CN'!errmsg.BoolCumuPerc</vt:lpstr>
      <vt:lpstr>'RES_zh-TW'!errmsg.BoolCumuPerc</vt:lpstr>
      <vt:lpstr>'RES_cs-CZ'!errmsg.BoolInverse</vt:lpstr>
      <vt:lpstr>'RES_da-DK'!errmsg.BoolInverse</vt:lpstr>
      <vt:lpstr>'RES_de-DE'!errmsg.BoolInverse</vt:lpstr>
      <vt:lpstr>'RES_el-GR'!errmsg.BoolInverse</vt:lpstr>
      <vt:lpstr>'RES_en-US'!errmsg.BoolInverse</vt:lpstr>
      <vt:lpstr>'RES_es-ES'!errmsg.BoolInverse</vt:lpstr>
      <vt:lpstr>'RES_fi-FI'!errmsg.BoolInverse</vt:lpstr>
      <vt:lpstr>'RES_fr-FR'!errmsg.BoolInverse</vt:lpstr>
      <vt:lpstr>'RES_hr-HR'!errmsg.BoolInverse</vt:lpstr>
      <vt:lpstr>'RES_hu-HU'!errmsg.BoolInverse</vt:lpstr>
      <vt:lpstr>'RES_it-IT'!errmsg.BoolInverse</vt:lpstr>
      <vt:lpstr>'RES_ja-JP'!errmsg.BoolInverse</vt:lpstr>
      <vt:lpstr>'RES_ko-KR'!errmsg.BoolInverse</vt:lpstr>
      <vt:lpstr>'RES_lv-LV'!errmsg.BoolInverse</vt:lpstr>
      <vt:lpstr>'RES_nb-NO'!errmsg.BoolInverse</vt:lpstr>
      <vt:lpstr>'RES_nl-NL'!errmsg.BoolInverse</vt:lpstr>
      <vt:lpstr>'RES_pl-PL'!errmsg.BoolInverse</vt:lpstr>
      <vt:lpstr>'RES_pt-BR'!errmsg.BoolInverse</vt:lpstr>
      <vt:lpstr>'RES_pt-PT'!errmsg.BoolInverse</vt:lpstr>
      <vt:lpstr>'RES_ro-RO'!errmsg.BoolInverse</vt:lpstr>
      <vt:lpstr>'RES_ru-RU'!errmsg.BoolInverse</vt:lpstr>
      <vt:lpstr>'RES_sl-SI'!errmsg.BoolInverse</vt:lpstr>
      <vt:lpstr>'RES_sv-SE'!errmsg.BoolInverse</vt:lpstr>
      <vt:lpstr>'RES_tr-TR'!errmsg.BoolInverse</vt:lpstr>
      <vt:lpstr>'RES_zh-CN'!errmsg.BoolInverse</vt:lpstr>
      <vt:lpstr>'RES_zh-TW'!errmsg.BoolInverse</vt:lpstr>
      <vt:lpstr>'RES_cs-CZ'!errmsg.BoolLbl</vt:lpstr>
      <vt:lpstr>'RES_da-DK'!errmsg.BoolLbl</vt:lpstr>
      <vt:lpstr>'RES_de-DE'!errmsg.BoolLbl</vt:lpstr>
      <vt:lpstr>'RES_el-GR'!errmsg.BoolLbl</vt:lpstr>
      <vt:lpstr>'RES_en-US'!errmsg.BoolLbl</vt:lpstr>
      <vt:lpstr>'RES_es-ES'!errmsg.BoolLbl</vt:lpstr>
      <vt:lpstr>'RES_fi-FI'!errmsg.BoolLbl</vt:lpstr>
      <vt:lpstr>'RES_fr-FR'!errmsg.BoolLbl</vt:lpstr>
      <vt:lpstr>'RES_hr-HR'!errmsg.BoolLbl</vt:lpstr>
      <vt:lpstr>'RES_hu-HU'!errmsg.BoolLbl</vt:lpstr>
      <vt:lpstr>'RES_it-IT'!errmsg.BoolLbl</vt:lpstr>
      <vt:lpstr>'RES_ja-JP'!errmsg.BoolLbl</vt:lpstr>
      <vt:lpstr>'RES_ko-KR'!errmsg.BoolLbl</vt:lpstr>
      <vt:lpstr>'RES_lv-LV'!errmsg.BoolLbl</vt:lpstr>
      <vt:lpstr>'RES_nb-NO'!errmsg.BoolLbl</vt:lpstr>
      <vt:lpstr>'RES_nl-NL'!errmsg.BoolLbl</vt:lpstr>
      <vt:lpstr>'RES_pl-PL'!errmsg.BoolLbl</vt:lpstr>
      <vt:lpstr>'RES_pt-BR'!errmsg.BoolLbl</vt:lpstr>
      <vt:lpstr>'RES_pt-PT'!errmsg.BoolLbl</vt:lpstr>
      <vt:lpstr>'RES_ro-RO'!errmsg.BoolLbl</vt:lpstr>
      <vt:lpstr>'RES_ru-RU'!errmsg.BoolLbl</vt:lpstr>
      <vt:lpstr>'RES_sl-SI'!errmsg.BoolLbl</vt:lpstr>
      <vt:lpstr>'RES_sv-SE'!errmsg.BoolLbl</vt:lpstr>
      <vt:lpstr>'RES_tr-TR'!errmsg.BoolLbl</vt:lpstr>
      <vt:lpstr>'RES_zh-CN'!errmsg.BoolLbl</vt:lpstr>
      <vt:lpstr>'RES_zh-TW'!errmsg.BoolLbl</vt:lpstr>
      <vt:lpstr>'RES_cs-CZ'!errmsg.BoolLchart</vt:lpstr>
      <vt:lpstr>'RES_da-DK'!errmsg.BoolLchart</vt:lpstr>
      <vt:lpstr>'RES_de-DE'!errmsg.BoolLchart</vt:lpstr>
      <vt:lpstr>'RES_el-GR'!errmsg.BoolLchart</vt:lpstr>
      <vt:lpstr>'RES_en-US'!errmsg.BoolLchart</vt:lpstr>
      <vt:lpstr>'RES_es-ES'!errmsg.BoolLchart</vt:lpstr>
      <vt:lpstr>'RES_fi-FI'!errmsg.BoolLchart</vt:lpstr>
      <vt:lpstr>'RES_fr-FR'!errmsg.BoolLchart</vt:lpstr>
      <vt:lpstr>'RES_hr-HR'!errmsg.BoolLchart</vt:lpstr>
      <vt:lpstr>'RES_hu-HU'!errmsg.BoolLchart</vt:lpstr>
      <vt:lpstr>'RES_it-IT'!errmsg.BoolLchart</vt:lpstr>
      <vt:lpstr>'RES_ja-JP'!errmsg.BoolLchart</vt:lpstr>
      <vt:lpstr>'RES_ko-KR'!errmsg.BoolLchart</vt:lpstr>
      <vt:lpstr>'RES_lv-LV'!errmsg.BoolLchart</vt:lpstr>
      <vt:lpstr>'RES_nb-NO'!errmsg.BoolLchart</vt:lpstr>
      <vt:lpstr>'RES_nl-NL'!errmsg.BoolLchart</vt:lpstr>
      <vt:lpstr>'RES_pl-PL'!errmsg.BoolLchart</vt:lpstr>
      <vt:lpstr>'RES_pt-BR'!errmsg.BoolLchart</vt:lpstr>
      <vt:lpstr>'RES_pt-PT'!errmsg.BoolLchart</vt:lpstr>
      <vt:lpstr>'RES_ro-RO'!errmsg.BoolLchart</vt:lpstr>
      <vt:lpstr>'RES_ru-RU'!errmsg.BoolLchart</vt:lpstr>
      <vt:lpstr>'RES_sl-SI'!errmsg.BoolLchart</vt:lpstr>
      <vt:lpstr>'RES_sv-SE'!errmsg.BoolLchart</vt:lpstr>
      <vt:lpstr>'RES_tr-TR'!errmsg.BoolLchart</vt:lpstr>
      <vt:lpstr>'RES_zh-CN'!errmsg.BoolLchart</vt:lpstr>
      <vt:lpstr>'RES_zh-TW'!errmsg.BoolLchart</vt:lpstr>
      <vt:lpstr>'RES_cs-CZ'!errmsg.BoolPareto</vt:lpstr>
      <vt:lpstr>'RES_da-DK'!errmsg.BoolPareto</vt:lpstr>
      <vt:lpstr>'RES_de-DE'!errmsg.BoolPareto</vt:lpstr>
      <vt:lpstr>'RES_el-GR'!errmsg.BoolPareto</vt:lpstr>
      <vt:lpstr>'RES_en-US'!errmsg.BoolPareto</vt:lpstr>
      <vt:lpstr>'RES_es-ES'!errmsg.BoolPareto</vt:lpstr>
      <vt:lpstr>'RES_fi-FI'!errmsg.BoolPareto</vt:lpstr>
      <vt:lpstr>'RES_fr-FR'!errmsg.BoolPareto</vt:lpstr>
      <vt:lpstr>'RES_hr-HR'!errmsg.BoolPareto</vt:lpstr>
      <vt:lpstr>'RES_hu-HU'!errmsg.BoolPareto</vt:lpstr>
      <vt:lpstr>'RES_it-IT'!errmsg.BoolPareto</vt:lpstr>
      <vt:lpstr>'RES_ja-JP'!errmsg.BoolPareto</vt:lpstr>
      <vt:lpstr>'RES_ko-KR'!errmsg.BoolPareto</vt:lpstr>
      <vt:lpstr>'RES_lv-LV'!errmsg.BoolPareto</vt:lpstr>
      <vt:lpstr>'RES_nb-NO'!errmsg.BoolPareto</vt:lpstr>
      <vt:lpstr>'RES_nl-NL'!errmsg.BoolPareto</vt:lpstr>
      <vt:lpstr>'RES_pl-PL'!errmsg.BoolPareto</vt:lpstr>
      <vt:lpstr>'RES_pt-BR'!errmsg.BoolPareto</vt:lpstr>
      <vt:lpstr>'RES_pt-PT'!errmsg.BoolPareto</vt:lpstr>
      <vt:lpstr>'RES_ro-RO'!errmsg.BoolPareto</vt:lpstr>
      <vt:lpstr>'RES_ru-RU'!errmsg.BoolPareto</vt:lpstr>
      <vt:lpstr>'RES_sl-SI'!errmsg.BoolPareto</vt:lpstr>
      <vt:lpstr>'RES_sv-SE'!errmsg.BoolPareto</vt:lpstr>
      <vt:lpstr>'RES_tr-TR'!errmsg.BoolPareto</vt:lpstr>
      <vt:lpstr>'RES_zh-CN'!errmsg.BoolPareto</vt:lpstr>
      <vt:lpstr>'RES_zh-TW'!errmsg.BoolPareto</vt:lpstr>
      <vt:lpstr>'RES_cs-CZ'!errmsg.BoolPchart</vt:lpstr>
      <vt:lpstr>'RES_da-DK'!errmsg.BoolPchart</vt:lpstr>
      <vt:lpstr>'RES_de-DE'!errmsg.BoolPchart</vt:lpstr>
      <vt:lpstr>'RES_el-GR'!errmsg.BoolPchart</vt:lpstr>
      <vt:lpstr>'RES_en-US'!errmsg.BoolPchart</vt:lpstr>
      <vt:lpstr>'RES_es-ES'!errmsg.BoolPchart</vt:lpstr>
      <vt:lpstr>'RES_fi-FI'!errmsg.BoolPchart</vt:lpstr>
      <vt:lpstr>'RES_fr-FR'!errmsg.BoolPchart</vt:lpstr>
      <vt:lpstr>'RES_hr-HR'!errmsg.BoolPchart</vt:lpstr>
      <vt:lpstr>'RES_hu-HU'!errmsg.BoolPchart</vt:lpstr>
      <vt:lpstr>'RES_it-IT'!errmsg.BoolPchart</vt:lpstr>
      <vt:lpstr>'RES_ja-JP'!errmsg.BoolPchart</vt:lpstr>
      <vt:lpstr>'RES_ko-KR'!errmsg.BoolPchart</vt:lpstr>
      <vt:lpstr>'RES_lv-LV'!errmsg.BoolPchart</vt:lpstr>
      <vt:lpstr>'RES_nb-NO'!errmsg.BoolPchart</vt:lpstr>
      <vt:lpstr>'RES_nl-NL'!errmsg.BoolPchart</vt:lpstr>
      <vt:lpstr>'RES_pl-PL'!errmsg.BoolPchart</vt:lpstr>
      <vt:lpstr>'RES_pt-BR'!errmsg.BoolPchart</vt:lpstr>
      <vt:lpstr>'RES_pt-PT'!errmsg.BoolPchart</vt:lpstr>
      <vt:lpstr>'RES_ro-RO'!errmsg.BoolPchart</vt:lpstr>
      <vt:lpstr>'RES_ru-RU'!errmsg.BoolPchart</vt:lpstr>
      <vt:lpstr>'RES_sl-SI'!errmsg.BoolPchart</vt:lpstr>
      <vt:lpstr>'RES_sv-SE'!errmsg.BoolPchart</vt:lpstr>
      <vt:lpstr>'RES_tr-TR'!errmsg.BoolPchart</vt:lpstr>
      <vt:lpstr>'RES_zh-CN'!errmsg.BoolPchart</vt:lpstr>
      <vt:lpstr>'RES_zh-TW'!errmsg.BoolPchart</vt:lpstr>
      <vt:lpstr>'RES_cs-CZ'!errmsg.BoolRchart</vt:lpstr>
      <vt:lpstr>'RES_da-DK'!errmsg.BoolRchart</vt:lpstr>
      <vt:lpstr>'RES_de-DE'!errmsg.BoolRchart</vt:lpstr>
      <vt:lpstr>'RES_el-GR'!errmsg.BoolRchart</vt:lpstr>
      <vt:lpstr>'RES_en-US'!errmsg.BoolRchart</vt:lpstr>
      <vt:lpstr>'RES_es-ES'!errmsg.BoolRchart</vt:lpstr>
      <vt:lpstr>'RES_fi-FI'!errmsg.BoolRchart</vt:lpstr>
      <vt:lpstr>'RES_fr-FR'!errmsg.BoolRchart</vt:lpstr>
      <vt:lpstr>'RES_hr-HR'!errmsg.BoolRchart</vt:lpstr>
      <vt:lpstr>'RES_hu-HU'!errmsg.BoolRchart</vt:lpstr>
      <vt:lpstr>'RES_it-IT'!errmsg.BoolRchart</vt:lpstr>
      <vt:lpstr>'RES_ja-JP'!errmsg.BoolRchart</vt:lpstr>
      <vt:lpstr>'RES_ko-KR'!errmsg.BoolRchart</vt:lpstr>
      <vt:lpstr>'RES_lv-LV'!errmsg.BoolRchart</vt:lpstr>
      <vt:lpstr>'RES_nb-NO'!errmsg.BoolRchart</vt:lpstr>
      <vt:lpstr>'RES_nl-NL'!errmsg.BoolRchart</vt:lpstr>
      <vt:lpstr>'RES_pl-PL'!errmsg.BoolRchart</vt:lpstr>
      <vt:lpstr>'RES_pt-BR'!errmsg.BoolRchart</vt:lpstr>
      <vt:lpstr>'RES_pt-PT'!errmsg.BoolRchart</vt:lpstr>
      <vt:lpstr>'RES_ro-RO'!errmsg.BoolRchart</vt:lpstr>
      <vt:lpstr>'RES_ru-RU'!errmsg.BoolRchart</vt:lpstr>
      <vt:lpstr>'RES_sl-SI'!errmsg.BoolRchart</vt:lpstr>
      <vt:lpstr>'RES_sv-SE'!errmsg.BoolRchart</vt:lpstr>
      <vt:lpstr>'RES_tr-TR'!errmsg.BoolRchart</vt:lpstr>
      <vt:lpstr>'RES_zh-CN'!errmsg.BoolRchart</vt:lpstr>
      <vt:lpstr>'RES_zh-TW'!errmsg.BoolRchart</vt:lpstr>
      <vt:lpstr>'RES_cs-CZ'!errmsg.BoolResid</vt:lpstr>
      <vt:lpstr>'RES_da-DK'!errmsg.BoolResid</vt:lpstr>
      <vt:lpstr>'RES_de-DE'!errmsg.BoolResid</vt:lpstr>
      <vt:lpstr>'RES_el-GR'!errmsg.BoolResid</vt:lpstr>
      <vt:lpstr>'RES_en-US'!errmsg.BoolResid</vt:lpstr>
      <vt:lpstr>'RES_es-ES'!errmsg.BoolResid</vt:lpstr>
      <vt:lpstr>'RES_fi-FI'!errmsg.BoolResid</vt:lpstr>
      <vt:lpstr>'RES_fr-FR'!errmsg.BoolResid</vt:lpstr>
      <vt:lpstr>'RES_hr-HR'!errmsg.BoolResid</vt:lpstr>
      <vt:lpstr>'RES_hu-HU'!errmsg.BoolResid</vt:lpstr>
      <vt:lpstr>'RES_it-IT'!errmsg.BoolResid</vt:lpstr>
      <vt:lpstr>'RES_ja-JP'!errmsg.BoolResid</vt:lpstr>
      <vt:lpstr>'RES_ko-KR'!errmsg.BoolResid</vt:lpstr>
      <vt:lpstr>'RES_lv-LV'!errmsg.BoolResid</vt:lpstr>
      <vt:lpstr>'RES_nb-NO'!errmsg.BoolResid</vt:lpstr>
      <vt:lpstr>'RES_nl-NL'!errmsg.BoolResid</vt:lpstr>
      <vt:lpstr>'RES_pl-PL'!errmsg.BoolResid</vt:lpstr>
      <vt:lpstr>'RES_pt-BR'!errmsg.BoolResid</vt:lpstr>
      <vt:lpstr>'RES_pt-PT'!errmsg.BoolResid</vt:lpstr>
      <vt:lpstr>'RES_ro-RO'!errmsg.BoolResid</vt:lpstr>
      <vt:lpstr>'RES_ru-RU'!errmsg.BoolResid</vt:lpstr>
      <vt:lpstr>'RES_sl-SI'!errmsg.BoolResid</vt:lpstr>
      <vt:lpstr>'RES_sv-SE'!errmsg.BoolResid</vt:lpstr>
      <vt:lpstr>'RES_tr-TR'!errmsg.BoolResid</vt:lpstr>
      <vt:lpstr>'RES_zh-CN'!errmsg.BoolResid</vt:lpstr>
      <vt:lpstr>'RES_zh-TW'!errmsg.BoolResid</vt:lpstr>
      <vt:lpstr>'RES_cs-CZ'!errmsg.BoolStdErr</vt:lpstr>
      <vt:lpstr>'RES_da-DK'!errmsg.BoolStdErr</vt:lpstr>
      <vt:lpstr>'RES_de-DE'!errmsg.BoolStdErr</vt:lpstr>
      <vt:lpstr>'RES_el-GR'!errmsg.BoolStdErr</vt:lpstr>
      <vt:lpstr>'RES_en-US'!errmsg.BoolStdErr</vt:lpstr>
      <vt:lpstr>'RES_es-ES'!errmsg.BoolStdErr</vt:lpstr>
      <vt:lpstr>'RES_fi-FI'!errmsg.BoolStdErr</vt:lpstr>
      <vt:lpstr>'RES_fr-FR'!errmsg.BoolStdErr</vt:lpstr>
      <vt:lpstr>'RES_hr-HR'!errmsg.BoolStdErr</vt:lpstr>
      <vt:lpstr>'RES_hu-HU'!errmsg.BoolStdErr</vt:lpstr>
      <vt:lpstr>'RES_it-IT'!errmsg.BoolStdErr</vt:lpstr>
      <vt:lpstr>'RES_ja-JP'!errmsg.BoolStdErr</vt:lpstr>
      <vt:lpstr>'RES_ko-KR'!errmsg.BoolStdErr</vt:lpstr>
      <vt:lpstr>'RES_lv-LV'!errmsg.BoolStdErr</vt:lpstr>
      <vt:lpstr>'RES_nb-NO'!errmsg.BoolStdErr</vt:lpstr>
      <vt:lpstr>'RES_nl-NL'!errmsg.BoolStdErr</vt:lpstr>
      <vt:lpstr>'RES_pl-PL'!errmsg.BoolStdErr</vt:lpstr>
      <vt:lpstr>'RES_pt-BR'!errmsg.BoolStdErr</vt:lpstr>
      <vt:lpstr>'RES_pt-PT'!errmsg.BoolStdErr</vt:lpstr>
      <vt:lpstr>'RES_ro-RO'!errmsg.BoolStdErr</vt:lpstr>
      <vt:lpstr>'RES_ru-RU'!errmsg.BoolStdErr</vt:lpstr>
      <vt:lpstr>'RES_sl-SI'!errmsg.BoolStdErr</vt:lpstr>
      <vt:lpstr>'RES_sv-SE'!errmsg.BoolStdErr</vt:lpstr>
      <vt:lpstr>'RES_tr-TR'!errmsg.BoolStdErr</vt:lpstr>
      <vt:lpstr>'RES_zh-CN'!errmsg.BoolStdErr</vt:lpstr>
      <vt:lpstr>'RES_zh-TW'!errmsg.BoolStdErr</vt:lpstr>
      <vt:lpstr>'RES_cs-CZ'!errmsg.BoolStdResid</vt:lpstr>
      <vt:lpstr>'RES_da-DK'!errmsg.BoolStdResid</vt:lpstr>
      <vt:lpstr>'RES_de-DE'!errmsg.BoolStdResid</vt:lpstr>
      <vt:lpstr>'RES_el-GR'!errmsg.BoolStdResid</vt:lpstr>
      <vt:lpstr>'RES_en-US'!errmsg.BoolStdResid</vt:lpstr>
      <vt:lpstr>'RES_es-ES'!errmsg.BoolStdResid</vt:lpstr>
      <vt:lpstr>'RES_fi-FI'!errmsg.BoolStdResid</vt:lpstr>
      <vt:lpstr>'RES_fr-FR'!errmsg.BoolStdResid</vt:lpstr>
      <vt:lpstr>'RES_hr-HR'!errmsg.BoolStdResid</vt:lpstr>
      <vt:lpstr>'RES_hu-HU'!errmsg.BoolStdResid</vt:lpstr>
      <vt:lpstr>'RES_it-IT'!errmsg.BoolStdResid</vt:lpstr>
      <vt:lpstr>'RES_ja-JP'!errmsg.BoolStdResid</vt:lpstr>
      <vt:lpstr>'RES_ko-KR'!errmsg.BoolStdResid</vt:lpstr>
      <vt:lpstr>'RES_lv-LV'!errmsg.BoolStdResid</vt:lpstr>
      <vt:lpstr>'RES_nb-NO'!errmsg.BoolStdResid</vt:lpstr>
      <vt:lpstr>'RES_nl-NL'!errmsg.BoolStdResid</vt:lpstr>
      <vt:lpstr>'RES_pl-PL'!errmsg.BoolStdResid</vt:lpstr>
      <vt:lpstr>'RES_pt-BR'!errmsg.BoolStdResid</vt:lpstr>
      <vt:lpstr>'RES_pt-PT'!errmsg.BoolStdResid</vt:lpstr>
      <vt:lpstr>'RES_ro-RO'!errmsg.BoolStdResid</vt:lpstr>
      <vt:lpstr>'RES_ru-RU'!errmsg.BoolStdResid</vt:lpstr>
      <vt:lpstr>'RES_sl-SI'!errmsg.BoolStdResid</vt:lpstr>
      <vt:lpstr>'RES_sv-SE'!errmsg.BoolStdResid</vt:lpstr>
      <vt:lpstr>'RES_tr-TR'!errmsg.BoolStdResid</vt:lpstr>
      <vt:lpstr>'RES_zh-CN'!errmsg.BoolStdResid</vt:lpstr>
      <vt:lpstr>'RES_zh-TW'!errmsg.BoolStdResid</vt:lpstr>
      <vt:lpstr>'RES_cs-CZ'!errmsg.BoolSumStat</vt:lpstr>
      <vt:lpstr>'RES_da-DK'!errmsg.BoolSumStat</vt:lpstr>
      <vt:lpstr>'RES_de-DE'!errmsg.BoolSumStat</vt:lpstr>
      <vt:lpstr>'RES_el-GR'!errmsg.BoolSumStat</vt:lpstr>
      <vt:lpstr>'RES_en-US'!errmsg.BoolSumStat</vt:lpstr>
      <vt:lpstr>'RES_es-ES'!errmsg.BoolSumStat</vt:lpstr>
      <vt:lpstr>'RES_fi-FI'!errmsg.BoolSumStat</vt:lpstr>
      <vt:lpstr>'RES_fr-FR'!errmsg.BoolSumStat</vt:lpstr>
      <vt:lpstr>'RES_hr-HR'!errmsg.BoolSumStat</vt:lpstr>
      <vt:lpstr>'RES_hu-HU'!errmsg.BoolSumStat</vt:lpstr>
      <vt:lpstr>'RES_it-IT'!errmsg.BoolSumStat</vt:lpstr>
      <vt:lpstr>'RES_ja-JP'!errmsg.BoolSumStat</vt:lpstr>
      <vt:lpstr>'RES_ko-KR'!errmsg.BoolSumStat</vt:lpstr>
      <vt:lpstr>'RES_lv-LV'!errmsg.BoolSumStat</vt:lpstr>
      <vt:lpstr>'RES_nb-NO'!errmsg.BoolSumStat</vt:lpstr>
      <vt:lpstr>'RES_nl-NL'!errmsg.BoolSumStat</vt:lpstr>
      <vt:lpstr>'RES_pl-PL'!errmsg.BoolSumStat</vt:lpstr>
      <vt:lpstr>'RES_pt-BR'!errmsg.BoolSumStat</vt:lpstr>
      <vt:lpstr>'RES_pt-PT'!errmsg.BoolSumStat</vt:lpstr>
      <vt:lpstr>'RES_ro-RO'!errmsg.BoolSumStat</vt:lpstr>
      <vt:lpstr>'RES_ru-RU'!errmsg.BoolSumStat</vt:lpstr>
      <vt:lpstr>'RES_sl-SI'!errmsg.BoolSumStat</vt:lpstr>
      <vt:lpstr>'RES_sv-SE'!errmsg.BoolSumStat</vt:lpstr>
      <vt:lpstr>'RES_tr-TR'!errmsg.BoolSumStat</vt:lpstr>
      <vt:lpstr>'RES_zh-CN'!errmsg.BoolSumStat</vt:lpstr>
      <vt:lpstr>'RES_zh-TW'!errmsg.BoolSumStat</vt:lpstr>
      <vt:lpstr>'RES_cs-CZ'!errmsg.CannotConvert2Ref</vt:lpstr>
      <vt:lpstr>'RES_da-DK'!errmsg.CannotConvert2Ref</vt:lpstr>
      <vt:lpstr>'RES_de-DE'!errmsg.CannotConvert2Ref</vt:lpstr>
      <vt:lpstr>'RES_el-GR'!errmsg.CannotConvert2Ref</vt:lpstr>
      <vt:lpstr>'RES_en-US'!errmsg.CannotConvert2Ref</vt:lpstr>
      <vt:lpstr>'RES_es-ES'!errmsg.CannotConvert2Ref</vt:lpstr>
      <vt:lpstr>'RES_fi-FI'!errmsg.CannotConvert2Ref</vt:lpstr>
      <vt:lpstr>'RES_fr-FR'!errmsg.CannotConvert2Ref</vt:lpstr>
      <vt:lpstr>'RES_hr-HR'!errmsg.CannotConvert2Ref</vt:lpstr>
      <vt:lpstr>'RES_hu-HU'!errmsg.CannotConvert2Ref</vt:lpstr>
      <vt:lpstr>'RES_it-IT'!errmsg.CannotConvert2Ref</vt:lpstr>
      <vt:lpstr>'RES_ja-JP'!errmsg.CannotConvert2Ref</vt:lpstr>
      <vt:lpstr>'RES_ko-KR'!errmsg.CannotConvert2Ref</vt:lpstr>
      <vt:lpstr>'RES_lv-LV'!errmsg.CannotConvert2Ref</vt:lpstr>
      <vt:lpstr>'RES_nb-NO'!errmsg.CannotConvert2Ref</vt:lpstr>
      <vt:lpstr>'RES_nl-NL'!errmsg.CannotConvert2Ref</vt:lpstr>
      <vt:lpstr>'RES_pl-PL'!errmsg.CannotConvert2Ref</vt:lpstr>
      <vt:lpstr>'RES_pt-BR'!errmsg.CannotConvert2Ref</vt:lpstr>
      <vt:lpstr>'RES_pt-PT'!errmsg.CannotConvert2Ref</vt:lpstr>
      <vt:lpstr>'RES_ro-RO'!errmsg.CannotConvert2Ref</vt:lpstr>
      <vt:lpstr>'RES_ru-RU'!errmsg.CannotConvert2Ref</vt:lpstr>
      <vt:lpstr>'RES_sl-SI'!errmsg.CannotConvert2Ref</vt:lpstr>
      <vt:lpstr>'RES_sv-SE'!errmsg.CannotConvert2Ref</vt:lpstr>
      <vt:lpstr>'RES_tr-TR'!errmsg.CannotConvert2Ref</vt:lpstr>
      <vt:lpstr>'RES_zh-CN'!errmsg.CannotConvert2Ref</vt:lpstr>
      <vt:lpstr>'RES_zh-TW'!errmsg.CannotConvert2Ref</vt:lpstr>
      <vt:lpstr>'RES_cs-CZ'!errmsg.CannotGetRelref</vt:lpstr>
      <vt:lpstr>'RES_da-DK'!errmsg.CannotGetRelref</vt:lpstr>
      <vt:lpstr>'RES_de-DE'!errmsg.CannotGetRelref</vt:lpstr>
      <vt:lpstr>'RES_el-GR'!errmsg.CannotGetRelref</vt:lpstr>
      <vt:lpstr>'RES_en-US'!errmsg.CannotGetRelref</vt:lpstr>
      <vt:lpstr>'RES_es-ES'!errmsg.CannotGetRelref</vt:lpstr>
      <vt:lpstr>'RES_fi-FI'!errmsg.CannotGetRelref</vt:lpstr>
      <vt:lpstr>'RES_fr-FR'!errmsg.CannotGetRelref</vt:lpstr>
      <vt:lpstr>'RES_hr-HR'!errmsg.CannotGetRelref</vt:lpstr>
      <vt:lpstr>'RES_hu-HU'!errmsg.CannotGetRelref</vt:lpstr>
      <vt:lpstr>'RES_it-IT'!errmsg.CannotGetRelref</vt:lpstr>
      <vt:lpstr>'RES_ja-JP'!errmsg.CannotGetRelref</vt:lpstr>
      <vt:lpstr>'RES_ko-KR'!errmsg.CannotGetRelref</vt:lpstr>
      <vt:lpstr>'RES_lv-LV'!errmsg.CannotGetRelref</vt:lpstr>
      <vt:lpstr>'RES_nb-NO'!errmsg.CannotGetRelref</vt:lpstr>
      <vt:lpstr>'RES_nl-NL'!errmsg.CannotGetRelref</vt:lpstr>
      <vt:lpstr>'RES_pl-PL'!errmsg.CannotGetRelref</vt:lpstr>
      <vt:lpstr>'RES_pt-BR'!errmsg.CannotGetRelref</vt:lpstr>
      <vt:lpstr>'RES_pt-PT'!errmsg.CannotGetRelref</vt:lpstr>
      <vt:lpstr>'RES_ro-RO'!errmsg.CannotGetRelref</vt:lpstr>
      <vt:lpstr>'RES_ru-RU'!errmsg.CannotGetRelref</vt:lpstr>
      <vt:lpstr>'RES_sl-SI'!errmsg.CannotGetRelref</vt:lpstr>
      <vt:lpstr>'RES_sv-SE'!errmsg.CannotGetRelref</vt:lpstr>
      <vt:lpstr>'RES_tr-TR'!errmsg.CannotGetRelref</vt:lpstr>
      <vt:lpstr>'RES_zh-CN'!errmsg.CannotGetRelref</vt:lpstr>
      <vt:lpstr>'RES_zh-TW'!errmsg.CannotGetRelref</vt:lpstr>
      <vt:lpstr>'RES_cs-CZ'!errmsg.ChartHideData</vt:lpstr>
      <vt:lpstr>'RES_da-DK'!errmsg.ChartHideData</vt:lpstr>
      <vt:lpstr>'RES_de-DE'!errmsg.ChartHideData</vt:lpstr>
      <vt:lpstr>'RES_el-GR'!errmsg.ChartHideData</vt:lpstr>
      <vt:lpstr>'RES_en-US'!errmsg.ChartHideData</vt:lpstr>
      <vt:lpstr>'RES_es-ES'!errmsg.ChartHideData</vt:lpstr>
      <vt:lpstr>'RES_fi-FI'!errmsg.ChartHideData</vt:lpstr>
      <vt:lpstr>'RES_fr-FR'!errmsg.ChartHideData</vt:lpstr>
      <vt:lpstr>'RES_hr-HR'!errmsg.ChartHideData</vt:lpstr>
      <vt:lpstr>'RES_hu-HU'!errmsg.ChartHideData</vt:lpstr>
      <vt:lpstr>'RES_it-IT'!errmsg.ChartHideData</vt:lpstr>
      <vt:lpstr>'RES_ja-JP'!errmsg.ChartHideData</vt:lpstr>
      <vt:lpstr>'RES_ko-KR'!errmsg.ChartHideData</vt:lpstr>
      <vt:lpstr>'RES_lv-LV'!errmsg.ChartHideData</vt:lpstr>
      <vt:lpstr>'RES_nb-NO'!errmsg.ChartHideData</vt:lpstr>
      <vt:lpstr>'RES_nl-NL'!errmsg.ChartHideData</vt:lpstr>
      <vt:lpstr>'RES_pl-PL'!errmsg.ChartHideData</vt:lpstr>
      <vt:lpstr>'RES_pt-BR'!errmsg.ChartHideData</vt:lpstr>
      <vt:lpstr>'RES_pt-PT'!errmsg.ChartHideData</vt:lpstr>
      <vt:lpstr>'RES_ro-RO'!errmsg.ChartHideData</vt:lpstr>
      <vt:lpstr>'RES_ru-RU'!errmsg.ChartHideData</vt:lpstr>
      <vt:lpstr>'RES_sl-SI'!errmsg.ChartHideData</vt:lpstr>
      <vt:lpstr>'RES_sv-SE'!errmsg.ChartHideData</vt:lpstr>
      <vt:lpstr>'RES_tr-TR'!errmsg.ChartHideData</vt:lpstr>
      <vt:lpstr>'RES_zh-CN'!errmsg.ChartHideData</vt:lpstr>
      <vt:lpstr>'RES_zh-TW'!errmsg.ChartHideData</vt:lpstr>
      <vt:lpstr>'RES_cs-CZ'!errmsg.ChartOverEdge</vt:lpstr>
      <vt:lpstr>'RES_da-DK'!errmsg.ChartOverEdge</vt:lpstr>
      <vt:lpstr>'RES_de-DE'!errmsg.ChartOverEdge</vt:lpstr>
      <vt:lpstr>'RES_el-GR'!errmsg.ChartOverEdge</vt:lpstr>
      <vt:lpstr>'RES_en-US'!errmsg.ChartOverEdge</vt:lpstr>
      <vt:lpstr>'RES_es-ES'!errmsg.ChartOverEdge</vt:lpstr>
      <vt:lpstr>'RES_fi-FI'!errmsg.ChartOverEdge</vt:lpstr>
      <vt:lpstr>'RES_fr-FR'!errmsg.ChartOverEdge</vt:lpstr>
      <vt:lpstr>'RES_hr-HR'!errmsg.ChartOverEdge</vt:lpstr>
      <vt:lpstr>'RES_hu-HU'!errmsg.ChartOverEdge</vt:lpstr>
      <vt:lpstr>'RES_it-IT'!errmsg.ChartOverEdge</vt:lpstr>
      <vt:lpstr>'RES_ja-JP'!errmsg.ChartOverEdge</vt:lpstr>
      <vt:lpstr>'RES_ko-KR'!errmsg.ChartOverEdge</vt:lpstr>
      <vt:lpstr>'RES_lv-LV'!errmsg.ChartOverEdge</vt:lpstr>
      <vt:lpstr>'RES_nb-NO'!errmsg.ChartOverEdge</vt:lpstr>
      <vt:lpstr>'RES_nl-NL'!errmsg.ChartOverEdge</vt:lpstr>
      <vt:lpstr>'RES_pl-PL'!errmsg.ChartOverEdge</vt:lpstr>
      <vt:lpstr>'RES_pt-BR'!errmsg.ChartOverEdge</vt:lpstr>
      <vt:lpstr>'RES_pt-PT'!errmsg.ChartOverEdge</vt:lpstr>
      <vt:lpstr>'RES_ro-RO'!errmsg.ChartOverEdge</vt:lpstr>
      <vt:lpstr>'RES_ru-RU'!errmsg.ChartOverEdge</vt:lpstr>
      <vt:lpstr>'RES_sl-SI'!errmsg.ChartOverEdge</vt:lpstr>
      <vt:lpstr>'RES_sv-SE'!errmsg.ChartOverEdge</vt:lpstr>
      <vt:lpstr>'RES_tr-TR'!errmsg.ChartOverEdge</vt:lpstr>
      <vt:lpstr>'RES_zh-CN'!errmsg.ChartOverEdge</vt:lpstr>
      <vt:lpstr>'RES_zh-TW'!errmsg.ChartOverEdge</vt:lpstr>
      <vt:lpstr>'RES_cs-CZ'!errmsg.CoerceValProbErr</vt:lpstr>
      <vt:lpstr>'RES_da-DK'!errmsg.CoerceValProbErr</vt:lpstr>
      <vt:lpstr>'RES_de-DE'!errmsg.CoerceValProbErr</vt:lpstr>
      <vt:lpstr>'RES_el-GR'!errmsg.CoerceValProbErr</vt:lpstr>
      <vt:lpstr>'RES_en-US'!errmsg.CoerceValProbErr</vt:lpstr>
      <vt:lpstr>'RES_es-ES'!errmsg.CoerceValProbErr</vt:lpstr>
      <vt:lpstr>'RES_fi-FI'!errmsg.CoerceValProbErr</vt:lpstr>
      <vt:lpstr>'RES_fr-FR'!errmsg.CoerceValProbErr</vt:lpstr>
      <vt:lpstr>'RES_hr-HR'!errmsg.CoerceValProbErr</vt:lpstr>
      <vt:lpstr>'RES_hu-HU'!errmsg.CoerceValProbErr</vt:lpstr>
      <vt:lpstr>'RES_it-IT'!errmsg.CoerceValProbErr</vt:lpstr>
      <vt:lpstr>'RES_ja-JP'!errmsg.CoerceValProbErr</vt:lpstr>
      <vt:lpstr>'RES_ko-KR'!errmsg.CoerceValProbErr</vt:lpstr>
      <vt:lpstr>'RES_lv-LV'!errmsg.CoerceValProbErr</vt:lpstr>
      <vt:lpstr>'RES_nb-NO'!errmsg.CoerceValProbErr</vt:lpstr>
      <vt:lpstr>'RES_nl-NL'!errmsg.CoerceValProbErr</vt:lpstr>
      <vt:lpstr>'RES_pl-PL'!errmsg.CoerceValProbErr</vt:lpstr>
      <vt:lpstr>'RES_pt-BR'!errmsg.CoerceValProbErr</vt:lpstr>
      <vt:lpstr>'RES_pt-PT'!errmsg.CoerceValProbErr</vt:lpstr>
      <vt:lpstr>'RES_ro-RO'!errmsg.CoerceValProbErr</vt:lpstr>
      <vt:lpstr>'RES_ru-RU'!errmsg.CoerceValProbErr</vt:lpstr>
      <vt:lpstr>'RES_sl-SI'!errmsg.CoerceValProbErr</vt:lpstr>
      <vt:lpstr>'RES_sv-SE'!errmsg.CoerceValProbErr</vt:lpstr>
      <vt:lpstr>'RES_tr-TR'!errmsg.CoerceValProbErr</vt:lpstr>
      <vt:lpstr>'RES_zh-CN'!errmsg.CoerceValProbErr</vt:lpstr>
      <vt:lpstr>'RES_zh-TW'!errmsg.CoerceValProbErr</vt:lpstr>
      <vt:lpstr>'RES_cs-CZ'!errmsg.ConfirmAbort</vt:lpstr>
      <vt:lpstr>'RES_da-DK'!errmsg.ConfirmAbort</vt:lpstr>
      <vt:lpstr>'RES_de-DE'!errmsg.ConfirmAbort</vt:lpstr>
      <vt:lpstr>'RES_el-GR'!errmsg.ConfirmAbort</vt:lpstr>
      <vt:lpstr>'RES_en-US'!errmsg.ConfirmAbort</vt:lpstr>
      <vt:lpstr>'RES_es-ES'!errmsg.ConfirmAbort</vt:lpstr>
      <vt:lpstr>'RES_fi-FI'!errmsg.ConfirmAbort</vt:lpstr>
      <vt:lpstr>'RES_fr-FR'!errmsg.ConfirmAbort</vt:lpstr>
      <vt:lpstr>'RES_hr-HR'!errmsg.ConfirmAbort</vt:lpstr>
      <vt:lpstr>'RES_hu-HU'!errmsg.ConfirmAbort</vt:lpstr>
      <vt:lpstr>'RES_it-IT'!errmsg.ConfirmAbort</vt:lpstr>
      <vt:lpstr>'RES_ja-JP'!errmsg.ConfirmAbort</vt:lpstr>
      <vt:lpstr>'RES_ko-KR'!errmsg.ConfirmAbort</vt:lpstr>
      <vt:lpstr>'RES_lv-LV'!errmsg.ConfirmAbort</vt:lpstr>
      <vt:lpstr>'RES_nb-NO'!errmsg.ConfirmAbort</vt:lpstr>
      <vt:lpstr>'RES_nl-NL'!errmsg.ConfirmAbort</vt:lpstr>
      <vt:lpstr>'RES_pl-PL'!errmsg.ConfirmAbort</vt:lpstr>
      <vt:lpstr>'RES_pt-BR'!errmsg.ConfirmAbort</vt:lpstr>
      <vt:lpstr>'RES_pt-PT'!errmsg.ConfirmAbort</vt:lpstr>
      <vt:lpstr>'RES_ro-RO'!errmsg.ConfirmAbort</vt:lpstr>
      <vt:lpstr>'RES_ru-RU'!errmsg.ConfirmAbort</vt:lpstr>
      <vt:lpstr>'RES_sl-SI'!errmsg.ConfirmAbort</vt:lpstr>
      <vt:lpstr>'RES_sv-SE'!errmsg.ConfirmAbort</vt:lpstr>
      <vt:lpstr>'RES_tr-TR'!errmsg.ConfirmAbort</vt:lpstr>
      <vt:lpstr>'RES_zh-CN'!errmsg.ConfirmAbort</vt:lpstr>
      <vt:lpstr>'RES_zh-TW'!errmsg.ConfirmAbort</vt:lpstr>
      <vt:lpstr>'RES_cs-CZ'!errmsg.ConfValuRg</vt:lpstr>
      <vt:lpstr>'RES_da-DK'!errmsg.ConfValuRg</vt:lpstr>
      <vt:lpstr>'RES_de-DE'!errmsg.ConfValuRg</vt:lpstr>
      <vt:lpstr>'RES_el-GR'!errmsg.ConfValuRg</vt:lpstr>
      <vt:lpstr>'RES_en-US'!errmsg.ConfValuRg</vt:lpstr>
      <vt:lpstr>'RES_es-ES'!errmsg.ConfValuRg</vt:lpstr>
      <vt:lpstr>'RES_fi-FI'!errmsg.ConfValuRg</vt:lpstr>
      <vt:lpstr>'RES_fr-FR'!errmsg.ConfValuRg</vt:lpstr>
      <vt:lpstr>'RES_hr-HR'!errmsg.ConfValuRg</vt:lpstr>
      <vt:lpstr>'RES_hu-HU'!errmsg.ConfValuRg</vt:lpstr>
      <vt:lpstr>'RES_it-IT'!errmsg.ConfValuRg</vt:lpstr>
      <vt:lpstr>'RES_ja-JP'!errmsg.ConfValuRg</vt:lpstr>
      <vt:lpstr>'RES_ko-KR'!errmsg.ConfValuRg</vt:lpstr>
      <vt:lpstr>'RES_lv-LV'!errmsg.ConfValuRg</vt:lpstr>
      <vt:lpstr>'RES_nb-NO'!errmsg.ConfValuRg</vt:lpstr>
      <vt:lpstr>'RES_nl-NL'!errmsg.ConfValuRg</vt:lpstr>
      <vt:lpstr>'RES_pl-PL'!errmsg.ConfValuRg</vt:lpstr>
      <vt:lpstr>'RES_pt-BR'!errmsg.ConfValuRg</vt:lpstr>
      <vt:lpstr>'RES_pt-PT'!errmsg.ConfValuRg</vt:lpstr>
      <vt:lpstr>'RES_ro-RO'!errmsg.ConfValuRg</vt:lpstr>
      <vt:lpstr>'RES_ru-RU'!errmsg.ConfValuRg</vt:lpstr>
      <vt:lpstr>'RES_sl-SI'!errmsg.ConfValuRg</vt:lpstr>
      <vt:lpstr>'RES_sv-SE'!errmsg.ConfValuRg</vt:lpstr>
      <vt:lpstr>'RES_tr-TR'!errmsg.ConfValuRg</vt:lpstr>
      <vt:lpstr>'RES_zh-CN'!errmsg.ConfValuRg</vt:lpstr>
      <vt:lpstr>'RES_zh-TW'!errmsg.ConfValuRg</vt:lpstr>
      <vt:lpstr>'RES_cs-CZ'!errmsg.DampNumeric</vt:lpstr>
      <vt:lpstr>'RES_da-DK'!errmsg.DampNumeric</vt:lpstr>
      <vt:lpstr>'RES_de-DE'!errmsg.DampNumeric</vt:lpstr>
      <vt:lpstr>'RES_el-GR'!errmsg.DampNumeric</vt:lpstr>
      <vt:lpstr>'RES_en-US'!errmsg.DampNumeric</vt:lpstr>
      <vt:lpstr>'RES_es-ES'!errmsg.DampNumeric</vt:lpstr>
      <vt:lpstr>'RES_fi-FI'!errmsg.DampNumeric</vt:lpstr>
      <vt:lpstr>'RES_fr-FR'!errmsg.DampNumeric</vt:lpstr>
      <vt:lpstr>'RES_hr-HR'!errmsg.DampNumeric</vt:lpstr>
      <vt:lpstr>'RES_hu-HU'!errmsg.DampNumeric</vt:lpstr>
      <vt:lpstr>'RES_it-IT'!errmsg.DampNumeric</vt:lpstr>
      <vt:lpstr>'RES_ja-JP'!errmsg.DampNumeric</vt:lpstr>
      <vt:lpstr>'RES_ko-KR'!errmsg.DampNumeric</vt:lpstr>
      <vt:lpstr>'RES_lv-LV'!errmsg.DampNumeric</vt:lpstr>
      <vt:lpstr>'RES_nb-NO'!errmsg.DampNumeric</vt:lpstr>
      <vt:lpstr>'RES_nl-NL'!errmsg.DampNumeric</vt:lpstr>
      <vt:lpstr>'RES_pl-PL'!errmsg.DampNumeric</vt:lpstr>
      <vt:lpstr>'RES_pt-BR'!errmsg.DampNumeric</vt:lpstr>
      <vt:lpstr>'RES_pt-PT'!errmsg.DampNumeric</vt:lpstr>
      <vt:lpstr>'RES_ro-RO'!errmsg.DampNumeric</vt:lpstr>
      <vt:lpstr>'RES_ru-RU'!errmsg.DampNumeric</vt:lpstr>
      <vt:lpstr>'RES_sl-SI'!errmsg.DampNumeric</vt:lpstr>
      <vt:lpstr>'RES_sv-SE'!errmsg.DampNumeric</vt:lpstr>
      <vt:lpstr>'RES_tr-TR'!errmsg.DampNumeric</vt:lpstr>
      <vt:lpstr>'RES_zh-CN'!errmsg.DampNumeric</vt:lpstr>
      <vt:lpstr>'RES_zh-TW'!errmsg.DampNumeric</vt:lpstr>
      <vt:lpstr>'RES_cs-CZ'!errmsg.DampPos</vt:lpstr>
      <vt:lpstr>'RES_da-DK'!errmsg.DampPos</vt:lpstr>
      <vt:lpstr>'RES_de-DE'!errmsg.DampPos</vt:lpstr>
      <vt:lpstr>'RES_el-GR'!errmsg.DampPos</vt:lpstr>
      <vt:lpstr>'RES_en-US'!errmsg.DampPos</vt:lpstr>
      <vt:lpstr>'RES_es-ES'!errmsg.DampPos</vt:lpstr>
      <vt:lpstr>'RES_fi-FI'!errmsg.DampPos</vt:lpstr>
      <vt:lpstr>'RES_fr-FR'!errmsg.DampPos</vt:lpstr>
      <vt:lpstr>'RES_hr-HR'!errmsg.DampPos</vt:lpstr>
      <vt:lpstr>'RES_hu-HU'!errmsg.DampPos</vt:lpstr>
      <vt:lpstr>'RES_it-IT'!errmsg.DampPos</vt:lpstr>
      <vt:lpstr>'RES_ja-JP'!errmsg.DampPos</vt:lpstr>
      <vt:lpstr>'RES_ko-KR'!errmsg.DampPos</vt:lpstr>
      <vt:lpstr>'RES_lv-LV'!errmsg.DampPos</vt:lpstr>
      <vt:lpstr>'RES_nb-NO'!errmsg.DampPos</vt:lpstr>
      <vt:lpstr>'RES_nl-NL'!errmsg.DampPos</vt:lpstr>
      <vt:lpstr>'RES_pl-PL'!errmsg.DampPos</vt:lpstr>
      <vt:lpstr>'RES_pt-BR'!errmsg.DampPos</vt:lpstr>
      <vt:lpstr>'RES_pt-PT'!errmsg.DampPos</vt:lpstr>
      <vt:lpstr>'RES_ro-RO'!errmsg.DampPos</vt:lpstr>
      <vt:lpstr>'RES_ru-RU'!errmsg.DampPos</vt:lpstr>
      <vt:lpstr>'RES_sl-SI'!errmsg.DampPos</vt:lpstr>
      <vt:lpstr>'RES_sv-SE'!errmsg.DampPos</vt:lpstr>
      <vt:lpstr>'RES_tr-TR'!errmsg.DampPos</vt:lpstr>
      <vt:lpstr>'RES_zh-CN'!errmsg.DampPos</vt:lpstr>
      <vt:lpstr>'RES_zh-TW'!errmsg.DampPos</vt:lpstr>
      <vt:lpstr>'RES_cs-CZ'!errmsg.DProbSumErr</vt:lpstr>
      <vt:lpstr>'RES_da-DK'!errmsg.DProbSumErr</vt:lpstr>
      <vt:lpstr>'RES_de-DE'!errmsg.DProbSumErr</vt:lpstr>
      <vt:lpstr>'RES_el-GR'!errmsg.DProbSumErr</vt:lpstr>
      <vt:lpstr>'RES_en-US'!errmsg.DProbSumErr</vt:lpstr>
      <vt:lpstr>'RES_es-ES'!errmsg.DProbSumErr</vt:lpstr>
      <vt:lpstr>'RES_fi-FI'!errmsg.DProbSumErr</vt:lpstr>
      <vt:lpstr>'RES_fr-FR'!errmsg.DProbSumErr</vt:lpstr>
      <vt:lpstr>'RES_hr-HR'!errmsg.DProbSumErr</vt:lpstr>
      <vt:lpstr>'RES_hu-HU'!errmsg.DProbSumErr</vt:lpstr>
      <vt:lpstr>'RES_it-IT'!errmsg.DProbSumErr</vt:lpstr>
      <vt:lpstr>'RES_ja-JP'!errmsg.DProbSumErr</vt:lpstr>
      <vt:lpstr>'RES_ko-KR'!errmsg.DProbSumErr</vt:lpstr>
      <vt:lpstr>'RES_lv-LV'!errmsg.DProbSumErr</vt:lpstr>
      <vt:lpstr>'RES_nb-NO'!errmsg.DProbSumErr</vt:lpstr>
      <vt:lpstr>'RES_nl-NL'!errmsg.DProbSumErr</vt:lpstr>
      <vt:lpstr>'RES_pl-PL'!errmsg.DProbSumErr</vt:lpstr>
      <vt:lpstr>'RES_pt-BR'!errmsg.DProbSumErr</vt:lpstr>
      <vt:lpstr>'RES_pt-PT'!errmsg.DProbSumErr</vt:lpstr>
      <vt:lpstr>'RES_ro-RO'!errmsg.DProbSumErr</vt:lpstr>
      <vt:lpstr>'RES_ru-RU'!errmsg.DProbSumErr</vt:lpstr>
      <vt:lpstr>'RES_sl-SI'!errmsg.DProbSumErr</vt:lpstr>
      <vt:lpstr>'RES_sv-SE'!errmsg.DProbSumErr</vt:lpstr>
      <vt:lpstr>'RES_tr-TR'!errmsg.DProbSumErr</vt:lpstr>
      <vt:lpstr>'RES_zh-CN'!errmsg.DProbSumErr</vt:lpstr>
      <vt:lpstr>'RES_zh-TW'!errmsg.DProbSumErr</vt:lpstr>
      <vt:lpstr>'RES_cs-CZ'!errmsg.DValProbNonNumeric</vt:lpstr>
      <vt:lpstr>'RES_da-DK'!errmsg.DValProbNonNumeric</vt:lpstr>
      <vt:lpstr>'RES_de-DE'!errmsg.DValProbNonNumeric</vt:lpstr>
      <vt:lpstr>'RES_el-GR'!errmsg.DValProbNonNumeric</vt:lpstr>
      <vt:lpstr>'RES_en-US'!errmsg.DValProbNonNumeric</vt:lpstr>
      <vt:lpstr>'RES_es-ES'!errmsg.DValProbNonNumeric</vt:lpstr>
      <vt:lpstr>'RES_fi-FI'!errmsg.DValProbNonNumeric</vt:lpstr>
      <vt:lpstr>'RES_fr-FR'!errmsg.DValProbNonNumeric</vt:lpstr>
      <vt:lpstr>'RES_hr-HR'!errmsg.DValProbNonNumeric</vt:lpstr>
      <vt:lpstr>'RES_hu-HU'!errmsg.DValProbNonNumeric</vt:lpstr>
      <vt:lpstr>'RES_it-IT'!errmsg.DValProbNonNumeric</vt:lpstr>
      <vt:lpstr>'RES_ja-JP'!errmsg.DValProbNonNumeric</vt:lpstr>
      <vt:lpstr>'RES_ko-KR'!errmsg.DValProbNonNumeric</vt:lpstr>
      <vt:lpstr>'RES_lv-LV'!errmsg.DValProbNonNumeric</vt:lpstr>
      <vt:lpstr>'RES_nb-NO'!errmsg.DValProbNonNumeric</vt:lpstr>
      <vt:lpstr>'RES_nl-NL'!errmsg.DValProbNonNumeric</vt:lpstr>
      <vt:lpstr>'RES_pl-PL'!errmsg.DValProbNonNumeric</vt:lpstr>
      <vt:lpstr>'RES_pt-BR'!errmsg.DValProbNonNumeric</vt:lpstr>
      <vt:lpstr>'RES_pt-PT'!errmsg.DValProbNonNumeric</vt:lpstr>
      <vt:lpstr>'RES_ro-RO'!errmsg.DValProbNonNumeric</vt:lpstr>
      <vt:lpstr>'RES_ru-RU'!errmsg.DValProbNonNumeric</vt:lpstr>
      <vt:lpstr>'RES_sl-SI'!errmsg.DValProbNonNumeric</vt:lpstr>
      <vt:lpstr>'RES_sv-SE'!errmsg.DValProbNonNumeric</vt:lpstr>
      <vt:lpstr>'RES_tr-TR'!errmsg.DValProbNonNumeric</vt:lpstr>
      <vt:lpstr>'RES_zh-CN'!errmsg.DValProbNonNumeric</vt:lpstr>
      <vt:lpstr>'RES_zh-TW'!errmsg.DValProbNonNumeric</vt:lpstr>
      <vt:lpstr>'RES_cs-CZ'!errmsg.DValProbNumeric</vt:lpstr>
      <vt:lpstr>'RES_da-DK'!errmsg.DValProbNumeric</vt:lpstr>
      <vt:lpstr>'RES_de-DE'!errmsg.DValProbNumeric</vt:lpstr>
      <vt:lpstr>'RES_el-GR'!errmsg.DValProbNumeric</vt:lpstr>
      <vt:lpstr>'RES_en-US'!errmsg.DValProbNumeric</vt:lpstr>
      <vt:lpstr>'RES_es-ES'!errmsg.DValProbNumeric</vt:lpstr>
      <vt:lpstr>'RES_fi-FI'!errmsg.DValProbNumeric</vt:lpstr>
      <vt:lpstr>'RES_fr-FR'!errmsg.DValProbNumeric</vt:lpstr>
      <vt:lpstr>'RES_hr-HR'!errmsg.DValProbNumeric</vt:lpstr>
      <vt:lpstr>'RES_hu-HU'!errmsg.DValProbNumeric</vt:lpstr>
      <vt:lpstr>'RES_it-IT'!errmsg.DValProbNumeric</vt:lpstr>
      <vt:lpstr>'RES_ja-JP'!errmsg.DValProbNumeric</vt:lpstr>
      <vt:lpstr>'RES_ko-KR'!errmsg.DValProbNumeric</vt:lpstr>
      <vt:lpstr>'RES_lv-LV'!errmsg.DValProbNumeric</vt:lpstr>
      <vt:lpstr>'RES_nb-NO'!errmsg.DValProbNumeric</vt:lpstr>
      <vt:lpstr>'RES_nl-NL'!errmsg.DValProbNumeric</vt:lpstr>
      <vt:lpstr>'RES_pl-PL'!errmsg.DValProbNumeric</vt:lpstr>
      <vt:lpstr>'RES_pt-BR'!errmsg.DValProbNumeric</vt:lpstr>
      <vt:lpstr>'RES_pt-PT'!errmsg.DValProbNumeric</vt:lpstr>
      <vt:lpstr>'RES_ro-RO'!errmsg.DValProbNumeric</vt:lpstr>
      <vt:lpstr>'RES_ru-RU'!errmsg.DValProbNumeric</vt:lpstr>
      <vt:lpstr>'RES_sl-SI'!errmsg.DValProbNumeric</vt:lpstr>
      <vt:lpstr>'RES_sv-SE'!errmsg.DValProbNumeric</vt:lpstr>
      <vt:lpstr>'RES_tr-TR'!errmsg.DValProbNumeric</vt:lpstr>
      <vt:lpstr>'RES_zh-CN'!errmsg.DValProbNumeric</vt:lpstr>
      <vt:lpstr>'RES_zh-TW'!errmsg.DValProbNumeric</vt:lpstr>
      <vt:lpstr>'RES_cs-CZ'!errmsg.DValProbOverlap</vt:lpstr>
      <vt:lpstr>'RES_da-DK'!errmsg.DValProbOverlap</vt:lpstr>
      <vt:lpstr>'RES_de-DE'!errmsg.DValProbOverlap</vt:lpstr>
      <vt:lpstr>'RES_el-GR'!errmsg.DValProbOverlap</vt:lpstr>
      <vt:lpstr>'RES_en-US'!errmsg.DValProbOverlap</vt:lpstr>
      <vt:lpstr>'RES_es-ES'!errmsg.DValProbOverlap</vt:lpstr>
      <vt:lpstr>'RES_fi-FI'!errmsg.DValProbOverlap</vt:lpstr>
      <vt:lpstr>'RES_fr-FR'!errmsg.DValProbOverlap</vt:lpstr>
      <vt:lpstr>'RES_hr-HR'!errmsg.DValProbOverlap</vt:lpstr>
      <vt:lpstr>'RES_hu-HU'!errmsg.DValProbOverlap</vt:lpstr>
      <vt:lpstr>'RES_it-IT'!errmsg.DValProbOverlap</vt:lpstr>
      <vt:lpstr>'RES_ja-JP'!errmsg.DValProbOverlap</vt:lpstr>
      <vt:lpstr>'RES_ko-KR'!errmsg.DValProbOverlap</vt:lpstr>
      <vt:lpstr>'RES_lv-LV'!errmsg.DValProbOverlap</vt:lpstr>
      <vt:lpstr>'RES_nb-NO'!errmsg.DValProbOverlap</vt:lpstr>
      <vt:lpstr>'RES_nl-NL'!errmsg.DValProbOverlap</vt:lpstr>
      <vt:lpstr>'RES_pl-PL'!errmsg.DValProbOverlap</vt:lpstr>
      <vt:lpstr>'RES_pt-BR'!errmsg.DValProbOverlap</vt:lpstr>
      <vt:lpstr>'RES_pt-PT'!errmsg.DValProbOverlap</vt:lpstr>
      <vt:lpstr>'RES_ro-RO'!errmsg.DValProbOverlap</vt:lpstr>
      <vt:lpstr>'RES_ru-RU'!errmsg.DValProbOverlap</vt:lpstr>
      <vt:lpstr>'RES_sl-SI'!errmsg.DValProbOverlap</vt:lpstr>
      <vt:lpstr>'RES_sv-SE'!errmsg.DValProbOverlap</vt:lpstr>
      <vt:lpstr>'RES_tr-TR'!errmsg.DValProbOverlap</vt:lpstr>
      <vt:lpstr>'RES_zh-CN'!errmsg.DValProbOverlap</vt:lpstr>
      <vt:lpstr>'RES_zh-TW'!errmsg.DValProbOverlap</vt:lpstr>
      <vt:lpstr>'RES_cs-CZ'!errmsg.DValProbReq</vt:lpstr>
      <vt:lpstr>'RES_da-DK'!errmsg.DValProbReq</vt:lpstr>
      <vt:lpstr>'RES_de-DE'!errmsg.DValProbReq</vt:lpstr>
      <vt:lpstr>'RES_el-GR'!errmsg.DValProbReq</vt:lpstr>
      <vt:lpstr>'RES_en-US'!errmsg.DValProbReq</vt:lpstr>
      <vt:lpstr>'RES_es-ES'!errmsg.DValProbReq</vt:lpstr>
      <vt:lpstr>'RES_fi-FI'!errmsg.DValProbReq</vt:lpstr>
      <vt:lpstr>'RES_fr-FR'!errmsg.DValProbReq</vt:lpstr>
      <vt:lpstr>'RES_hr-HR'!errmsg.DValProbReq</vt:lpstr>
      <vt:lpstr>'RES_hu-HU'!errmsg.DValProbReq</vt:lpstr>
      <vt:lpstr>'RES_it-IT'!errmsg.DValProbReq</vt:lpstr>
      <vt:lpstr>'RES_ja-JP'!errmsg.DValProbReq</vt:lpstr>
      <vt:lpstr>'RES_ko-KR'!errmsg.DValProbReq</vt:lpstr>
      <vt:lpstr>'RES_lv-LV'!errmsg.DValProbReq</vt:lpstr>
      <vt:lpstr>'RES_nb-NO'!errmsg.DValProbReq</vt:lpstr>
      <vt:lpstr>'RES_nl-NL'!errmsg.DValProbReq</vt:lpstr>
      <vt:lpstr>'RES_pl-PL'!errmsg.DValProbReq</vt:lpstr>
      <vt:lpstr>'RES_pt-BR'!errmsg.DValProbReq</vt:lpstr>
      <vt:lpstr>'RES_pt-PT'!errmsg.DValProbReq</vt:lpstr>
      <vt:lpstr>'RES_ro-RO'!errmsg.DValProbReq</vt:lpstr>
      <vt:lpstr>'RES_ru-RU'!errmsg.DValProbReq</vt:lpstr>
      <vt:lpstr>'RES_sl-SI'!errmsg.DValProbReq</vt:lpstr>
      <vt:lpstr>'RES_sv-SE'!errmsg.DValProbReq</vt:lpstr>
      <vt:lpstr>'RES_tr-TR'!errmsg.DValProbReq</vt:lpstr>
      <vt:lpstr>'RES_zh-CN'!errmsg.DValProbReq</vt:lpstr>
      <vt:lpstr>'RES_zh-TW'!errmsg.DValProbReq</vt:lpstr>
      <vt:lpstr>'RES_cs-CZ'!errmsg.DValProbRows</vt:lpstr>
      <vt:lpstr>'RES_da-DK'!errmsg.DValProbRows</vt:lpstr>
      <vt:lpstr>'RES_de-DE'!errmsg.DValProbRows</vt:lpstr>
      <vt:lpstr>'RES_el-GR'!errmsg.DValProbRows</vt:lpstr>
      <vt:lpstr>'RES_en-US'!errmsg.DValProbRows</vt:lpstr>
      <vt:lpstr>'RES_es-ES'!errmsg.DValProbRows</vt:lpstr>
      <vt:lpstr>'RES_fi-FI'!errmsg.DValProbRows</vt:lpstr>
      <vt:lpstr>'RES_fr-FR'!errmsg.DValProbRows</vt:lpstr>
      <vt:lpstr>'RES_hr-HR'!errmsg.DValProbRows</vt:lpstr>
      <vt:lpstr>'RES_hu-HU'!errmsg.DValProbRows</vt:lpstr>
      <vt:lpstr>'RES_it-IT'!errmsg.DValProbRows</vt:lpstr>
      <vt:lpstr>'RES_ja-JP'!errmsg.DValProbRows</vt:lpstr>
      <vt:lpstr>'RES_ko-KR'!errmsg.DValProbRows</vt:lpstr>
      <vt:lpstr>'RES_lv-LV'!errmsg.DValProbRows</vt:lpstr>
      <vt:lpstr>'RES_nb-NO'!errmsg.DValProbRows</vt:lpstr>
      <vt:lpstr>'RES_nl-NL'!errmsg.DValProbRows</vt:lpstr>
      <vt:lpstr>'RES_pl-PL'!errmsg.DValProbRows</vt:lpstr>
      <vt:lpstr>'RES_pt-BR'!errmsg.DValProbRows</vt:lpstr>
      <vt:lpstr>'RES_pt-PT'!errmsg.DValProbRows</vt:lpstr>
      <vt:lpstr>'RES_ro-RO'!errmsg.DValProbRows</vt:lpstr>
      <vt:lpstr>'RES_ru-RU'!errmsg.DValProbRows</vt:lpstr>
      <vt:lpstr>'RES_sl-SI'!errmsg.DValProbRows</vt:lpstr>
      <vt:lpstr>'RES_sv-SE'!errmsg.DValProbRows</vt:lpstr>
      <vt:lpstr>'RES_tr-TR'!errmsg.DValProbRows</vt:lpstr>
      <vt:lpstr>'RES_zh-CN'!errmsg.DValProbRows</vt:lpstr>
      <vt:lpstr>'RES_zh-TW'!errmsg.DValProbRows</vt:lpstr>
      <vt:lpstr>'RES_cs-CZ'!errmsg.ExpMinDataStdErr</vt:lpstr>
      <vt:lpstr>'RES_da-DK'!errmsg.ExpMinDataStdErr</vt:lpstr>
      <vt:lpstr>'RES_de-DE'!errmsg.ExpMinDataStdErr</vt:lpstr>
      <vt:lpstr>'RES_el-GR'!errmsg.ExpMinDataStdErr</vt:lpstr>
      <vt:lpstr>'RES_en-US'!errmsg.ExpMinDataStdErr</vt:lpstr>
      <vt:lpstr>'RES_es-ES'!errmsg.ExpMinDataStdErr</vt:lpstr>
      <vt:lpstr>'RES_fi-FI'!errmsg.ExpMinDataStdErr</vt:lpstr>
      <vt:lpstr>'RES_fr-FR'!errmsg.ExpMinDataStdErr</vt:lpstr>
      <vt:lpstr>'RES_hr-HR'!errmsg.ExpMinDataStdErr</vt:lpstr>
      <vt:lpstr>'RES_hu-HU'!errmsg.ExpMinDataStdErr</vt:lpstr>
      <vt:lpstr>'RES_it-IT'!errmsg.ExpMinDataStdErr</vt:lpstr>
      <vt:lpstr>'RES_ja-JP'!errmsg.ExpMinDataStdErr</vt:lpstr>
      <vt:lpstr>'RES_ko-KR'!errmsg.ExpMinDataStdErr</vt:lpstr>
      <vt:lpstr>'RES_lv-LV'!errmsg.ExpMinDataStdErr</vt:lpstr>
      <vt:lpstr>'RES_nb-NO'!errmsg.ExpMinDataStdErr</vt:lpstr>
      <vt:lpstr>'RES_nl-NL'!errmsg.ExpMinDataStdErr</vt:lpstr>
      <vt:lpstr>'RES_pl-PL'!errmsg.ExpMinDataStdErr</vt:lpstr>
      <vt:lpstr>'RES_pt-BR'!errmsg.ExpMinDataStdErr</vt:lpstr>
      <vt:lpstr>'RES_pt-PT'!errmsg.ExpMinDataStdErr</vt:lpstr>
      <vt:lpstr>'RES_ro-RO'!errmsg.ExpMinDataStdErr</vt:lpstr>
      <vt:lpstr>'RES_ru-RU'!errmsg.ExpMinDataStdErr</vt:lpstr>
      <vt:lpstr>'RES_sl-SI'!errmsg.ExpMinDataStdErr</vt:lpstr>
      <vt:lpstr>'RES_sv-SE'!errmsg.ExpMinDataStdErr</vt:lpstr>
      <vt:lpstr>'RES_tr-TR'!errmsg.ExpMinDataStdErr</vt:lpstr>
      <vt:lpstr>'RES_zh-CN'!errmsg.ExpMinDataStdErr</vt:lpstr>
      <vt:lpstr>'RES_zh-TW'!errmsg.ExpMinDataStdErr</vt:lpstr>
      <vt:lpstr>'RES_cs-CZ'!errmsg.ExtraColsInX</vt:lpstr>
      <vt:lpstr>'RES_da-DK'!errmsg.ExtraColsInX</vt:lpstr>
      <vt:lpstr>'RES_de-DE'!errmsg.ExtraColsInX</vt:lpstr>
      <vt:lpstr>'RES_el-GR'!errmsg.ExtraColsInX</vt:lpstr>
      <vt:lpstr>'RES_en-US'!errmsg.ExtraColsInX</vt:lpstr>
      <vt:lpstr>'RES_es-ES'!errmsg.ExtraColsInX</vt:lpstr>
      <vt:lpstr>'RES_fi-FI'!errmsg.ExtraColsInX</vt:lpstr>
      <vt:lpstr>'RES_fr-FR'!errmsg.ExtraColsInX</vt:lpstr>
      <vt:lpstr>'RES_hr-HR'!errmsg.ExtraColsInX</vt:lpstr>
      <vt:lpstr>'RES_hu-HU'!errmsg.ExtraColsInX</vt:lpstr>
      <vt:lpstr>'RES_it-IT'!errmsg.ExtraColsInX</vt:lpstr>
      <vt:lpstr>'RES_ja-JP'!errmsg.ExtraColsInX</vt:lpstr>
      <vt:lpstr>'RES_ko-KR'!errmsg.ExtraColsInX</vt:lpstr>
      <vt:lpstr>'RES_lv-LV'!errmsg.ExtraColsInX</vt:lpstr>
      <vt:lpstr>'RES_nb-NO'!errmsg.ExtraColsInX</vt:lpstr>
      <vt:lpstr>'RES_nl-NL'!errmsg.ExtraColsInX</vt:lpstr>
      <vt:lpstr>'RES_pl-PL'!errmsg.ExtraColsInX</vt:lpstr>
      <vt:lpstr>'RES_pt-BR'!errmsg.ExtraColsInX</vt:lpstr>
      <vt:lpstr>'RES_pt-PT'!errmsg.ExtraColsInX</vt:lpstr>
      <vt:lpstr>'RES_ro-RO'!errmsg.ExtraColsInX</vt:lpstr>
      <vt:lpstr>'RES_ru-RU'!errmsg.ExtraColsInX</vt:lpstr>
      <vt:lpstr>'RES_sl-SI'!errmsg.ExtraColsInX</vt:lpstr>
      <vt:lpstr>'RES_sv-SE'!errmsg.ExtraColsInX</vt:lpstr>
      <vt:lpstr>'RES_tr-TR'!errmsg.ExtraColsInX</vt:lpstr>
      <vt:lpstr>'RES_zh-CN'!errmsg.ExtraColsInX</vt:lpstr>
      <vt:lpstr>'RES_zh-TW'!errmsg.ExtraColsInX</vt:lpstr>
      <vt:lpstr>'RES_cs-CZ'!errmsg.ExtraRandArgs</vt:lpstr>
      <vt:lpstr>'RES_da-DK'!errmsg.ExtraRandArgs</vt:lpstr>
      <vt:lpstr>'RES_de-DE'!errmsg.ExtraRandArgs</vt:lpstr>
      <vt:lpstr>'RES_el-GR'!errmsg.ExtraRandArgs</vt:lpstr>
      <vt:lpstr>'RES_en-US'!errmsg.ExtraRandArgs</vt:lpstr>
      <vt:lpstr>'RES_es-ES'!errmsg.ExtraRandArgs</vt:lpstr>
      <vt:lpstr>'RES_fi-FI'!errmsg.ExtraRandArgs</vt:lpstr>
      <vt:lpstr>'RES_fr-FR'!errmsg.ExtraRandArgs</vt:lpstr>
      <vt:lpstr>'RES_hr-HR'!errmsg.ExtraRandArgs</vt:lpstr>
      <vt:lpstr>'RES_hu-HU'!errmsg.ExtraRandArgs</vt:lpstr>
      <vt:lpstr>'RES_it-IT'!errmsg.ExtraRandArgs</vt:lpstr>
      <vt:lpstr>'RES_ja-JP'!errmsg.ExtraRandArgs</vt:lpstr>
      <vt:lpstr>'RES_ko-KR'!errmsg.ExtraRandArgs</vt:lpstr>
      <vt:lpstr>'RES_lv-LV'!errmsg.ExtraRandArgs</vt:lpstr>
      <vt:lpstr>'RES_nb-NO'!errmsg.ExtraRandArgs</vt:lpstr>
      <vt:lpstr>'RES_nl-NL'!errmsg.ExtraRandArgs</vt:lpstr>
      <vt:lpstr>'RES_pl-PL'!errmsg.ExtraRandArgs</vt:lpstr>
      <vt:lpstr>'RES_pt-BR'!errmsg.ExtraRandArgs</vt:lpstr>
      <vt:lpstr>'RES_pt-PT'!errmsg.ExtraRandArgs</vt:lpstr>
      <vt:lpstr>'RES_ro-RO'!errmsg.ExtraRandArgs</vt:lpstr>
      <vt:lpstr>'RES_ru-RU'!errmsg.ExtraRandArgs</vt:lpstr>
      <vt:lpstr>'RES_sl-SI'!errmsg.ExtraRandArgs</vt:lpstr>
      <vt:lpstr>'RES_sv-SE'!errmsg.ExtraRandArgs</vt:lpstr>
      <vt:lpstr>'RES_tr-TR'!errmsg.ExtraRandArgs</vt:lpstr>
      <vt:lpstr>'RES_zh-CN'!errmsg.ExtraRandArgs</vt:lpstr>
      <vt:lpstr>'RES_zh-TW'!errmsg.ExtraRandArgs</vt:lpstr>
      <vt:lpstr>'RES_cs-CZ'!errmsg.FourierCount</vt:lpstr>
      <vt:lpstr>'RES_da-DK'!errmsg.FourierCount</vt:lpstr>
      <vt:lpstr>'RES_de-DE'!errmsg.FourierCount</vt:lpstr>
      <vt:lpstr>'RES_el-GR'!errmsg.FourierCount</vt:lpstr>
      <vt:lpstr>'RES_en-US'!errmsg.FourierCount</vt:lpstr>
      <vt:lpstr>'RES_es-ES'!errmsg.FourierCount</vt:lpstr>
      <vt:lpstr>'RES_fi-FI'!errmsg.FourierCount</vt:lpstr>
      <vt:lpstr>'RES_fr-FR'!errmsg.FourierCount</vt:lpstr>
      <vt:lpstr>'RES_hr-HR'!errmsg.FourierCount</vt:lpstr>
      <vt:lpstr>'RES_hu-HU'!errmsg.FourierCount</vt:lpstr>
      <vt:lpstr>'RES_it-IT'!errmsg.FourierCount</vt:lpstr>
      <vt:lpstr>'RES_ja-JP'!errmsg.FourierCount</vt:lpstr>
      <vt:lpstr>'RES_ko-KR'!errmsg.FourierCount</vt:lpstr>
      <vt:lpstr>'RES_lv-LV'!errmsg.FourierCount</vt:lpstr>
      <vt:lpstr>'RES_nb-NO'!errmsg.FourierCount</vt:lpstr>
      <vt:lpstr>'RES_nl-NL'!errmsg.FourierCount</vt:lpstr>
      <vt:lpstr>'RES_pl-PL'!errmsg.FourierCount</vt:lpstr>
      <vt:lpstr>'RES_pt-BR'!errmsg.FourierCount</vt:lpstr>
      <vt:lpstr>'RES_pt-PT'!errmsg.FourierCount</vt:lpstr>
      <vt:lpstr>'RES_ro-RO'!errmsg.FourierCount</vt:lpstr>
      <vt:lpstr>'RES_ru-RU'!errmsg.FourierCount</vt:lpstr>
      <vt:lpstr>'RES_sl-SI'!errmsg.FourierCount</vt:lpstr>
      <vt:lpstr>'RES_sv-SE'!errmsg.FourierCount</vt:lpstr>
      <vt:lpstr>'RES_tr-TR'!errmsg.FourierCount</vt:lpstr>
      <vt:lpstr>'RES_zh-CN'!errmsg.FourierCount</vt:lpstr>
      <vt:lpstr>'RES_zh-TW'!errmsg.FourierCount</vt:lpstr>
      <vt:lpstr>'RES_cs-CZ'!errmsg.FourierCountMax</vt:lpstr>
      <vt:lpstr>'RES_da-DK'!errmsg.FourierCountMax</vt:lpstr>
      <vt:lpstr>'RES_de-DE'!errmsg.FourierCountMax</vt:lpstr>
      <vt:lpstr>'RES_el-GR'!errmsg.FourierCountMax</vt:lpstr>
      <vt:lpstr>'RES_en-US'!errmsg.FourierCountMax</vt:lpstr>
      <vt:lpstr>'RES_es-ES'!errmsg.FourierCountMax</vt:lpstr>
      <vt:lpstr>'RES_fi-FI'!errmsg.FourierCountMax</vt:lpstr>
      <vt:lpstr>'RES_fr-FR'!errmsg.FourierCountMax</vt:lpstr>
      <vt:lpstr>'RES_hr-HR'!errmsg.FourierCountMax</vt:lpstr>
      <vt:lpstr>'RES_hu-HU'!errmsg.FourierCountMax</vt:lpstr>
      <vt:lpstr>'RES_it-IT'!errmsg.FourierCountMax</vt:lpstr>
      <vt:lpstr>'RES_ja-JP'!errmsg.FourierCountMax</vt:lpstr>
      <vt:lpstr>'RES_ko-KR'!errmsg.FourierCountMax</vt:lpstr>
      <vt:lpstr>'RES_lv-LV'!errmsg.FourierCountMax</vt:lpstr>
      <vt:lpstr>'RES_nb-NO'!errmsg.FourierCountMax</vt:lpstr>
      <vt:lpstr>'RES_nl-NL'!errmsg.FourierCountMax</vt:lpstr>
      <vt:lpstr>'RES_pl-PL'!errmsg.FourierCountMax</vt:lpstr>
      <vt:lpstr>'RES_pt-BR'!errmsg.FourierCountMax</vt:lpstr>
      <vt:lpstr>'RES_pt-PT'!errmsg.FourierCountMax</vt:lpstr>
      <vt:lpstr>'RES_ro-RO'!errmsg.FourierCountMax</vt:lpstr>
      <vt:lpstr>'RES_ru-RU'!errmsg.FourierCountMax</vt:lpstr>
      <vt:lpstr>'RES_sl-SI'!errmsg.FourierCountMax</vt:lpstr>
      <vt:lpstr>'RES_sv-SE'!errmsg.FourierCountMax</vt:lpstr>
      <vt:lpstr>'RES_tr-TR'!errmsg.FourierCountMax</vt:lpstr>
      <vt:lpstr>'RES_zh-CN'!errmsg.FourierCountMax</vt:lpstr>
      <vt:lpstr>'RES_zh-TW'!errmsg.FourierCountMax</vt:lpstr>
      <vt:lpstr>'RES_cs-CZ'!errmsg.GrpByRC</vt:lpstr>
      <vt:lpstr>'RES_da-DK'!errmsg.GrpByRC</vt:lpstr>
      <vt:lpstr>'RES_de-DE'!errmsg.GrpByRC</vt:lpstr>
      <vt:lpstr>'RES_el-GR'!errmsg.GrpByRC</vt:lpstr>
      <vt:lpstr>'RES_en-US'!errmsg.GrpByRC</vt:lpstr>
      <vt:lpstr>'RES_es-ES'!errmsg.GrpByRC</vt:lpstr>
      <vt:lpstr>'RES_fi-FI'!errmsg.GrpByRC</vt:lpstr>
      <vt:lpstr>'RES_fr-FR'!errmsg.GrpByRC</vt:lpstr>
      <vt:lpstr>'RES_hr-HR'!errmsg.GrpByRC</vt:lpstr>
      <vt:lpstr>'RES_hu-HU'!errmsg.GrpByRC</vt:lpstr>
      <vt:lpstr>'RES_it-IT'!errmsg.GrpByRC</vt:lpstr>
      <vt:lpstr>'RES_ja-JP'!errmsg.GrpByRC</vt:lpstr>
      <vt:lpstr>'RES_ko-KR'!errmsg.GrpByRC</vt:lpstr>
      <vt:lpstr>'RES_lv-LV'!errmsg.GrpByRC</vt:lpstr>
      <vt:lpstr>'RES_nb-NO'!errmsg.GrpByRC</vt:lpstr>
      <vt:lpstr>'RES_nl-NL'!errmsg.GrpByRC</vt:lpstr>
      <vt:lpstr>'RES_pl-PL'!errmsg.GrpByRC</vt:lpstr>
      <vt:lpstr>'RES_pt-BR'!errmsg.GrpByRC</vt:lpstr>
      <vt:lpstr>'RES_pt-PT'!errmsg.GrpByRC</vt:lpstr>
      <vt:lpstr>'RES_ro-RO'!errmsg.GrpByRC</vt:lpstr>
      <vt:lpstr>'RES_ru-RU'!errmsg.GrpByRC</vt:lpstr>
      <vt:lpstr>'RES_sl-SI'!errmsg.GrpByRC</vt:lpstr>
      <vt:lpstr>'RES_sv-SE'!errmsg.GrpByRC</vt:lpstr>
      <vt:lpstr>'RES_tr-TR'!errmsg.GrpByRC</vt:lpstr>
      <vt:lpstr>'RES_zh-CN'!errmsg.GrpByRC</vt:lpstr>
      <vt:lpstr>'RES_zh-TW'!errmsg.GrpByRC</vt:lpstr>
      <vt:lpstr>'RES_cs-CZ'!errmsg.InOutOverlap</vt:lpstr>
      <vt:lpstr>'RES_da-DK'!errmsg.InOutOverlap</vt:lpstr>
      <vt:lpstr>'RES_de-DE'!errmsg.InOutOverlap</vt:lpstr>
      <vt:lpstr>'RES_el-GR'!errmsg.InOutOverlap</vt:lpstr>
      <vt:lpstr>'RES_en-US'!errmsg.InOutOverlap</vt:lpstr>
      <vt:lpstr>'RES_es-ES'!errmsg.InOutOverlap</vt:lpstr>
      <vt:lpstr>'RES_fi-FI'!errmsg.InOutOverlap</vt:lpstr>
      <vt:lpstr>'RES_fr-FR'!errmsg.InOutOverlap</vt:lpstr>
      <vt:lpstr>'RES_hr-HR'!errmsg.InOutOverlap</vt:lpstr>
      <vt:lpstr>'RES_hu-HU'!errmsg.InOutOverlap</vt:lpstr>
      <vt:lpstr>'RES_it-IT'!errmsg.InOutOverlap</vt:lpstr>
      <vt:lpstr>'RES_ja-JP'!errmsg.InOutOverlap</vt:lpstr>
      <vt:lpstr>'RES_ko-KR'!errmsg.InOutOverlap</vt:lpstr>
      <vt:lpstr>'RES_lv-LV'!errmsg.InOutOverlap</vt:lpstr>
      <vt:lpstr>'RES_nb-NO'!errmsg.InOutOverlap</vt:lpstr>
      <vt:lpstr>'RES_nl-NL'!errmsg.InOutOverlap</vt:lpstr>
      <vt:lpstr>'RES_pl-PL'!errmsg.InOutOverlap</vt:lpstr>
      <vt:lpstr>'RES_pt-BR'!errmsg.InOutOverlap</vt:lpstr>
      <vt:lpstr>'RES_pt-PT'!errmsg.InOutOverlap</vt:lpstr>
      <vt:lpstr>'RES_ro-RO'!errmsg.InOutOverlap</vt:lpstr>
      <vt:lpstr>'RES_ru-RU'!errmsg.InOutOverlap</vt:lpstr>
      <vt:lpstr>'RES_sl-SI'!errmsg.InOutOverlap</vt:lpstr>
      <vt:lpstr>'RES_sv-SE'!errmsg.InOutOverlap</vt:lpstr>
      <vt:lpstr>'RES_tr-TR'!errmsg.InOutOverlap</vt:lpstr>
      <vt:lpstr>'RES_zh-CN'!errmsg.InOutOverlap</vt:lpstr>
      <vt:lpstr>'RES_zh-TW'!errmsg.InOutOverlap</vt:lpstr>
      <vt:lpstr>'RES_cs-CZ'!errmsg.InpRgAtLeast2Blks</vt:lpstr>
      <vt:lpstr>'RES_da-DK'!errmsg.InpRgAtLeast2Blks</vt:lpstr>
      <vt:lpstr>'RES_de-DE'!errmsg.InpRgAtLeast2Blks</vt:lpstr>
      <vt:lpstr>'RES_el-GR'!errmsg.InpRgAtLeast2Blks</vt:lpstr>
      <vt:lpstr>'RES_en-US'!errmsg.InpRgAtLeast2Blks</vt:lpstr>
      <vt:lpstr>'RES_es-ES'!errmsg.InpRgAtLeast2Blks</vt:lpstr>
      <vt:lpstr>'RES_fi-FI'!errmsg.InpRgAtLeast2Blks</vt:lpstr>
      <vt:lpstr>'RES_fr-FR'!errmsg.InpRgAtLeast2Blks</vt:lpstr>
      <vt:lpstr>'RES_hr-HR'!errmsg.InpRgAtLeast2Blks</vt:lpstr>
      <vt:lpstr>'RES_hu-HU'!errmsg.InpRgAtLeast2Blks</vt:lpstr>
      <vt:lpstr>'RES_it-IT'!errmsg.InpRgAtLeast2Blks</vt:lpstr>
      <vt:lpstr>'RES_ja-JP'!errmsg.InpRgAtLeast2Blks</vt:lpstr>
      <vt:lpstr>'RES_ko-KR'!errmsg.InpRgAtLeast2Blks</vt:lpstr>
      <vt:lpstr>'RES_lv-LV'!errmsg.InpRgAtLeast2Blks</vt:lpstr>
      <vt:lpstr>'RES_nb-NO'!errmsg.InpRgAtLeast2Blks</vt:lpstr>
      <vt:lpstr>'RES_nl-NL'!errmsg.InpRgAtLeast2Blks</vt:lpstr>
      <vt:lpstr>'RES_pl-PL'!errmsg.InpRgAtLeast2Blks</vt:lpstr>
      <vt:lpstr>'RES_pt-BR'!errmsg.InpRgAtLeast2Blks</vt:lpstr>
      <vt:lpstr>'RES_pt-PT'!errmsg.InpRgAtLeast2Blks</vt:lpstr>
      <vt:lpstr>'RES_ro-RO'!errmsg.InpRgAtLeast2Blks</vt:lpstr>
      <vt:lpstr>'RES_ru-RU'!errmsg.InpRgAtLeast2Blks</vt:lpstr>
      <vt:lpstr>'RES_sl-SI'!errmsg.InpRgAtLeast2Blks</vt:lpstr>
      <vt:lpstr>'RES_sv-SE'!errmsg.InpRgAtLeast2Blks</vt:lpstr>
      <vt:lpstr>'RES_tr-TR'!errmsg.InpRgAtLeast2Blks</vt:lpstr>
      <vt:lpstr>'RES_zh-CN'!errmsg.InpRgAtLeast2Blks</vt:lpstr>
      <vt:lpstr>'RES_zh-TW'!errmsg.InpRgAtLeast2Blks</vt:lpstr>
      <vt:lpstr>'RES_cs-CZ'!errmsg.InpRgHasNoData</vt:lpstr>
      <vt:lpstr>'RES_da-DK'!errmsg.InpRgHasNoData</vt:lpstr>
      <vt:lpstr>'RES_de-DE'!errmsg.InpRgHasNoData</vt:lpstr>
      <vt:lpstr>'RES_el-GR'!errmsg.InpRgHasNoData</vt:lpstr>
      <vt:lpstr>'RES_en-US'!errmsg.InpRgHasNoData</vt:lpstr>
      <vt:lpstr>'RES_es-ES'!errmsg.InpRgHasNoData</vt:lpstr>
      <vt:lpstr>'RES_fi-FI'!errmsg.InpRgHasNoData</vt:lpstr>
      <vt:lpstr>'RES_fr-FR'!errmsg.InpRgHasNoData</vt:lpstr>
      <vt:lpstr>'RES_hr-HR'!errmsg.InpRgHasNoData</vt:lpstr>
      <vt:lpstr>'RES_hu-HU'!errmsg.InpRgHasNoData</vt:lpstr>
      <vt:lpstr>'RES_it-IT'!errmsg.InpRgHasNoData</vt:lpstr>
      <vt:lpstr>'RES_ja-JP'!errmsg.InpRgHasNoData</vt:lpstr>
      <vt:lpstr>'RES_ko-KR'!errmsg.InpRgHasNoData</vt:lpstr>
      <vt:lpstr>'RES_lv-LV'!errmsg.InpRgHasNoData</vt:lpstr>
      <vt:lpstr>'RES_nb-NO'!errmsg.InpRgHasNoData</vt:lpstr>
      <vt:lpstr>'RES_nl-NL'!errmsg.InpRgHasNoData</vt:lpstr>
      <vt:lpstr>'RES_pl-PL'!errmsg.InpRgHasNoData</vt:lpstr>
      <vt:lpstr>'RES_pt-BR'!errmsg.InpRgHasNoData</vt:lpstr>
      <vt:lpstr>'RES_pt-PT'!errmsg.InpRgHasNoData</vt:lpstr>
      <vt:lpstr>'RES_ro-RO'!errmsg.InpRgHasNoData</vt:lpstr>
      <vt:lpstr>'RES_ru-RU'!errmsg.InpRgHasNoData</vt:lpstr>
      <vt:lpstr>'RES_sl-SI'!errmsg.InpRgHasNoData</vt:lpstr>
      <vt:lpstr>'RES_sv-SE'!errmsg.InpRgHasNoData</vt:lpstr>
      <vt:lpstr>'RES_tr-TR'!errmsg.InpRgHasNoData</vt:lpstr>
      <vt:lpstr>'RES_zh-CN'!errmsg.InpRgHasNoData</vt:lpstr>
      <vt:lpstr>'RES_zh-TW'!errmsg.InpRgHasNoData</vt:lpstr>
      <vt:lpstr>'RES_cs-CZ'!errmsg.InpRgMustBeRef</vt:lpstr>
      <vt:lpstr>'RES_da-DK'!errmsg.InpRgMustBeRef</vt:lpstr>
      <vt:lpstr>'RES_de-DE'!errmsg.InpRgMustBeRef</vt:lpstr>
      <vt:lpstr>'RES_el-GR'!errmsg.InpRgMustBeRef</vt:lpstr>
      <vt:lpstr>'RES_en-US'!errmsg.InpRgMustBeRef</vt:lpstr>
      <vt:lpstr>'RES_es-ES'!errmsg.InpRgMustBeRef</vt:lpstr>
      <vt:lpstr>'RES_fi-FI'!errmsg.InpRgMustBeRef</vt:lpstr>
      <vt:lpstr>'RES_fr-FR'!errmsg.InpRgMustBeRef</vt:lpstr>
      <vt:lpstr>'RES_hr-HR'!errmsg.InpRgMustBeRef</vt:lpstr>
      <vt:lpstr>'RES_hu-HU'!errmsg.InpRgMustBeRef</vt:lpstr>
      <vt:lpstr>'RES_it-IT'!errmsg.InpRgMustBeRef</vt:lpstr>
      <vt:lpstr>'RES_ja-JP'!errmsg.InpRgMustBeRef</vt:lpstr>
      <vt:lpstr>'RES_ko-KR'!errmsg.InpRgMustBeRef</vt:lpstr>
      <vt:lpstr>'RES_lv-LV'!errmsg.InpRgMustBeRef</vt:lpstr>
      <vt:lpstr>'RES_nb-NO'!errmsg.InpRgMustBeRef</vt:lpstr>
      <vt:lpstr>'RES_nl-NL'!errmsg.InpRgMustBeRef</vt:lpstr>
      <vt:lpstr>'RES_pl-PL'!errmsg.InpRgMustBeRef</vt:lpstr>
      <vt:lpstr>'RES_pt-BR'!errmsg.InpRgMustBeRef</vt:lpstr>
      <vt:lpstr>'RES_pt-PT'!errmsg.InpRgMustBeRef</vt:lpstr>
      <vt:lpstr>'RES_ro-RO'!errmsg.InpRgMustBeRef</vt:lpstr>
      <vt:lpstr>'RES_ru-RU'!errmsg.InpRgMustBeRef</vt:lpstr>
      <vt:lpstr>'RES_sl-SI'!errmsg.InpRgMustBeRef</vt:lpstr>
      <vt:lpstr>'RES_sv-SE'!errmsg.InpRgMustBeRef</vt:lpstr>
      <vt:lpstr>'RES_tr-TR'!errmsg.InpRgMustBeRef</vt:lpstr>
      <vt:lpstr>'RES_zh-CN'!errmsg.InpRgMustBeRef</vt:lpstr>
      <vt:lpstr>'RES_zh-TW'!errmsg.InpRgMustBeRef</vt:lpstr>
      <vt:lpstr>'RES_cs-CZ'!errmsg.InpRgRequired</vt:lpstr>
      <vt:lpstr>'RES_da-DK'!errmsg.InpRgRequired</vt:lpstr>
      <vt:lpstr>'RES_de-DE'!errmsg.InpRgRequired</vt:lpstr>
      <vt:lpstr>'RES_el-GR'!errmsg.InpRgRequired</vt:lpstr>
      <vt:lpstr>'RES_en-US'!errmsg.InpRgRequired</vt:lpstr>
      <vt:lpstr>'RES_es-ES'!errmsg.InpRgRequired</vt:lpstr>
      <vt:lpstr>'RES_fi-FI'!errmsg.InpRgRequired</vt:lpstr>
      <vt:lpstr>'RES_fr-FR'!errmsg.InpRgRequired</vt:lpstr>
      <vt:lpstr>'RES_hr-HR'!errmsg.InpRgRequired</vt:lpstr>
      <vt:lpstr>'RES_hu-HU'!errmsg.InpRgRequired</vt:lpstr>
      <vt:lpstr>'RES_it-IT'!errmsg.InpRgRequired</vt:lpstr>
      <vt:lpstr>'RES_ja-JP'!errmsg.InpRgRequired</vt:lpstr>
      <vt:lpstr>'RES_ko-KR'!errmsg.InpRgRequired</vt:lpstr>
      <vt:lpstr>'RES_lv-LV'!errmsg.InpRgRequired</vt:lpstr>
      <vt:lpstr>'RES_nb-NO'!errmsg.InpRgRequired</vt:lpstr>
      <vt:lpstr>'RES_nl-NL'!errmsg.InpRgRequired</vt:lpstr>
      <vt:lpstr>'RES_pl-PL'!errmsg.InpRgRequired</vt:lpstr>
      <vt:lpstr>'RES_pt-BR'!errmsg.InpRgRequired</vt:lpstr>
      <vt:lpstr>'RES_pt-PT'!errmsg.InpRgRequired</vt:lpstr>
      <vt:lpstr>'RES_ro-RO'!errmsg.InpRgRequired</vt:lpstr>
      <vt:lpstr>'RES_ru-RU'!errmsg.InpRgRequired</vt:lpstr>
      <vt:lpstr>'RES_sl-SI'!errmsg.InpRgRequired</vt:lpstr>
      <vt:lpstr>'RES_sv-SE'!errmsg.InpRgRequired</vt:lpstr>
      <vt:lpstr>'RES_tr-TR'!errmsg.InpRgRequired</vt:lpstr>
      <vt:lpstr>'RES_zh-CN'!errmsg.InpRgRequired</vt:lpstr>
      <vt:lpstr>'RES_zh-TW'!errmsg.InpRgRequired</vt:lpstr>
      <vt:lpstr>'RES_cs-CZ'!errmsg.IntervalNumeric</vt:lpstr>
      <vt:lpstr>'RES_da-DK'!errmsg.IntervalNumeric</vt:lpstr>
      <vt:lpstr>'RES_de-DE'!errmsg.IntervalNumeric</vt:lpstr>
      <vt:lpstr>'RES_el-GR'!errmsg.IntervalNumeric</vt:lpstr>
      <vt:lpstr>'RES_en-US'!errmsg.IntervalNumeric</vt:lpstr>
      <vt:lpstr>'RES_es-ES'!errmsg.IntervalNumeric</vt:lpstr>
      <vt:lpstr>'RES_fi-FI'!errmsg.IntervalNumeric</vt:lpstr>
      <vt:lpstr>'RES_fr-FR'!errmsg.IntervalNumeric</vt:lpstr>
      <vt:lpstr>'RES_hr-HR'!errmsg.IntervalNumeric</vt:lpstr>
      <vt:lpstr>'RES_hu-HU'!errmsg.IntervalNumeric</vt:lpstr>
      <vt:lpstr>'RES_it-IT'!errmsg.IntervalNumeric</vt:lpstr>
      <vt:lpstr>'RES_ja-JP'!errmsg.IntervalNumeric</vt:lpstr>
      <vt:lpstr>'RES_ko-KR'!errmsg.IntervalNumeric</vt:lpstr>
      <vt:lpstr>'RES_lv-LV'!errmsg.IntervalNumeric</vt:lpstr>
      <vt:lpstr>'RES_nb-NO'!errmsg.IntervalNumeric</vt:lpstr>
      <vt:lpstr>'RES_nl-NL'!errmsg.IntervalNumeric</vt:lpstr>
      <vt:lpstr>'RES_pl-PL'!errmsg.IntervalNumeric</vt:lpstr>
      <vt:lpstr>'RES_pt-BR'!errmsg.IntervalNumeric</vt:lpstr>
      <vt:lpstr>'RES_pt-PT'!errmsg.IntervalNumeric</vt:lpstr>
      <vt:lpstr>'RES_ro-RO'!errmsg.IntervalNumeric</vt:lpstr>
      <vt:lpstr>'RES_ru-RU'!errmsg.IntervalNumeric</vt:lpstr>
      <vt:lpstr>'RES_sl-SI'!errmsg.IntervalNumeric</vt:lpstr>
      <vt:lpstr>'RES_sv-SE'!errmsg.IntervalNumeric</vt:lpstr>
      <vt:lpstr>'RES_tr-TR'!errmsg.IntervalNumeric</vt:lpstr>
      <vt:lpstr>'RES_zh-CN'!errmsg.IntervalNumeric</vt:lpstr>
      <vt:lpstr>'RES_zh-TW'!errmsg.IntervalNumeric</vt:lpstr>
      <vt:lpstr>'RES_cs-CZ'!errmsg.IntervalPos</vt:lpstr>
      <vt:lpstr>'RES_da-DK'!errmsg.IntervalPos</vt:lpstr>
      <vt:lpstr>'RES_de-DE'!errmsg.IntervalPos</vt:lpstr>
      <vt:lpstr>'RES_el-GR'!errmsg.IntervalPos</vt:lpstr>
      <vt:lpstr>'RES_en-US'!errmsg.IntervalPos</vt:lpstr>
      <vt:lpstr>'RES_es-ES'!errmsg.IntervalPos</vt:lpstr>
      <vt:lpstr>'RES_fi-FI'!errmsg.IntervalPos</vt:lpstr>
      <vt:lpstr>'RES_fr-FR'!errmsg.IntervalPos</vt:lpstr>
      <vt:lpstr>'RES_hr-HR'!errmsg.IntervalPos</vt:lpstr>
      <vt:lpstr>'RES_hu-HU'!errmsg.IntervalPos</vt:lpstr>
      <vt:lpstr>'RES_it-IT'!errmsg.IntervalPos</vt:lpstr>
      <vt:lpstr>'RES_ja-JP'!errmsg.IntervalPos</vt:lpstr>
      <vt:lpstr>'RES_ko-KR'!errmsg.IntervalPos</vt:lpstr>
      <vt:lpstr>'RES_lv-LV'!errmsg.IntervalPos</vt:lpstr>
      <vt:lpstr>'RES_nb-NO'!errmsg.IntervalPos</vt:lpstr>
      <vt:lpstr>'RES_nl-NL'!errmsg.IntervalPos</vt:lpstr>
      <vt:lpstr>'RES_pl-PL'!errmsg.IntervalPos</vt:lpstr>
      <vt:lpstr>'RES_pt-BR'!errmsg.IntervalPos</vt:lpstr>
      <vt:lpstr>'RES_pt-PT'!errmsg.IntervalPos</vt:lpstr>
      <vt:lpstr>'RES_ro-RO'!errmsg.IntervalPos</vt:lpstr>
      <vt:lpstr>'RES_ru-RU'!errmsg.IntervalPos</vt:lpstr>
      <vt:lpstr>'RES_sl-SI'!errmsg.IntervalPos</vt:lpstr>
      <vt:lpstr>'RES_sv-SE'!errmsg.IntervalPos</vt:lpstr>
      <vt:lpstr>'RES_tr-TR'!errmsg.IntervalPos</vt:lpstr>
      <vt:lpstr>'RES_zh-CN'!errmsg.IntervalPos</vt:lpstr>
      <vt:lpstr>'RES_zh-TW'!errmsg.IntervalPos</vt:lpstr>
      <vt:lpstr>'RES_cs-CZ'!errmsg.IntervalVsData</vt:lpstr>
      <vt:lpstr>'RES_da-DK'!errmsg.IntervalVsData</vt:lpstr>
      <vt:lpstr>'RES_de-DE'!errmsg.IntervalVsData</vt:lpstr>
      <vt:lpstr>'RES_el-GR'!errmsg.IntervalVsData</vt:lpstr>
      <vt:lpstr>'RES_en-US'!errmsg.IntervalVsData</vt:lpstr>
      <vt:lpstr>'RES_es-ES'!errmsg.IntervalVsData</vt:lpstr>
      <vt:lpstr>'RES_fi-FI'!errmsg.IntervalVsData</vt:lpstr>
      <vt:lpstr>'RES_fr-FR'!errmsg.IntervalVsData</vt:lpstr>
      <vt:lpstr>'RES_hr-HR'!errmsg.IntervalVsData</vt:lpstr>
      <vt:lpstr>'RES_hu-HU'!errmsg.IntervalVsData</vt:lpstr>
      <vt:lpstr>'RES_it-IT'!errmsg.IntervalVsData</vt:lpstr>
      <vt:lpstr>'RES_ja-JP'!errmsg.IntervalVsData</vt:lpstr>
      <vt:lpstr>'RES_ko-KR'!errmsg.IntervalVsData</vt:lpstr>
      <vt:lpstr>'RES_lv-LV'!errmsg.IntervalVsData</vt:lpstr>
      <vt:lpstr>'RES_nb-NO'!errmsg.IntervalVsData</vt:lpstr>
      <vt:lpstr>'RES_nl-NL'!errmsg.IntervalVsData</vt:lpstr>
      <vt:lpstr>'RES_pl-PL'!errmsg.IntervalVsData</vt:lpstr>
      <vt:lpstr>'RES_pt-BR'!errmsg.IntervalVsData</vt:lpstr>
      <vt:lpstr>'RES_pt-PT'!errmsg.IntervalVsData</vt:lpstr>
      <vt:lpstr>'RES_ro-RO'!errmsg.IntervalVsData</vt:lpstr>
      <vt:lpstr>'RES_ru-RU'!errmsg.IntervalVsData</vt:lpstr>
      <vt:lpstr>'RES_sl-SI'!errmsg.IntervalVsData</vt:lpstr>
      <vt:lpstr>'RES_sv-SE'!errmsg.IntervalVsData</vt:lpstr>
      <vt:lpstr>'RES_tr-TR'!errmsg.IntervalVsData</vt:lpstr>
      <vt:lpstr>'RES_zh-CN'!errmsg.IntervalVsData</vt:lpstr>
      <vt:lpstr>'RES_zh-TW'!errmsg.IntervalVsData</vt:lpstr>
      <vt:lpstr>'RES_cs-CZ'!errmsg.InvalidComplexInp</vt:lpstr>
      <vt:lpstr>'RES_da-DK'!errmsg.InvalidComplexInp</vt:lpstr>
      <vt:lpstr>'RES_de-DE'!errmsg.InvalidComplexInp</vt:lpstr>
      <vt:lpstr>'RES_el-GR'!errmsg.InvalidComplexInp</vt:lpstr>
      <vt:lpstr>'RES_en-US'!errmsg.InvalidComplexInp</vt:lpstr>
      <vt:lpstr>'RES_es-ES'!errmsg.InvalidComplexInp</vt:lpstr>
      <vt:lpstr>'RES_fi-FI'!errmsg.InvalidComplexInp</vt:lpstr>
      <vt:lpstr>'RES_fr-FR'!errmsg.InvalidComplexInp</vt:lpstr>
      <vt:lpstr>'RES_hr-HR'!errmsg.InvalidComplexInp</vt:lpstr>
      <vt:lpstr>'RES_hu-HU'!errmsg.InvalidComplexInp</vt:lpstr>
      <vt:lpstr>'RES_it-IT'!errmsg.InvalidComplexInp</vt:lpstr>
      <vt:lpstr>'RES_ja-JP'!errmsg.InvalidComplexInp</vt:lpstr>
      <vt:lpstr>'RES_ko-KR'!errmsg.InvalidComplexInp</vt:lpstr>
      <vt:lpstr>'RES_lv-LV'!errmsg.InvalidComplexInp</vt:lpstr>
      <vt:lpstr>'RES_nb-NO'!errmsg.InvalidComplexInp</vt:lpstr>
      <vt:lpstr>'RES_nl-NL'!errmsg.InvalidComplexInp</vt:lpstr>
      <vt:lpstr>'RES_pl-PL'!errmsg.InvalidComplexInp</vt:lpstr>
      <vt:lpstr>'RES_pt-BR'!errmsg.InvalidComplexInp</vt:lpstr>
      <vt:lpstr>'RES_pt-PT'!errmsg.InvalidComplexInp</vt:lpstr>
      <vt:lpstr>'RES_ro-RO'!errmsg.InvalidComplexInp</vt:lpstr>
      <vt:lpstr>'RES_ru-RU'!errmsg.InvalidComplexInp</vt:lpstr>
      <vt:lpstr>'RES_sl-SI'!errmsg.InvalidComplexInp</vt:lpstr>
      <vt:lpstr>'RES_sv-SE'!errmsg.InvalidComplexInp</vt:lpstr>
      <vt:lpstr>'RES_tr-TR'!errmsg.InvalidComplexInp</vt:lpstr>
      <vt:lpstr>'RES_zh-CN'!errmsg.InvalidComplexInp</vt:lpstr>
      <vt:lpstr>'RES_zh-TW'!errmsg.InvalidComplexInp</vt:lpstr>
      <vt:lpstr>'RES_cs-CZ'!errmsg.InvalidComplexSign</vt:lpstr>
      <vt:lpstr>'RES_da-DK'!errmsg.InvalidComplexSign</vt:lpstr>
      <vt:lpstr>'RES_de-DE'!errmsg.InvalidComplexSign</vt:lpstr>
      <vt:lpstr>'RES_el-GR'!errmsg.InvalidComplexSign</vt:lpstr>
      <vt:lpstr>'RES_en-US'!errmsg.InvalidComplexSign</vt:lpstr>
      <vt:lpstr>'RES_es-ES'!errmsg.InvalidComplexSign</vt:lpstr>
      <vt:lpstr>'RES_fi-FI'!errmsg.InvalidComplexSign</vt:lpstr>
      <vt:lpstr>'RES_fr-FR'!errmsg.InvalidComplexSign</vt:lpstr>
      <vt:lpstr>'RES_hr-HR'!errmsg.InvalidComplexSign</vt:lpstr>
      <vt:lpstr>'RES_hu-HU'!errmsg.InvalidComplexSign</vt:lpstr>
      <vt:lpstr>'RES_it-IT'!errmsg.InvalidComplexSign</vt:lpstr>
      <vt:lpstr>'RES_ja-JP'!errmsg.InvalidComplexSign</vt:lpstr>
      <vt:lpstr>'RES_ko-KR'!errmsg.InvalidComplexSign</vt:lpstr>
      <vt:lpstr>'RES_lv-LV'!errmsg.InvalidComplexSign</vt:lpstr>
      <vt:lpstr>'RES_nb-NO'!errmsg.InvalidComplexSign</vt:lpstr>
      <vt:lpstr>'RES_nl-NL'!errmsg.InvalidComplexSign</vt:lpstr>
      <vt:lpstr>'RES_pl-PL'!errmsg.InvalidComplexSign</vt:lpstr>
      <vt:lpstr>'RES_pt-BR'!errmsg.InvalidComplexSign</vt:lpstr>
      <vt:lpstr>'RES_pt-PT'!errmsg.InvalidComplexSign</vt:lpstr>
      <vt:lpstr>'RES_ro-RO'!errmsg.InvalidComplexSign</vt:lpstr>
      <vt:lpstr>'RES_ru-RU'!errmsg.InvalidComplexSign</vt:lpstr>
      <vt:lpstr>'RES_sl-SI'!errmsg.InvalidComplexSign</vt:lpstr>
      <vt:lpstr>'RES_sv-SE'!errmsg.InvalidComplexSign</vt:lpstr>
      <vt:lpstr>'RES_tr-TR'!errmsg.InvalidComplexSign</vt:lpstr>
      <vt:lpstr>'RES_zh-CN'!errmsg.InvalidComplexSign</vt:lpstr>
      <vt:lpstr>'RES_zh-TW'!errmsg.InvalidComplexSign</vt:lpstr>
      <vt:lpstr>'RES_cs-CZ'!errmsg.KLargePos</vt:lpstr>
      <vt:lpstr>'RES_da-DK'!errmsg.KLargePos</vt:lpstr>
      <vt:lpstr>'RES_de-DE'!errmsg.KLargePos</vt:lpstr>
      <vt:lpstr>'RES_el-GR'!errmsg.KLargePos</vt:lpstr>
      <vt:lpstr>'RES_en-US'!errmsg.KLargePos</vt:lpstr>
      <vt:lpstr>'RES_es-ES'!errmsg.KLargePos</vt:lpstr>
      <vt:lpstr>'RES_fi-FI'!errmsg.KLargePos</vt:lpstr>
      <vt:lpstr>'RES_fr-FR'!errmsg.KLargePos</vt:lpstr>
      <vt:lpstr>'RES_hr-HR'!errmsg.KLargePos</vt:lpstr>
      <vt:lpstr>'RES_hu-HU'!errmsg.KLargePos</vt:lpstr>
      <vt:lpstr>'RES_it-IT'!errmsg.KLargePos</vt:lpstr>
      <vt:lpstr>'RES_ja-JP'!errmsg.KLargePos</vt:lpstr>
      <vt:lpstr>'RES_ko-KR'!errmsg.KLargePos</vt:lpstr>
      <vt:lpstr>'RES_lv-LV'!errmsg.KLargePos</vt:lpstr>
      <vt:lpstr>'RES_nb-NO'!errmsg.KLargePos</vt:lpstr>
      <vt:lpstr>'RES_nl-NL'!errmsg.KLargePos</vt:lpstr>
      <vt:lpstr>'RES_pl-PL'!errmsg.KLargePos</vt:lpstr>
      <vt:lpstr>'RES_pt-BR'!errmsg.KLargePos</vt:lpstr>
      <vt:lpstr>'RES_pt-PT'!errmsg.KLargePos</vt:lpstr>
      <vt:lpstr>'RES_ro-RO'!errmsg.KLargePos</vt:lpstr>
      <vt:lpstr>'RES_ru-RU'!errmsg.KLargePos</vt:lpstr>
      <vt:lpstr>'RES_sl-SI'!errmsg.KLargePos</vt:lpstr>
      <vt:lpstr>'RES_sv-SE'!errmsg.KLargePos</vt:lpstr>
      <vt:lpstr>'RES_tr-TR'!errmsg.KLargePos</vt:lpstr>
      <vt:lpstr>'RES_zh-CN'!errmsg.KLargePos</vt:lpstr>
      <vt:lpstr>'RES_zh-TW'!errmsg.KLargePos</vt:lpstr>
      <vt:lpstr>'RES_cs-CZ'!errmsg.KSmallPos</vt:lpstr>
      <vt:lpstr>'RES_da-DK'!errmsg.KSmallPos</vt:lpstr>
      <vt:lpstr>'RES_de-DE'!errmsg.KSmallPos</vt:lpstr>
      <vt:lpstr>'RES_el-GR'!errmsg.KSmallPos</vt:lpstr>
      <vt:lpstr>'RES_en-US'!errmsg.KSmallPos</vt:lpstr>
      <vt:lpstr>'RES_es-ES'!errmsg.KSmallPos</vt:lpstr>
      <vt:lpstr>'RES_fi-FI'!errmsg.KSmallPos</vt:lpstr>
      <vt:lpstr>'RES_fr-FR'!errmsg.KSmallPos</vt:lpstr>
      <vt:lpstr>'RES_hr-HR'!errmsg.KSmallPos</vt:lpstr>
      <vt:lpstr>'RES_hu-HU'!errmsg.KSmallPos</vt:lpstr>
      <vt:lpstr>'RES_it-IT'!errmsg.KSmallPos</vt:lpstr>
      <vt:lpstr>'RES_ja-JP'!errmsg.KSmallPos</vt:lpstr>
      <vt:lpstr>'RES_ko-KR'!errmsg.KSmallPos</vt:lpstr>
      <vt:lpstr>'RES_lv-LV'!errmsg.KSmallPos</vt:lpstr>
      <vt:lpstr>'RES_nb-NO'!errmsg.KSmallPos</vt:lpstr>
      <vt:lpstr>'RES_nl-NL'!errmsg.KSmallPos</vt:lpstr>
      <vt:lpstr>'RES_pl-PL'!errmsg.KSmallPos</vt:lpstr>
      <vt:lpstr>'RES_pt-BR'!errmsg.KSmallPos</vt:lpstr>
      <vt:lpstr>'RES_pt-PT'!errmsg.KSmallPos</vt:lpstr>
      <vt:lpstr>'RES_ro-RO'!errmsg.KSmallPos</vt:lpstr>
      <vt:lpstr>'RES_ru-RU'!errmsg.KSmallPos</vt:lpstr>
      <vt:lpstr>'RES_sl-SI'!errmsg.KSmallPos</vt:lpstr>
      <vt:lpstr>'RES_sv-SE'!errmsg.KSmallPos</vt:lpstr>
      <vt:lpstr>'RES_tr-TR'!errmsg.KSmallPos</vt:lpstr>
      <vt:lpstr>'RES_zh-CN'!errmsg.KSmallPos</vt:lpstr>
      <vt:lpstr>'RES_zh-TW'!errmsg.KSmallPos</vt:lpstr>
      <vt:lpstr>'RES_cs-CZ'!errmsg.LinestErr</vt:lpstr>
      <vt:lpstr>'RES_da-DK'!errmsg.LinestErr</vt:lpstr>
      <vt:lpstr>'RES_de-DE'!errmsg.LinestErr</vt:lpstr>
      <vt:lpstr>'RES_el-GR'!errmsg.LinestErr</vt:lpstr>
      <vt:lpstr>'RES_en-US'!errmsg.LinestErr</vt:lpstr>
      <vt:lpstr>'RES_es-ES'!errmsg.LinestErr</vt:lpstr>
      <vt:lpstr>'RES_fi-FI'!errmsg.LinestErr</vt:lpstr>
      <vt:lpstr>'RES_fr-FR'!errmsg.LinestErr</vt:lpstr>
      <vt:lpstr>'RES_hr-HR'!errmsg.LinestErr</vt:lpstr>
      <vt:lpstr>'RES_hu-HU'!errmsg.LinestErr</vt:lpstr>
      <vt:lpstr>'RES_it-IT'!errmsg.LinestErr</vt:lpstr>
      <vt:lpstr>'RES_ja-JP'!errmsg.LinestErr</vt:lpstr>
      <vt:lpstr>'RES_ko-KR'!errmsg.LinestErr</vt:lpstr>
      <vt:lpstr>'RES_lv-LV'!errmsg.LinestErr</vt:lpstr>
      <vt:lpstr>'RES_nb-NO'!errmsg.LinestErr</vt:lpstr>
      <vt:lpstr>'RES_nl-NL'!errmsg.LinestErr</vt:lpstr>
      <vt:lpstr>'RES_pl-PL'!errmsg.LinestErr</vt:lpstr>
      <vt:lpstr>'RES_pt-BR'!errmsg.LinestErr</vt:lpstr>
      <vt:lpstr>'RES_pt-PT'!errmsg.LinestErr</vt:lpstr>
      <vt:lpstr>'RES_ro-RO'!errmsg.LinestErr</vt:lpstr>
      <vt:lpstr>'RES_ru-RU'!errmsg.LinestErr</vt:lpstr>
      <vt:lpstr>'RES_sl-SI'!errmsg.LinestErr</vt:lpstr>
      <vt:lpstr>'RES_sv-SE'!errmsg.LinestErr</vt:lpstr>
      <vt:lpstr>'RES_tr-TR'!errmsg.LinestErr</vt:lpstr>
      <vt:lpstr>'RES_zh-CN'!errmsg.LinestErr</vt:lpstr>
      <vt:lpstr>'RES_zh-TW'!errmsg.LinestErr</vt:lpstr>
      <vt:lpstr>'RES_cs-CZ'!errmsg.MeanDiffNumeric</vt:lpstr>
      <vt:lpstr>'RES_da-DK'!errmsg.MeanDiffNumeric</vt:lpstr>
      <vt:lpstr>'RES_de-DE'!errmsg.MeanDiffNumeric</vt:lpstr>
      <vt:lpstr>'RES_el-GR'!errmsg.MeanDiffNumeric</vt:lpstr>
      <vt:lpstr>'RES_en-US'!errmsg.MeanDiffNumeric</vt:lpstr>
      <vt:lpstr>'RES_es-ES'!errmsg.MeanDiffNumeric</vt:lpstr>
      <vt:lpstr>'RES_fi-FI'!errmsg.MeanDiffNumeric</vt:lpstr>
      <vt:lpstr>'RES_fr-FR'!errmsg.MeanDiffNumeric</vt:lpstr>
      <vt:lpstr>'RES_hr-HR'!errmsg.MeanDiffNumeric</vt:lpstr>
      <vt:lpstr>'RES_hu-HU'!errmsg.MeanDiffNumeric</vt:lpstr>
      <vt:lpstr>'RES_it-IT'!errmsg.MeanDiffNumeric</vt:lpstr>
      <vt:lpstr>'RES_ja-JP'!errmsg.MeanDiffNumeric</vt:lpstr>
      <vt:lpstr>'RES_ko-KR'!errmsg.MeanDiffNumeric</vt:lpstr>
      <vt:lpstr>'RES_lv-LV'!errmsg.MeanDiffNumeric</vt:lpstr>
      <vt:lpstr>'RES_nb-NO'!errmsg.MeanDiffNumeric</vt:lpstr>
      <vt:lpstr>'RES_nl-NL'!errmsg.MeanDiffNumeric</vt:lpstr>
      <vt:lpstr>'RES_pl-PL'!errmsg.MeanDiffNumeric</vt:lpstr>
      <vt:lpstr>'RES_pt-BR'!errmsg.MeanDiffNumeric</vt:lpstr>
      <vt:lpstr>'RES_pt-PT'!errmsg.MeanDiffNumeric</vt:lpstr>
      <vt:lpstr>'RES_ro-RO'!errmsg.MeanDiffNumeric</vt:lpstr>
      <vt:lpstr>'RES_ru-RU'!errmsg.MeanDiffNumeric</vt:lpstr>
      <vt:lpstr>'RES_sl-SI'!errmsg.MeanDiffNumeric</vt:lpstr>
      <vt:lpstr>'RES_sv-SE'!errmsg.MeanDiffNumeric</vt:lpstr>
      <vt:lpstr>'RES_tr-TR'!errmsg.MeanDiffNumeric</vt:lpstr>
      <vt:lpstr>'RES_zh-CN'!errmsg.MeanDiffNumeric</vt:lpstr>
      <vt:lpstr>'RES_zh-TW'!errmsg.MeanDiffNumeric</vt:lpstr>
      <vt:lpstr>'RES_cs-CZ'!errmsg.MissingArg</vt:lpstr>
      <vt:lpstr>'RES_da-DK'!errmsg.MissingArg</vt:lpstr>
      <vt:lpstr>'RES_de-DE'!errmsg.MissingArg</vt:lpstr>
      <vt:lpstr>'RES_el-GR'!errmsg.MissingArg</vt:lpstr>
      <vt:lpstr>'RES_en-US'!errmsg.MissingArg</vt:lpstr>
      <vt:lpstr>'RES_es-ES'!errmsg.MissingArg</vt:lpstr>
      <vt:lpstr>'RES_fi-FI'!errmsg.MissingArg</vt:lpstr>
      <vt:lpstr>'RES_fr-FR'!errmsg.MissingArg</vt:lpstr>
      <vt:lpstr>'RES_hr-HR'!errmsg.MissingArg</vt:lpstr>
      <vt:lpstr>'RES_hu-HU'!errmsg.MissingArg</vt:lpstr>
      <vt:lpstr>'RES_it-IT'!errmsg.MissingArg</vt:lpstr>
      <vt:lpstr>'RES_ja-JP'!errmsg.MissingArg</vt:lpstr>
      <vt:lpstr>'RES_ko-KR'!errmsg.MissingArg</vt:lpstr>
      <vt:lpstr>'RES_lv-LV'!errmsg.MissingArg</vt:lpstr>
      <vt:lpstr>'RES_nb-NO'!errmsg.MissingArg</vt:lpstr>
      <vt:lpstr>'RES_nl-NL'!errmsg.MissingArg</vt:lpstr>
      <vt:lpstr>'RES_pl-PL'!errmsg.MissingArg</vt:lpstr>
      <vt:lpstr>'RES_pt-BR'!errmsg.MissingArg</vt:lpstr>
      <vt:lpstr>'RES_pt-PT'!errmsg.MissingArg</vt:lpstr>
      <vt:lpstr>'RES_ro-RO'!errmsg.MissingArg</vt:lpstr>
      <vt:lpstr>'RES_ru-RU'!errmsg.MissingArg</vt:lpstr>
      <vt:lpstr>'RES_sl-SI'!errmsg.MissingArg</vt:lpstr>
      <vt:lpstr>'RES_sv-SE'!errmsg.MissingArg</vt:lpstr>
      <vt:lpstr>'RES_tr-TR'!errmsg.MissingArg</vt:lpstr>
      <vt:lpstr>'RES_zh-CN'!errmsg.MissingArg</vt:lpstr>
      <vt:lpstr>'RES_zh-TW'!errmsg.MissingArg</vt:lpstr>
      <vt:lpstr>'RES_cs-CZ'!errmsg.MustBeSameSheet</vt:lpstr>
      <vt:lpstr>'RES_da-DK'!errmsg.MustBeSameSheet</vt:lpstr>
      <vt:lpstr>'RES_de-DE'!errmsg.MustBeSameSheet</vt:lpstr>
      <vt:lpstr>'RES_el-GR'!errmsg.MustBeSameSheet</vt:lpstr>
      <vt:lpstr>'RES_en-US'!errmsg.MustBeSameSheet</vt:lpstr>
      <vt:lpstr>'RES_es-ES'!errmsg.MustBeSameSheet</vt:lpstr>
      <vt:lpstr>'RES_fi-FI'!errmsg.MustBeSameSheet</vt:lpstr>
      <vt:lpstr>'RES_fr-FR'!errmsg.MustBeSameSheet</vt:lpstr>
      <vt:lpstr>'RES_hr-HR'!errmsg.MustBeSameSheet</vt:lpstr>
      <vt:lpstr>'RES_hu-HU'!errmsg.MustBeSameSheet</vt:lpstr>
      <vt:lpstr>'RES_it-IT'!errmsg.MustBeSameSheet</vt:lpstr>
      <vt:lpstr>'RES_ja-JP'!errmsg.MustBeSameSheet</vt:lpstr>
      <vt:lpstr>'RES_ko-KR'!errmsg.MustBeSameSheet</vt:lpstr>
      <vt:lpstr>'RES_lv-LV'!errmsg.MustBeSameSheet</vt:lpstr>
      <vt:lpstr>'RES_nb-NO'!errmsg.MustBeSameSheet</vt:lpstr>
      <vt:lpstr>'RES_nl-NL'!errmsg.MustBeSameSheet</vt:lpstr>
      <vt:lpstr>'RES_pl-PL'!errmsg.MustBeSameSheet</vt:lpstr>
      <vt:lpstr>'RES_pt-BR'!errmsg.MustBeSameSheet</vt:lpstr>
      <vt:lpstr>'RES_pt-PT'!errmsg.MustBeSameSheet</vt:lpstr>
      <vt:lpstr>'RES_ro-RO'!errmsg.MustBeSameSheet</vt:lpstr>
      <vt:lpstr>'RES_ru-RU'!errmsg.MustBeSameSheet</vt:lpstr>
      <vt:lpstr>'RES_sl-SI'!errmsg.MustBeSameSheet</vt:lpstr>
      <vt:lpstr>'RES_sv-SE'!errmsg.MustBeSameSheet</vt:lpstr>
      <vt:lpstr>'RES_tr-TR'!errmsg.MustBeSameSheet</vt:lpstr>
      <vt:lpstr>'RES_zh-CN'!errmsg.MustBeSameSheet</vt:lpstr>
      <vt:lpstr>'RES_zh-TW'!errmsg.MustBeSameSheet</vt:lpstr>
      <vt:lpstr>'RES_cs-CZ'!errmsg.MustBeSglArea</vt:lpstr>
      <vt:lpstr>'RES_da-DK'!errmsg.MustBeSglArea</vt:lpstr>
      <vt:lpstr>'RES_de-DE'!errmsg.MustBeSglArea</vt:lpstr>
      <vt:lpstr>'RES_el-GR'!errmsg.MustBeSglArea</vt:lpstr>
      <vt:lpstr>'RES_en-US'!errmsg.MustBeSglArea</vt:lpstr>
      <vt:lpstr>'RES_es-ES'!errmsg.MustBeSglArea</vt:lpstr>
      <vt:lpstr>'RES_fi-FI'!errmsg.MustBeSglArea</vt:lpstr>
      <vt:lpstr>'RES_fr-FR'!errmsg.MustBeSglArea</vt:lpstr>
      <vt:lpstr>'RES_hr-HR'!errmsg.MustBeSglArea</vt:lpstr>
      <vt:lpstr>'RES_hu-HU'!errmsg.MustBeSglArea</vt:lpstr>
      <vt:lpstr>'RES_it-IT'!errmsg.MustBeSglArea</vt:lpstr>
      <vt:lpstr>'RES_ja-JP'!errmsg.MustBeSglArea</vt:lpstr>
      <vt:lpstr>'RES_ko-KR'!errmsg.MustBeSglArea</vt:lpstr>
      <vt:lpstr>'RES_lv-LV'!errmsg.MustBeSglArea</vt:lpstr>
      <vt:lpstr>'RES_nb-NO'!errmsg.MustBeSglArea</vt:lpstr>
      <vt:lpstr>'RES_nl-NL'!errmsg.MustBeSglArea</vt:lpstr>
      <vt:lpstr>'RES_pl-PL'!errmsg.MustBeSglArea</vt:lpstr>
      <vt:lpstr>'RES_pt-BR'!errmsg.MustBeSglArea</vt:lpstr>
      <vt:lpstr>'RES_pt-PT'!errmsg.MustBeSglArea</vt:lpstr>
      <vt:lpstr>'RES_ro-RO'!errmsg.MustBeSglArea</vt:lpstr>
      <vt:lpstr>'RES_ru-RU'!errmsg.MustBeSglArea</vt:lpstr>
      <vt:lpstr>'RES_sl-SI'!errmsg.MustBeSglArea</vt:lpstr>
      <vt:lpstr>'RES_sv-SE'!errmsg.MustBeSglArea</vt:lpstr>
      <vt:lpstr>'RES_tr-TR'!errmsg.MustBeSglArea</vt:lpstr>
      <vt:lpstr>'RES_zh-CN'!errmsg.MustBeSglArea</vt:lpstr>
      <vt:lpstr>'RES_zh-TW'!errmsg.MustBeSglArea</vt:lpstr>
      <vt:lpstr>'RES_cs-CZ'!errmsg.MustBeSglRowCol</vt:lpstr>
      <vt:lpstr>'RES_da-DK'!errmsg.MustBeSglRowCol</vt:lpstr>
      <vt:lpstr>'RES_de-DE'!errmsg.MustBeSglRowCol</vt:lpstr>
      <vt:lpstr>'RES_el-GR'!errmsg.MustBeSglRowCol</vt:lpstr>
      <vt:lpstr>'RES_en-US'!errmsg.MustBeSglRowCol</vt:lpstr>
      <vt:lpstr>'RES_es-ES'!errmsg.MustBeSglRowCol</vt:lpstr>
      <vt:lpstr>'RES_fi-FI'!errmsg.MustBeSglRowCol</vt:lpstr>
      <vt:lpstr>'RES_fr-FR'!errmsg.MustBeSglRowCol</vt:lpstr>
      <vt:lpstr>'RES_hr-HR'!errmsg.MustBeSglRowCol</vt:lpstr>
      <vt:lpstr>'RES_hu-HU'!errmsg.MustBeSglRowCol</vt:lpstr>
      <vt:lpstr>'RES_it-IT'!errmsg.MustBeSglRowCol</vt:lpstr>
      <vt:lpstr>'RES_ja-JP'!errmsg.MustBeSglRowCol</vt:lpstr>
      <vt:lpstr>'RES_ko-KR'!errmsg.MustBeSglRowCol</vt:lpstr>
      <vt:lpstr>'RES_lv-LV'!errmsg.MustBeSglRowCol</vt:lpstr>
      <vt:lpstr>'RES_nb-NO'!errmsg.MustBeSglRowCol</vt:lpstr>
      <vt:lpstr>'RES_nl-NL'!errmsg.MustBeSglRowCol</vt:lpstr>
      <vt:lpstr>'RES_pl-PL'!errmsg.MustBeSglRowCol</vt:lpstr>
      <vt:lpstr>'RES_pt-BR'!errmsg.MustBeSglRowCol</vt:lpstr>
      <vt:lpstr>'RES_pt-PT'!errmsg.MustBeSglRowCol</vt:lpstr>
      <vt:lpstr>'RES_ro-RO'!errmsg.MustBeSglRowCol</vt:lpstr>
      <vt:lpstr>'RES_ru-RU'!errmsg.MustBeSglRowCol</vt:lpstr>
      <vt:lpstr>'RES_sl-SI'!errmsg.MustBeSglRowCol</vt:lpstr>
      <vt:lpstr>'RES_sv-SE'!errmsg.MustBeSglRowCol</vt:lpstr>
      <vt:lpstr>'RES_tr-TR'!errmsg.MustBeSglRowCol</vt:lpstr>
      <vt:lpstr>'RES_zh-CN'!errmsg.MustBeSglRowCol</vt:lpstr>
      <vt:lpstr>'RES_zh-TW'!errmsg.MustBeSglRowCol</vt:lpstr>
      <vt:lpstr>'RES_cs-CZ'!errmsg.MustHaveSameDataPts</vt:lpstr>
      <vt:lpstr>'RES_da-DK'!errmsg.MustHaveSameDataPts</vt:lpstr>
      <vt:lpstr>'RES_de-DE'!errmsg.MustHaveSameDataPts</vt:lpstr>
      <vt:lpstr>'RES_el-GR'!errmsg.MustHaveSameDataPts</vt:lpstr>
      <vt:lpstr>'RES_en-US'!errmsg.MustHaveSameDataPts</vt:lpstr>
      <vt:lpstr>'RES_es-ES'!errmsg.MustHaveSameDataPts</vt:lpstr>
      <vt:lpstr>'RES_fi-FI'!errmsg.MustHaveSameDataPts</vt:lpstr>
      <vt:lpstr>'RES_fr-FR'!errmsg.MustHaveSameDataPts</vt:lpstr>
      <vt:lpstr>'RES_hr-HR'!errmsg.MustHaveSameDataPts</vt:lpstr>
      <vt:lpstr>'RES_hu-HU'!errmsg.MustHaveSameDataPts</vt:lpstr>
      <vt:lpstr>'RES_it-IT'!errmsg.MustHaveSameDataPts</vt:lpstr>
      <vt:lpstr>'RES_ja-JP'!errmsg.MustHaveSameDataPts</vt:lpstr>
      <vt:lpstr>'RES_ko-KR'!errmsg.MustHaveSameDataPts</vt:lpstr>
      <vt:lpstr>'RES_lv-LV'!errmsg.MustHaveSameDataPts</vt:lpstr>
      <vt:lpstr>'RES_nb-NO'!errmsg.MustHaveSameDataPts</vt:lpstr>
      <vt:lpstr>'RES_nl-NL'!errmsg.MustHaveSameDataPts</vt:lpstr>
      <vt:lpstr>'RES_pl-PL'!errmsg.MustHaveSameDataPts</vt:lpstr>
      <vt:lpstr>'RES_pt-BR'!errmsg.MustHaveSameDataPts</vt:lpstr>
      <vt:lpstr>'RES_pt-PT'!errmsg.MustHaveSameDataPts</vt:lpstr>
      <vt:lpstr>'RES_ro-RO'!errmsg.MustHaveSameDataPts</vt:lpstr>
      <vt:lpstr>'RES_ru-RU'!errmsg.MustHaveSameDataPts</vt:lpstr>
      <vt:lpstr>'RES_sl-SI'!errmsg.MustHaveSameDataPts</vt:lpstr>
      <vt:lpstr>'RES_sv-SE'!errmsg.MustHaveSameDataPts</vt:lpstr>
      <vt:lpstr>'RES_tr-TR'!errmsg.MustHaveSameDataPts</vt:lpstr>
      <vt:lpstr>'RES_zh-CN'!errmsg.MustHaveSameDataPts</vt:lpstr>
      <vt:lpstr>'RES_zh-TW'!errmsg.MustHaveSameDataPts</vt:lpstr>
      <vt:lpstr>'RES_cs-CZ'!errmsg.MVEXMinData</vt:lpstr>
      <vt:lpstr>'RES_da-DK'!errmsg.MVEXMinData</vt:lpstr>
      <vt:lpstr>'RES_de-DE'!errmsg.MVEXMinData</vt:lpstr>
      <vt:lpstr>'RES_el-GR'!errmsg.MVEXMinData</vt:lpstr>
      <vt:lpstr>'RES_en-US'!errmsg.MVEXMinData</vt:lpstr>
      <vt:lpstr>'RES_es-ES'!errmsg.MVEXMinData</vt:lpstr>
      <vt:lpstr>'RES_fi-FI'!errmsg.MVEXMinData</vt:lpstr>
      <vt:lpstr>'RES_fr-FR'!errmsg.MVEXMinData</vt:lpstr>
      <vt:lpstr>'RES_hr-HR'!errmsg.MVEXMinData</vt:lpstr>
      <vt:lpstr>'RES_hu-HU'!errmsg.MVEXMinData</vt:lpstr>
      <vt:lpstr>'RES_it-IT'!errmsg.MVEXMinData</vt:lpstr>
      <vt:lpstr>'RES_ja-JP'!errmsg.MVEXMinData</vt:lpstr>
      <vt:lpstr>'RES_ko-KR'!errmsg.MVEXMinData</vt:lpstr>
      <vt:lpstr>'RES_lv-LV'!errmsg.MVEXMinData</vt:lpstr>
      <vt:lpstr>'RES_nb-NO'!errmsg.MVEXMinData</vt:lpstr>
      <vt:lpstr>'RES_nl-NL'!errmsg.MVEXMinData</vt:lpstr>
      <vt:lpstr>'RES_pl-PL'!errmsg.MVEXMinData</vt:lpstr>
      <vt:lpstr>'RES_pt-BR'!errmsg.MVEXMinData</vt:lpstr>
      <vt:lpstr>'RES_pt-PT'!errmsg.MVEXMinData</vt:lpstr>
      <vt:lpstr>'RES_ro-RO'!errmsg.MVEXMinData</vt:lpstr>
      <vt:lpstr>'RES_ru-RU'!errmsg.MVEXMinData</vt:lpstr>
      <vt:lpstr>'RES_sl-SI'!errmsg.MVEXMinData</vt:lpstr>
      <vt:lpstr>'RES_sv-SE'!errmsg.MVEXMinData</vt:lpstr>
      <vt:lpstr>'RES_tr-TR'!errmsg.MVEXMinData</vt:lpstr>
      <vt:lpstr>'RES_zh-CN'!errmsg.MVEXMinData</vt:lpstr>
      <vt:lpstr>'RES_zh-TW'!errmsg.MVEXMinData</vt:lpstr>
      <vt:lpstr>'RES_cs-CZ'!errmsg.NA</vt:lpstr>
      <vt:lpstr>'RES_da-DK'!errmsg.NA</vt:lpstr>
      <vt:lpstr>'RES_de-DE'!errmsg.NA</vt:lpstr>
      <vt:lpstr>'RES_el-GR'!errmsg.NA</vt:lpstr>
      <vt:lpstr>'RES_en-US'!errmsg.NA</vt:lpstr>
      <vt:lpstr>'RES_es-ES'!errmsg.NA</vt:lpstr>
      <vt:lpstr>'RES_fi-FI'!errmsg.NA</vt:lpstr>
      <vt:lpstr>'RES_fr-FR'!errmsg.NA</vt:lpstr>
      <vt:lpstr>'RES_hr-HR'!errmsg.NA</vt:lpstr>
      <vt:lpstr>'RES_hu-HU'!errmsg.NA</vt:lpstr>
      <vt:lpstr>'RES_it-IT'!errmsg.NA</vt:lpstr>
      <vt:lpstr>'RES_ja-JP'!errmsg.NA</vt:lpstr>
      <vt:lpstr>'RES_ko-KR'!errmsg.NA</vt:lpstr>
      <vt:lpstr>'RES_lv-LV'!errmsg.NA</vt:lpstr>
      <vt:lpstr>'RES_nb-NO'!errmsg.NA</vt:lpstr>
      <vt:lpstr>'RES_nl-NL'!errmsg.NA</vt:lpstr>
      <vt:lpstr>'RES_pl-PL'!errmsg.NA</vt:lpstr>
      <vt:lpstr>'RES_pt-BR'!errmsg.NA</vt:lpstr>
      <vt:lpstr>'RES_pt-PT'!errmsg.NA</vt:lpstr>
      <vt:lpstr>'RES_ro-RO'!errmsg.NA</vt:lpstr>
      <vt:lpstr>'RES_ru-RU'!errmsg.NA</vt:lpstr>
      <vt:lpstr>'RES_sl-SI'!errmsg.NA</vt:lpstr>
      <vt:lpstr>'RES_sv-SE'!errmsg.NA</vt:lpstr>
      <vt:lpstr>'RES_tr-TR'!errmsg.NA</vt:lpstr>
      <vt:lpstr>'RES_zh-CN'!errmsg.NA</vt:lpstr>
      <vt:lpstr>'RES_zh-TW'!errmsg.NA</vt:lpstr>
      <vt:lpstr>'RES_cs-CZ'!errmsg.NewBkErr</vt:lpstr>
      <vt:lpstr>'RES_da-DK'!errmsg.NewBkErr</vt:lpstr>
      <vt:lpstr>'RES_de-DE'!errmsg.NewBkErr</vt:lpstr>
      <vt:lpstr>'RES_el-GR'!errmsg.NewBkErr</vt:lpstr>
      <vt:lpstr>'RES_en-US'!errmsg.NewBkErr</vt:lpstr>
      <vt:lpstr>'RES_es-ES'!errmsg.NewBkErr</vt:lpstr>
      <vt:lpstr>'RES_fi-FI'!errmsg.NewBkErr</vt:lpstr>
      <vt:lpstr>'RES_fr-FR'!errmsg.NewBkErr</vt:lpstr>
      <vt:lpstr>'RES_hr-HR'!errmsg.NewBkErr</vt:lpstr>
      <vt:lpstr>'RES_hu-HU'!errmsg.NewBkErr</vt:lpstr>
      <vt:lpstr>'RES_it-IT'!errmsg.NewBkErr</vt:lpstr>
      <vt:lpstr>'RES_ja-JP'!errmsg.NewBkErr</vt:lpstr>
      <vt:lpstr>'RES_ko-KR'!errmsg.NewBkErr</vt:lpstr>
      <vt:lpstr>'RES_lv-LV'!errmsg.NewBkErr</vt:lpstr>
      <vt:lpstr>'RES_nb-NO'!errmsg.NewBkErr</vt:lpstr>
      <vt:lpstr>'RES_nl-NL'!errmsg.NewBkErr</vt:lpstr>
      <vt:lpstr>'RES_pl-PL'!errmsg.NewBkErr</vt:lpstr>
      <vt:lpstr>'RES_pt-BR'!errmsg.NewBkErr</vt:lpstr>
      <vt:lpstr>'RES_pt-PT'!errmsg.NewBkErr</vt:lpstr>
      <vt:lpstr>'RES_ro-RO'!errmsg.NewBkErr</vt:lpstr>
      <vt:lpstr>'RES_ru-RU'!errmsg.NewBkErr</vt:lpstr>
      <vt:lpstr>'RES_sl-SI'!errmsg.NewBkErr</vt:lpstr>
      <vt:lpstr>'RES_sv-SE'!errmsg.NewBkErr</vt:lpstr>
      <vt:lpstr>'RES_tr-TR'!errmsg.NewBkErr</vt:lpstr>
      <vt:lpstr>'RES_zh-CN'!errmsg.NewBkErr</vt:lpstr>
      <vt:lpstr>'RES_zh-TW'!errmsg.NewBkErr</vt:lpstr>
      <vt:lpstr>'RES_cs-CZ'!errmsg.NewShtErr</vt:lpstr>
      <vt:lpstr>'RES_da-DK'!errmsg.NewShtErr</vt:lpstr>
      <vt:lpstr>'RES_de-DE'!errmsg.NewShtErr</vt:lpstr>
      <vt:lpstr>'RES_el-GR'!errmsg.NewShtErr</vt:lpstr>
      <vt:lpstr>'RES_en-US'!errmsg.NewShtErr</vt:lpstr>
      <vt:lpstr>'RES_es-ES'!errmsg.NewShtErr</vt:lpstr>
      <vt:lpstr>'RES_fi-FI'!errmsg.NewShtErr</vt:lpstr>
      <vt:lpstr>'RES_fr-FR'!errmsg.NewShtErr</vt:lpstr>
      <vt:lpstr>'RES_hr-HR'!errmsg.NewShtErr</vt:lpstr>
      <vt:lpstr>'RES_hu-HU'!errmsg.NewShtErr</vt:lpstr>
      <vt:lpstr>'RES_it-IT'!errmsg.NewShtErr</vt:lpstr>
      <vt:lpstr>'RES_ja-JP'!errmsg.NewShtErr</vt:lpstr>
      <vt:lpstr>'RES_ko-KR'!errmsg.NewShtErr</vt:lpstr>
      <vt:lpstr>'RES_lv-LV'!errmsg.NewShtErr</vt:lpstr>
      <vt:lpstr>'RES_nb-NO'!errmsg.NewShtErr</vt:lpstr>
      <vt:lpstr>'RES_nl-NL'!errmsg.NewShtErr</vt:lpstr>
      <vt:lpstr>'RES_pl-PL'!errmsg.NewShtErr</vt:lpstr>
      <vt:lpstr>'RES_pt-BR'!errmsg.NewShtErr</vt:lpstr>
      <vt:lpstr>'RES_pt-PT'!errmsg.NewShtErr</vt:lpstr>
      <vt:lpstr>'RES_ro-RO'!errmsg.NewShtErr</vt:lpstr>
      <vt:lpstr>'RES_ru-RU'!errmsg.NewShtErr</vt:lpstr>
      <vt:lpstr>'RES_sl-SI'!errmsg.NewShtErr</vt:lpstr>
      <vt:lpstr>'RES_sv-SE'!errmsg.NewShtErr</vt:lpstr>
      <vt:lpstr>'RES_tr-TR'!errmsg.NewShtErr</vt:lpstr>
      <vt:lpstr>'RES_zh-CN'!errmsg.NewShtErr</vt:lpstr>
      <vt:lpstr>'RES_zh-TW'!errmsg.NewShtErr</vt:lpstr>
      <vt:lpstr>'RES_cs-CZ'!errmsg.NoMainDlg</vt:lpstr>
      <vt:lpstr>'RES_da-DK'!errmsg.NoMainDlg</vt:lpstr>
      <vt:lpstr>'RES_de-DE'!errmsg.NoMainDlg</vt:lpstr>
      <vt:lpstr>'RES_el-GR'!errmsg.NoMainDlg</vt:lpstr>
      <vt:lpstr>'RES_en-US'!errmsg.NoMainDlg</vt:lpstr>
      <vt:lpstr>'RES_es-ES'!errmsg.NoMainDlg</vt:lpstr>
      <vt:lpstr>'RES_fi-FI'!errmsg.NoMainDlg</vt:lpstr>
      <vt:lpstr>'RES_fr-FR'!errmsg.NoMainDlg</vt:lpstr>
      <vt:lpstr>'RES_hr-HR'!errmsg.NoMainDlg</vt:lpstr>
      <vt:lpstr>'RES_hu-HU'!errmsg.NoMainDlg</vt:lpstr>
      <vt:lpstr>'RES_it-IT'!errmsg.NoMainDlg</vt:lpstr>
      <vt:lpstr>'RES_ja-JP'!errmsg.NoMainDlg</vt:lpstr>
      <vt:lpstr>'RES_ko-KR'!errmsg.NoMainDlg</vt:lpstr>
      <vt:lpstr>'RES_lv-LV'!errmsg.NoMainDlg</vt:lpstr>
      <vt:lpstr>'RES_nb-NO'!errmsg.NoMainDlg</vt:lpstr>
      <vt:lpstr>'RES_nl-NL'!errmsg.NoMainDlg</vt:lpstr>
      <vt:lpstr>'RES_pl-PL'!errmsg.NoMainDlg</vt:lpstr>
      <vt:lpstr>'RES_pt-BR'!errmsg.NoMainDlg</vt:lpstr>
      <vt:lpstr>'RES_pt-PT'!errmsg.NoMainDlg</vt:lpstr>
      <vt:lpstr>'RES_ro-RO'!errmsg.NoMainDlg</vt:lpstr>
      <vt:lpstr>'RES_ru-RU'!errmsg.NoMainDlg</vt:lpstr>
      <vt:lpstr>'RES_sl-SI'!errmsg.NoMainDlg</vt:lpstr>
      <vt:lpstr>'RES_sv-SE'!errmsg.NoMainDlg</vt:lpstr>
      <vt:lpstr>'RES_tr-TR'!errmsg.NoMainDlg</vt:lpstr>
      <vt:lpstr>'RES_zh-CN'!errmsg.NoMainDlg</vt:lpstr>
      <vt:lpstr>'RES_zh-TW'!errmsg.NoMainDlg</vt:lpstr>
      <vt:lpstr>'RES_cs-CZ'!errmsg.NonNumericInpRg</vt:lpstr>
      <vt:lpstr>'RES_da-DK'!errmsg.NonNumericInpRg</vt:lpstr>
      <vt:lpstr>'RES_de-DE'!errmsg.NonNumericInpRg</vt:lpstr>
      <vt:lpstr>'RES_el-GR'!errmsg.NonNumericInpRg</vt:lpstr>
      <vt:lpstr>'RES_en-US'!errmsg.NonNumericInpRg</vt:lpstr>
      <vt:lpstr>'RES_es-ES'!errmsg.NonNumericInpRg</vt:lpstr>
      <vt:lpstr>'RES_fi-FI'!errmsg.NonNumericInpRg</vt:lpstr>
      <vt:lpstr>'RES_fr-FR'!errmsg.NonNumericInpRg</vt:lpstr>
      <vt:lpstr>'RES_hr-HR'!errmsg.NonNumericInpRg</vt:lpstr>
      <vt:lpstr>'RES_hu-HU'!errmsg.NonNumericInpRg</vt:lpstr>
      <vt:lpstr>'RES_it-IT'!errmsg.NonNumericInpRg</vt:lpstr>
      <vt:lpstr>'RES_ja-JP'!errmsg.NonNumericInpRg</vt:lpstr>
      <vt:lpstr>'RES_ko-KR'!errmsg.NonNumericInpRg</vt:lpstr>
      <vt:lpstr>'RES_lv-LV'!errmsg.NonNumericInpRg</vt:lpstr>
      <vt:lpstr>'RES_nb-NO'!errmsg.NonNumericInpRg</vt:lpstr>
      <vt:lpstr>'RES_nl-NL'!errmsg.NonNumericInpRg</vt:lpstr>
      <vt:lpstr>'RES_pl-PL'!errmsg.NonNumericInpRg</vt:lpstr>
      <vt:lpstr>'RES_pt-BR'!errmsg.NonNumericInpRg</vt:lpstr>
      <vt:lpstr>'RES_pt-PT'!errmsg.NonNumericInpRg</vt:lpstr>
      <vt:lpstr>'RES_ro-RO'!errmsg.NonNumericInpRg</vt:lpstr>
      <vt:lpstr>'RES_ru-RU'!errmsg.NonNumericInpRg</vt:lpstr>
      <vt:lpstr>'RES_sl-SI'!errmsg.NonNumericInpRg</vt:lpstr>
      <vt:lpstr>'RES_sv-SE'!errmsg.NonNumericInpRg</vt:lpstr>
      <vt:lpstr>'RES_tr-TR'!errmsg.NonNumericInpRg</vt:lpstr>
      <vt:lpstr>'RES_zh-CN'!errmsg.NonNumericInpRg</vt:lpstr>
      <vt:lpstr>'RES_zh-TW'!errmsg.NonNumericInpRg</vt:lpstr>
      <vt:lpstr>'RES_cs-CZ'!errmsg.NoProcDlg</vt:lpstr>
      <vt:lpstr>'RES_da-DK'!errmsg.NoProcDlg</vt:lpstr>
      <vt:lpstr>'RES_de-DE'!errmsg.NoProcDlg</vt:lpstr>
      <vt:lpstr>'RES_el-GR'!errmsg.NoProcDlg</vt:lpstr>
      <vt:lpstr>'RES_en-US'!errmsg.NoProcDlg</vt:lpstr>
      <vt:lpstr>'RES_es-ES'!errmsg.NoProcDlg</vt:lpstr>
      <vt:lpstr>'RES_fi-FI'!errmsg.NoProcDlg</vt:lpstr>
      <vt:lpstr>'RES_fr-FR'!errmsg.NoProcDlg</vt:lpstr>
      <vt:lpstr>'RES_hr-HR'!errmsg.NoProcDlg</vt:lpstr>
      <vt:lpstr>'RES_hu-HU'!errmsg.NoProcDlg</vt:lpstr>
      <vt:lpstr>'RES_it-IT'!errmsg.NoProcDlg</vt:lpstr>
      <vt:lpstr>'RES_ja-JP'!errmsg.NoProcDlg</vt:lpstr>
      <vt:lpstr>'RES_ko-KR'!errmsg.NoProcDlg</vt:lpstr>
      <vt:lpstr>'RES_lv-LV'!errmsg.NoProcDlg</vt:lpstr>
      <vt:lpstr>'RES_nb-NO'!errmsg.NoProcDlg</vt:lpstr>
      <vt:lpstr>'RES_nl-NL'!errmsg.NoProcDlg</vt:lpstr>
      <vt:lpstr>'RES_pl-PL'!errmsg.NoProcDlg</vt:lpstr>
      <vt:lpstr>'RES_pt-BR'!errmsg.NoProcDlg</vt:lpstr>
      <vt:lpstr>'RES_pt-PT'!errmsg.NoProcDlg</vt:lpstr>
      <vt:lpstr>'RES_ro-RO'!errmsg.NoProcDlg</vt:lpstr>
      <vt:lpstr>'RES_ru-RU'!errmsg.NoProcDlg</vt:lpstr>
      <vt:lpstr>'RES_sl-SI'!errmsg.NoProcDlg</vt:lpstr>
      <vt:lpstr>'RES_sv-SE'!errmsg.NoProcDlg</vt:lpstr>
      <vt:lpstr>'RES_tr-TR'!errmsg.NoProcDlg</vt:lpstr>
      <vt:lpstr>'RES_zh-CN'!errmsg.NoProcDlg</vt:lpstr>
      <vt:lpstr>'RES_zh-TW'!errmsg.NoProcDlg</vt:lpstr>
      <vt:lpstr>'RES_cs-CZ'!errmsg.NormalMeanErr</vt:lpstr>
      <vt:lpstr>'RES_da-DK'!errmsg.NormalMeanErr</vt:lpstr>
      <vt:lpstr>'RES_de-DE'!errmsg.NormalMeanErr</vt:lpstr>
      <vt:lpstr>'RES_el-GR'!errmsg.NormalMeanErr</vt:lpstr>
      <vt:lpstr>'RES_en-US'!errmsg.NormalMeanErr</vt:lpstr>
      <vt:lpstr>'RES_es-ES'!errmsg.NormalMeanErr</vt:lpstr>
      <vt:lpstr>'RES_fi-FI'!errmsg.NormalMeanErr</vt:lpstr>
      <vt:lpstr>'RES_fr-FR'!errmsg.NormalMeanErr</vt:lpstr>
      <vt:lpstr>'RES_hr-HR'!errmsg.NormalMeanErr</vt:lpstr>
      <vt:lpstr>'RES_hu-HU'!errmsg.NormalMeanErr</vt:lpstr>
      <vt:lpstr>'RES_it-IT'!errmsg.NormalMeanErr</vt:lpstr>
      <vt:lpstr>'RES_ja-JP'!errmsg.NormalMeanErr</vt:lpstr>
      <vt:lpstr>'RES_ko-KR'!errmsg.NormalMeanErr</vt:lpstr>
      <vt:lpstr>'RES_lv-LV'!errmsg.NormalMeanErr</vt:lpstr>
      <vt:lpstr>'RES_nb-NO'!errmsg.NormalMeanErr</vt:lpstr>
      <vt:lpstr>'RES_nl-NL'!errmsg.NormalMeanErr</vt:lpstr>
      <vt:lpstr>'RES_pl-PL'!errmsg.NormalMeanErr</vt:lpstr>
      <vt:lpstr>'RES_pt-BR'!errmsg.NormalMeanErr</vt:lpstr>
      <vt:lpstr>'RES_pt-PT'!errmsg.NormalMeanErr</vt:lpstr>
      <vt:lpstr>'RES_ro-RO'!errmsg.NormalMeanErr</vt:lpstr>
      <vt:lpstr>'RES_ru-RU'!errmsg.NormalMeanErr</vt:lpstr>
      <vt:lpstr>'RES_sl-SI'!errmsg.NormalMeanErr</vt:lpstr>
      <vt:lpstr>'RES_sv-SE'!errmsg.NormalMeanErr</vt:lpstr>
      <vt:lpstr>'RES_tr-TR'!errmsg.NormalMeanErr</vt:lpstr>
      <vt:lpstr>'RES_zh-CN'!errmsg.NormalMeanErr</vt:lpstr>
      <vt:lpstr>'RES_zh-TW'!errmsg.NormalMeanErr</vt:lpstr>
      <vt:lpstr>'RES_cs-CZ'!errmsg.NormalStdDevErr</vt:lpstr>
      <vt:lpstr>'RES_da-DK'!errmsg.NormalStdDevErr</vt:lpstr>
      <vt:lpstr>'RES_de-DE'!errmsg.NormalStdDevErr</vt:lpstr>
      <vt:lpstr>'RES_el-GR'!errmsg.NormalStdDevErr</vt:lpstr>
      <vt:lpstr>'RES_en-US'!errmsg.NormalStdDevErr</vt:lpstr>
      <vt:lpstr>'RES_es-ES'!errmsg.NormalStdDevErr</vt:lpstr>
      <vt:lpstr>'RES_fi-FI'!errmsg.NormalStdDevErr</vt:lpstr>
      <vt:lpstr>'RES_fr-FR'!errmsg.NormalStdDevErr</vt:lpstr>
      <vt:lpstr>'RES_hr-HR'!errmsg.NormalStdDevErr</vt:lpstr>
      <vt:lpstr>'RES_hu-HU'!errmsg.NormalStdDevErr</vt:lpstr>
      <vt:lpstr>'RES_it-IT'!errmsg.NormalStdDevErr</vt:lpstr>
      <vt:lpstr>'RES_ja-JP'!errmsg.NormalStdDevErr</vt:lpstr>
      <vt:lpstr>'RES_ko-KR'!errmsg.NormalStdDevErr</vt:lpstr>
      <vt:lpstr>'RES_lv-LV'!errmsg.NormalStdDevErr</vt:lpstr>
      <vt:lpstr>'RES_nb-NO'!errmsg.NormalStdDevErr</vt:lpstr>
      <vt:lpstr>'RES_nl-NL'!errmsg.NormalStdDevErr</vt:lpstr>
      <vt:lpstr>'RES_pl-PL'!errmsg.NormalStdDevErr</vt:lpstr>
      <vt:lpstr>'RES_pt-BR'!errmsg.NormalStdDevErr</vt:lpstr>
      <vt:lpstr>'RES_pt-PT'!errmsg.NormalStdDevErr</vt:lpstr>
      <vt:lpstr>'RES_ro-RO'!errmsg.NormalStdDevErr</vt:lpstr>
      <vt:lpstr>'RES_ru-RU'!errmsg.NormalStdDevErr</vt:lpstr>
      <vt:lpstr>'RES_sl-SI'!errmsg.NormalStdDevErr</vt:lpstr>
      <vt:lpstr>'RES_sv-SE'!errmsg.NormalStdDevErr</vt:lpstr>
      <vt:lpstr>'RES_tr-TR'!errmsg.NormalStdDevErr</vt:lpstr>
      <vt:lpstr>'RES_zh-CN'!errmsg.NormalStdDevErr</vt:lpstr>
      <vt:lpstr>'RES_zh-TW'!errmsg.NormalStdDevErr</vt:lpstr>
      <vt:lpstr>'RES_cs-CZ'!errmsg.NumOfSampInvalid</vt:lpstr>
      <vt:lpstr>'RES_da-DK'!errmsg.NumOfSampInvalid</vt:lpstr>
      <vt:lpstr>'RES_de-DE'!errmsg.NumOfSampInvalid</vt:lpstr>
      <vt:lpstr>'RES_el-GR'!errmsg.NumOfSampInvalid</vt:lpstr>
      <vt:lpstr>'RES_en-US'!errmsg.NumOfSampInvalid</vt:lpstr>
      <vt:lpstr>'RES_es-ES'!errmsg.NumOfSampInvalid</vt:lpstr>
      <vt:lpstr>'RES_fi-FI'!errmsg.NumOfSampInvalid</vt:lpstr>
      <vt:lpstr>'RES_fr-FR'!errmsg.NumOfSampInvalid</vt:lpstr>
      <vt:lpstr>'RES_hr-HR'!errmsg.NumOfSampInvalid</vt:lpstr>
      <vt:lpstr>'RES_hu-HU'!errmsg.NumOfSampInvalid</vt:lpstr>
      <vt:lpstr>'RES_it-IT'!errmsg.NumOfSampInvalid</vt:lpstr>
      <vt:lpstr>'RES_ja-JP'!errmsg.NumOfSampInvalid</vt:lpstr>
      <vt:lpstr>'RES_ko-KR'!errmsg.NumOfSampInvalid</vt:lpstr>
      <vt:lpstr>'RES_lv-LV'!errmsg.NumOfSampInvalid</vt:lpstr>
      <vt:lpstr>'RES_nb-NO'!errmsg.NumOfSampInvalid</vt:lpstr>
      <vt:lpstr>'RES_nl-NL'!errmsg.NumOfSampInvalid</vt:lpstr>
      <vt:lpstr>'RES_pl-PL'!errmsg.NumOfSampInvalid</vt:lpstr>
      <vt:lpstr>'RES_pt-BR'!errmsg.NumOfSampInvalid</vt:lpstr>
      <vt:lpstr>'RES_pt-PT'!errmsg.NumOfSampInvalid</vt:lpstr>
      <vt:lpstr>'RES_ro-RO'!errmsg.NumOfSampInvalid</vt:lpstr>
      <vt:lpstr>'RES_ru-RU'!errmsg.NumOfSampInvalid</vt:lpstr>
      <vt:lpstr>'RES_sl-SI'!errmsg.NumOfSampInvalid</vt:lpstr>
      <vt:lpstr>'RES_sv-SE'!errmsg.NumOfSampInvalid</vt:lpstr>
      <vt:lpstr>'RES_tr-TR'!errmsg.NumOfSampInvalid</vt:lpstr>
      <vt:lpstr>'RES_zh-CN'!errmsg.NumOfSampInvalid</vt:lpstr>
      <vt:lpstr>'RES_zh-TW'!errmsg.NumOfSampInvalid</vt:lpstr>
      <vt:lpstr>'RES_cs-CZ'!errmsg.NumOfSampReq</vt:lpstr>
      <vt:lpstr>'RES_da-DK'!errmsg.NumOfSampReq</vt:lpstr>
      <vt:lpstr>'RES_de-DE'!errmsg.NumOfSampReq</vt:lpstr>
      <vt:lpstr>'RES_el-GR'!errmsg.NumOfSampReq</vt:lpstr>
      <vt:lpstr>'RES_en-US'!errmsg.NumOfSampReq</vt:lpstr>
      <vt:lpstr>'RES_es-ES'!errmsg.NumOfSampReq</vt:lpstr>
      <vt:lpstr>'RES_fi-FI'!errmsg.NumOfSampReq</vt:lpstr>
      <vt:lpstr>'RES_fr-FR'!errmsg.NumOfSampReq</vt:lpstr>
      <vt:lpstr>'RES_hr-HR'!errmsg.NumOfSampReq</vt:lpstr>
      <vt:lpstr>'RES_hu-HU'!errmsg.NumOfSampReq</vt:lpstr>
      <vt:lpstr>'RES_it-IT'!errmsg.NumOfSampReq</vt:lpstr>
      <vt:lpstr>'RES_ja-JP'!errmsg.NumOfSampReq</vt:lpstr>
      <vt:lpstr>'RES_ko-KR'!errmsg.NumOfSampReq</vt:lpstr>
      <vt:lpstr>'RES_lv-LV'!errmsg.NumOfSampReq</vt:lpstr>
      <vt:lpstr>'RES_nb-NO'!errmsg.NumOfSampReq</vt:lpstr>
      <vt:lpstr>'RES_nl-NL'!errmsg.NumOfSampReq</vt:lpstr>
      <vt:lpstr>'RES_pl-PL'!errmsg.NumOfSampReq</vt:lpstr>
      <vt:lpstr>'RES_pt-BR'!errmsg.NumOfSampReq</vt:lpstr>
      <vt:lpstr>'RES_pt-PT'!errmsg.NumOfSampReq</vt:lpstr>
      <vt:lpstr>'RES_ro-RO'!errmsg.NumOfSampReq</vt:lpstr>
      <vt:lpstr>'RES_ru-RU'!errmsg.NumOfSampReq</vt:lpstr>
      <vt:lpstr>'RES_sl-SI'!errmsg.NumOfSampReq</vt:lpstr>
      <vt:lpstr>'RES_sv-SE'!errmsg.NumOfSampReq</vt:lpstr>
      <vt:lpstr>'RES_tr-TR'!errmsg.NumOfSampReq</vt:lpstr>
      <vt:lpstr>'RES_zh-CN'!errmsg.NumOfSampReq</vt:lpstr>
      <vt:lpstr>'RES_zh-TW'!errmsg.NumOfSampReq</vt:lpstr>
      <vt:lpstr>'RES_cs-CZ'!errmsg.OffsetErr</vt:lpstr>
      <vt:lpstr>'RES_da-DK'!errmsg.OffsetErr</vt:lpstr>
      <vt:lpstr>'RES_de-DE'!errmsg.OffsetErr</vt:lpstr>
      <vt:lpstr>'RES_el-GR'!errmsg.OffsetErr</vt:lpstr>
      <vt:lpstr>'RES_en-US'!errmsg.OffsetErr</vt:lpstr>
      <vt:lpstr>'RES_es-ES'!errmsg.OffsetErr</vt:lpstr>
      <vt:lpstr>'RES_fi-FI'!errmsg.OffsetErr</vt:lpstr>
      <vt:lpstr>'RES_fr-FR'!errmsg.OffsetErr</vt:lpstr>
      <vt:lpstr>'RES_hr-HR'!errmsg.OffsetErr</vt:lpstr>
      <vt:lpstr>'RES_hu-HU'!errmsg.OffsetErr</vt:lpstr>
      <vt:lpstr>'RES_it-IT'!errmsg.OffsetErr</vt:lpstr>
      <vt:lpstr>'RES_ja-JP'!errmsg.OffsetErr</vt:lpstr>
      <vt:lpstr>'RES_ko-KR'!errmsg.OffsetErr</vt:lpstr>
      <vt:lpstr>'RES_lv-LV'!errmsg.OffsetErr</vt:lpstr>
      <vt:lpstr>'RES_nb-NO'!errmsg.OffsetErr</vt:lpstr>
      <vt:lpstr>'RES_nl-NL'!errmsg.OffsetErr</vt:lpstr>
      <vt:lpstr>'RES_pl-PL'!errmsg.OffsetErr</vt:lpstr>
      <vt:lpstr>'RES_pt-BR'!errmsg.OffsetErr</vt:lpstr>
      <vt:lpstr>'RES_pt-PT'!errmsg.OffsetErr</vt:lpstr>
      <vt:lpstr>'RES_ro-RO'!errmsg.OffsetErr</vt:lpstr>
      <vt:lpstr>'RES_ru-RU'!errmsg.OffsetErr</vt:lpstr>
      <vt:lpstr>'RES_sl-SI'!errmsg.OffsetErr</vt:lpstr>
      <vt:lpstr>'RES_sv-SE'!errmsg.OffsetErr</vt:lpstr>
      <vt:lpstr>'RES_tr-TR'!errmsg.OffsetErr</vt:lpstr>
      <vt:lpstr>'RES_zh-CN'!errmsg.OffsetErr</vt:lpstr>
      <vt:lpstr>'RES_zh-TW'!errmsg.OffsetErr</vt:lpstr>
      <vt:lpstr>'RES_cs-CZ'!errmsg.OpenResrcErr</vt:lpstr>
      <vt:lpstr>'RES_da-DK'!errmsg.OpenResrcErr</vt:lpstr>
      <vt:lpstr>'RES_de-DE'!errmsg.OpenResrcErr</vt:lpstr>
      <vt:lpstr>'RES_el-GR'!errmsg.OpenResrcErr</vt:lpstr>
      <vt:lpstr>'RES_en-US'!errmsg.OpenResrcErr</vt:lpstr>
      <vt:lpstr>'RES_es-ES'!errmsg.OpenResrcErr</vt:lpstr>
      <vt:lpstr>'RES_fi-FI'!errmsg.OpenResrcErr</vt:lpstr>
      <vt:lpstr>'RES_fr-FR'!errmsg.OpenResrcErr</vt:lpstr>
      <vt:lpstr>'RES_hr-HR'!errmsg.OpenResrcErr</vt:lpstr>
      <vt:lpstr>'RES_hu-HU'!errmsg.OpenResrcErr</vt:lpstr>
      <vt:lpstr>'RES_it-IT'!errmsg.OpenResrcErr</vt:lpstr>
      <vt:lpstr>'RES_ja-JP'!errmsg.OpenResrcErr</vt:lpstr>
      <vt:lpstr>'RES_ko-KR'!errmsg.OpenResrcErr</vt:lpstr>
      <vt:lpstr>'RES_lv-LV'!errmsg.OpenResrcErr</vt:lpstr>
      <vt:lpstr>'RES_nb-NO'!errmsg.OpenResrcErr</vt:lpstr>
      <vt:lpstr>'RES_nl-NL'!errmsg.OpenResrcErr</vt:lpstr>
      <vt:lpstr>'RES_pl-PL'!errmsg.OpenResrcErr</vt:lpstr>
      <vt:lpstr>'RES_pt-BR'!errmsg.OpenResrcErr</vt:lpstr>
      <vt:lpstr>'RES_pt-PT'!errmsg.OpenResrcErr</vt:lpstr>
      <vt:lpstr>'RES_ro-RO'!errmsg.OpenResrcErr</vt:lpstr>
      <vt:lpstr>'RES_ru-RU'!errmsg.OpenResrcErr</vt:lpstr>
      <vt:lpstr>'RES_sl-SI'!errmsg.OpenResrcErr</vt:lpstr>
      <vt:lpstr>'RES_sv-SE'!errmsg.OpenResrcErr</vt:lpstr>
      <vt:lpstr>'RES_tr-TR'!errmsg.OpenResrcErr</vt:lpstr>
      <vt:lpstr>'RES_zh-CN'!errmsg.OpenResrcErr</vt:lpstr>
      <vt:lpstr>'RES_zh-TW'!errmsg.OpenResrcErr</vt:lpstr>
      <vt:lpstr>'RES_cs-CZ'!errmsg.OutOptErr</vt:lpstr>
      <vt:lpstr>'RES_da-DK'!errmsg.OutOptErr</vt:lpstr>
      <vt:lpstr>'RES_de-DE'!errmsg.OutOptErr</vt:lpstr>
      <vt:lpstr>'RES_el-GR'!errmsg.OutOptErr</vt:lpstr>
      <vt:lpstr>'RES_en-US'!errmsg.OutOptErr</vt:lpstr>
      <vt:lpstr>'RES_es-ES'!errmsg.OutOptErr</vt:lpstr>
      <vt:lpstr>'RES_fi-FI'!errmsg.OutOptErr</vt:lpstr>
      <vt:lpstr>'RES_fr-FR'!errmsg.OutOptErr</vt:lpstr>
      <vt:lpstr>'RES_hr-HR'!errmsg.OutOptErr</vt:lpstr>
      <vt:lpstr>'RES_hu-HU'!errmsg.OutOptErr</vt:lpstr>
      <vt:lpstr>'RES_it-IT'!errmsg.OutOptErr</vt:lpstr>
      <vt:lpstr>'RES_ja-JP'!errmsg.OutOptErr</vt:lpstr>
      <vt:lpstr>'RES_ko-KR'!errmsg.OutOptErr</vt:lpstr>
      <vt:lpstr>'RES_lv-LV'!errmsg.OutOptErr</vt:lpstr>
      <vt:lpstr>'RES_nb-NO'!errmsg.OutOptErr</vt:lpstr>
      <vt:lpstr>'RES_nl-NL'!errmsg.OutOptErr</vt:lpstr>
      <vt:lpstr>'RES_pl-PL'!errmsg.OutOptErr</vt:lpstr>
      <vt:lpstr>'RES_pt-BR'!errmsg.OutOptErr</vt:lpstr>
      <vt:lpstr>'RES_pt-PT'!errmsg.OutOptErr</vt:lpstr>
      <vt:lpstr>'RES_ro-RO'!errmsg.OutOptErr</vt:lpstr>
      <vt:lpstr>'RES_ru-RU'!errmsg.OutOptErr</vt:lpstr>
      <vt:lpstr>'RES_sl-SI'!errmsg.OutOptErr</vt:lpstr>
      <vt:lpstr>'RES_sv-SE'!errmsg.OutOptErr</vt:lpstr>
      <vt:lpstr>'RES_tr-TR'!errmsg.OutOptErr</vt:lpstr>
      <vt:lpstr>'RES_zh-CN'!errmsg.OutOptErr</vt:lpstr>
      <vt:lpstr>'RES_zh-TW'!errmsg.OutOptErr</vt:lpstr>
      <vt:lpstr>'RES_cs-CZ'!errmsg.OutRgMustBeRef</vt:lpstr>
      <vt:lpstr>'RES_da-DK'!errmsg.OutRgMustBeRef</vt:lpstr>
      <vt:lpstr>'RES_de-DE'!errmsg.OutRgMustBeRef</vt:lpstr>
      <vt:lpstr>'RES_el-GR'!errmsg.OutRgMustBeRef</vt:lpstr>
      <vt:lpstr>'RES_en-US'!errmsg.OutRgMustBeRef</vt:lpstr>
      <vt:lpstr>'RES_es-ES'!errmsg.OutRgMustBeRef</vt:lpstr>
      <vt:lpstr>'RES_fi-FI'!errmsg.OutRgMustBeRef</vt:lpstr>
      <vt:lpstr>'RES_fr-FR'!errmsg.OutRgMustBeRef</vt:lpstr>
      <vt:lpstr>'RES_hr-HR'!errmsg.OutRgMustBeRef</vt:lpstr>
      <vt:lpstr>'RES_hu-HU'!errmsg.OutRgMustBeRef</vt:lpstr>
      <vt:lpstr>'RES_it-IT'!errmsg.OutRgMustBeRef</vt:lpstr>
      <vt:lpstr>'RES_ja-JP'!errmsg.OutRgMustBeRef</vt:lpstr>
      <vt:lpstr>'RES_ko-KR'!errmsg.OutRgMustBeRef</vt:lpstr>
      <vt:lpstr>'RES_lv-LV'!errmsg.OutRgMustBeRef</vt:lpstr>
      <vt:lpstr>'RES_nb-NO'!errmsg.OutRgMustBeRef</vt:lpstr>
      <vt:lpstr>'RES_nl-NL'!errmsg.OutRgMustBeRef</vt:lpstr>
      <vt:lpstr>'RES_pl-PL'!errmsg.OutRgMustBeRef</vt:lpstr>
      <vt:lpstr>'RES_pt-BR'!errmsg.OutRgMustBeRef</vt:lpstr>
      <vt:lpstr>'RES_pt-PT'!errmsg.OutRgMustBeRef</vt:lpstr>
      <vt:lpstr>'RES_ro-RO'!errmsg.OutRgMustBeRef</vt:lpstr>
      <vt:lpstr>'RES_ru-RU'!errmsg.OutRgMustBeRef</vt:lpstr>
      <vt:lpstr>'RES_sl-SI'!errmsg.OutRgMustBeRef</vt:lpstr>
      <vt:lpstr>'RES_sv-SE'!errmsg.OutRgMustBeRef</vt:lpstr>
      <vt:lpstr>'RES_tr-TR'!errmsg.OutRgMustBeRef</vt:lpstr>
      <vt:lpstr>'RES_zh-CN'!errmsg.OutRgMustBeRef</vt:lpstr>
      <vt:lpstr>'RES_zh-TW'!errmsg.OutRgMustBeRef</vt:lpstr>
      <vt:lpstr>'RES_cs-CZ'!errmsg.OutRgRequired</vt:lpstr>
      <vt:lpstr>'RES_da-DK'!errmsg.OutRgRequired</vt:lpstr>
      <vt:lpstr>'RES_de-DE'!errmsg.OutRgRequired</vt:lpstr>
      <vt:lpstr>'RES_el-GR'!errmsg.OutRgRequired</vt:lpstr>
      <vt:lpstr>'RES_en-US'!errmsg.OutRgRequired</vt:lpstr>
      <vt:lpstr>'RES_es-ES'!errmsg.OutRgRequired</vt:lpstr>
      <vt:lpstr>'RES_fi-FI'!errmsg.OutRgRequired</vt:lpstr>
      <vt:lpstr>'RES_fr-FR'!errmsg.OutRgRequired</vt:lpstr>
      <vt:lpstr>'RES_hr-HR'!errmsg.OutRgRequired</vt:lpstr>
      <vt:lpstr>'RES_hu-HU'!errmsg.OutRgRequired</vt:lpstr>
      <vt:lpstr>'RES_it-IT'!errmsg.OutRgRequired</vt:lpstr>
      <vt:lpstr>'RES_ja-JP'!errmsg.OutRgRequired</vt:lpstr>
      <vt:lpstr>'RES_ko-KR'!errmsg.OutRgRequired</vt:lpstr>
      <vt:lpstr>'RES_lv-LV'!errmsg.OutRgRequired</vt:lpstr>
      <vt:lpstr>'RES_nb-NO'!errmsg.OutRgRequired</vt:lpstr>
      <vt:lpstr>'RES_nl-NL'!errmsg.OutRgRequired</vt:lpstr>
      <vt:lpstr>'RES_pl-PL'!errmsg.OutRgRequired</vt:lpstr>
      <vt:lpstr>'RES_pt-BR'!errmsg.OutRgRequired</vt:lpstr>
      <vt:lpstr>'RES_pt-PT'!errmsg.OutRgRequired</vt:lpstr>
      <vt:lpstr>'RES_ro-RO'!errmsg.OutRgRequired</vt:lpstr>
      <vt:lpstr>'RES_ru-RU'!errmsg.OutRgRequired</vt:lpstr>
      <vt:lpstr>'RES_sl-SI'!errmsg.OutRgRequired</vt:lpstr>
      <vt:lpstr>'RES_sv-SE'!errmsg.OutRgRequired</vt:lpstr>
      <vt:lpstr>'RES_tr-TR'!errmsg.OutRgRequired</vt:lpstr>
      <vt:lpstr>'RES_zh-CN'!errmsg.OutRgRequired</vt:lpstr>
      <vt:lpstr>'RES_zh-TW'!errmsg.OutRgRequired</vt:lpstr>
      <vt:lpstr>'RES_cs-CZ'!errmsg.OverEdgeErr</vt:lpstr>
      <vt:lpstr>'RES_da-DK'!errmsg.OverEdgeErr</vt:lpstr>
      <vt:lpstr>'RES_de-DE'!errmsg.OverEdgeErr</vt:lpstr>
      <vt:lpstr>'RES_el-GR'!errmsg.OverEdgeErr</vt:lpstr>
      <vt:lpstr>'RES_en-US'!errmsg.OverEdgeErr</vt:lpstr>
      <vt:lpstr>'RES_es-ES'!errmsg.OverEdgeErr</vt:lpstr>
      <vt:lpstr>'RES_fi-FI'!errmsg.OverEdgeErr</vt:lpstr>
      <vt:lpstr>'RES_fr-FR'!errmsg.OverEdgeErr</vt:lpstr>
      <vt:lpstr>'RES_hr-HR'!errmsg.OverEdgeErr</vt:lpstr>
      <vt:lpstr>'RES_hu-HU'!errmsg.OverEdgeErr</vt:lpstr>
      <vt:lpstr>'RES_it-IT'!errmsg.OverEdgeErr</vt:lpstr>
      <vt:lpstr>'RES_ja-JP'!errmsg.OverEdgeErr</vt:lpstr>
      <vt:lpstr>'RES_ko-KR'!errmsg.OverEdgeErr</vt:lpstr>
      <vt:lpstr>'RES_lv-LV'!errmsg.OverEdgeErr</vt:lpstr>
      <vt:lpstr>'RES_nb-NO'!errmsg.OverEdgeErr</vt:lpstr>
      <vt:lpstr>'RES_nl-NL'!errmsg.OverEdgeErr</vt:lpstr>
      <vt:lpstr>'RES_pl-PL'!errmsg.OverEdgeErr</vt:lpstr>
      <vt:lpstr>'RES_pt-BR'!errmsg.OverEdgeErr</vt:lpstr>
      <vt:lpstr>'RES_pt-PT'!errmsg.OverEdgeErr</vt:lpstr>
      <vt:lpstr>'RES_ro-RO'!errmsg.OverEdgeErr</vt:lpstr>
      <vt:lpstr>'RES_ru-RU'!errmsg.OverEdgeErr</vt:lpstr>
      <vt:lpstr>'RES_sl-SI'!errmsg.OverEdgeErr</vt:lpstr>
      <vt:lpstr>'RES_sv-SE'!errmsg.OverEdgeErr</vt:lpstr>
      <vt:lpstr>'RES_tr-TR'!errmsg.OverEdgeErr</vt:lpstr>
      <vt:lpstr>'RES_zh-CN'!errmsg.OverEdgeErr</vt:lpstr>
      <vt:lpstr>'RES_zh-TW'!errmsg.OverEdgeErr</vt:lpstr>
      <vt:lpstr>'RES_cs-CZ'!errmsg.Overwrite</vt:lpstr>
      <vt:lpstr>'RES_da-DK'!errmsg.Overwrite</vt:lpstr>
      <vt:lpstr>'RES_de-DE'!errmsg.Overwrite</vt:lpstr>
      <vt:lpstr>'RES_el-GR'!errmsg.Overwrite</vt:lpstr>
      <vt:lpstr>'RES_en-US'!errmsg.Overwrite</vt:lpstr>
      <vt:lpstr>'RES_es-ES'!errmsg.Overwrite</vt:lpstr>
      <vt:lpstr>'RES_fi-FI'!errmsg.Overwrite</vt:lpstr>
      <vt:lpstr>'RES_fr-FR'!errmsg.Overwrite</vt:lpstr>
      <vt:lpstr>'RES_hr-HR'!errmsg.Overwrite</vt:lpstr>
      <vt:lpstr>'RES_hu-HU'!errmsg.Overwrite</vt:lpstr>
      <vt:lpstr>'RES_it-IT'!errmsg.Overwrite</vt:lpstr>
      <vt:lpstr>'RES_ja-JP'!errmsg.Overwrite</vt:lpstr>
      <vt:lpstr>'RES_ko-KR'!errmsg.Overwrite</vt:lpstr>
      <vt:lpstr>'RES_lv-LV'!errmsg.Overwrite</vt:lpstr>
      <vt:lpstr>'RES_nb-NO'!errmsg.Overwrite</vt:lpstr>
      <vt:lpstr>'RES_nl-NL'!errmsg.Overwrite</vt:lpstr>
      <vt:lpstr>'RES_pl-PL'!errmsg.Overwrite</vt:lpstr>
      <vt:lpstr>'RES_pt-BR'!errmsg.Overwrite</vt:lpstr>
      <vt:lpstr>'RES_pt-PT'!errmsg.Overwrite</vt:lpstr>
      <vt:lpstr>'RES_ro-RO'!errmsg.Overwrite</vt:lpstr>
      <vt:lpstr>'RES_ru-RU'!errmsg.Overwrite</vt:lpstr>
      <vt:lpstr>'RES_sl-SI'!errmsg.Overwrite</vt:lpstr>
      <vt:lpstr>'RES_sv-SE'!errmsg.Overwrite</vt:lpstr>
      <vt:lpstr>'RES_tr-TR'!errmsg.Overwrite</vt:lpstr>
      <vt:lpstr>'RES_zh-CN'!errmsg.Overwrite</vt:lpstr>
      <vt:lpstr>'RES_zh-TW'!errmsg.Overwrite</vt:lpstr>
      <vt:lpstr>'RES_cs-CZ'!errmsg.PatternedComb</vt:lpstr>
      <vt:lpstr>'RES_da-DK'!errmsg.PatternedComb</vt:lpstr>
      <vt:lpstr>'RES_de-DE'!errmsg.PatternedComb</vt:lpstr>
      <vt:lpstr>'RES_el-GR'!errmsg.PatternedComb</vt:lpstr>
      <vt:lpstr>'RES_en-US'!errmsg.PatternedComb</vt:lpstr>
      <vt:lpstr>'RES_es-ES'!errmsg.PatternedComb</vt:lpstr>
      <vt:lpstr>'RES_fi-FI'!errmsg.PatternedComb</vt:lpstr>
      <vt:lpstr>'RES_fr-FR'!errmsg.PatternedComb</vt:lpstr>
      <vt:lpstr>'RES_hr-HR'!errmsg.PatternedComb</vt:lpstr>
      <vt:lpstr>'RES_hu-HU'!errmsg.PatternedComb</vt:lpstr>
      <vt:lpstr>'RES_it-IT'!errmsg.PatternedComb</vt:lpstr>
      <vt:lpstr>'RES_ja-JP'!errmsg.PatternedComb</vt:lpstr>
      <vt:lpstr>'RES_ko-KR'!errmsg.PatternedComb</vt:lpstr>
      <vt:lpstr>'RES_lv-LV'!errmsg.PatternedComb</vt:lpstr>
      <vt:lpstr>'RES_nb-NO'!errmsg.PatternedComb</vt:lpstr>
      <vt:lpstr>'RES_nl-NL'!errmsg.PatternedComb</vt:lpstr>
      <vt:lpstr>'RES_pl-PL'!errmsg.PatternedComb</vt:lpstr>
      <vt:lpstr>'RES_pt-BR'!errmsg.PatternedComb</vt:lpstr>
      <vt:lpstr>'RES_pt-PT'!errmsg.PatternedComb</vt:lpstr>
      <vt:lpstr>'RES_ro-RO'!errmsg.PatternedComb</vt:lpstr>
      <vt:lpstr>'RES_ru-RU'!errmsg.PatternedComb</vt:lpstr>
      <vt:lpstr>'RES_sl-SI'!errmsg.PatternedComb</vt:lpstr>
      <vt:lpstr>'RES_sv-SE'!errmsg.PatternedComb</vt:lpstr>
      <vt:lpstr>'RES_tr-TR'!errmsg.PatternedComb</vt:lpstr>
      <vt:lpstr>'RES_zh-CN'!errmsg.PatternedComb</vt:lpstr>
      <vt:lpstr>'RES_zh-TW'!errmsg.PatternedComb</vt:lpstr>
      <vt:lpstr>'RES_cs-CZ'!errmsg.PatternedFrErr</vt:lpstr>
      <vt:lpstr>'RES_da-DK'!errmsg.PatternedFrErr</vt:lpstr>
      <vt:lpstr>'RES_de-DE'!errmsg.PatternedFrErr</vt:lpstr>
      <vt:lpstr>'RES_el-GR'!errmsg.PatternedFrErr</vt:lpstr>
      <vt:lpstr>'RES_en-US'!errmsg.PatternedFrErr</vt:lpstr>
      <vt:lpstr>'RES_es-ES'!errmsg.PatternedFrErr</vt:lpstr>
      <vt:lpstr>'RES_fi-FI'!errmsg.PatternedFrErr</vt:lpstr>
      <vt:lpstr>'RES_fr-FR'!errmsg.PatternedFrErr</vt:lpstr>
      <vt:lpstr>'RES_hr-HR'!errmsg.PatternedFrErr</vt:lpstr>
      <vt:lpstr>'RES_hu-HU'!errmsg.PatternedFrErr</vt:lpstr>
      <vt:lpstr>'RES_it-IT'!errmsg.PatternedFrErr</vt:lpstr>
      <vt:lpstr>'RES_ja-JP'!errmsg.PatternedFrErr</vt:lpstr>
      <vt:lpstr>'RES_ko-KR'!errmsg.PatternedFrErr</vt:lpstr>
      <vt:lpstr>'RES_lv-LV'!errmsg.PatternedFrErr</vt:lpstr>
      <vt:lpstr>'RES_nb-NO'!errmsg.PatternedFrErr</vt:lpstr>
      <vt:lpstr>'RES_nl-NL'!errmsg.PatternedFrErr</vt:lpstr>
      <vt:lpstr>'RES_pl-PL'!errmsg.PatternedFrErr</vt:lpstr>
      <vt:lpstr>'RES_pt-BR'!errmsg.PatternedFrErr</vt:lpstr>
      <vt:lpstr>'RES_pt-PT'!errmsg.PatternedFrErr</vt:lpstr>
      <vt:lpstr>'RES_ro-RO'!errmsg.PatternedFrErr</vt:lpstr>
      <vt:lpstr>'RES_ru-RU'!errmsg.PatternedFrErr</vt:lpstr>
      <vt:lpstr>'RES_sl-SI'!errmsg.PatternedFrErr</vt:lpstr>
      <vt:lpstr>'RES_sv-SE'!errmsg.PatternedFrErr</vt:lpstr>
      <vt:lpstr>'RES_tr-TR'!errmsg.PatternedFrErr</vt:lpstr>
      <vt:lpstr>'RES_zh-CN'!errmsg.PatternedFrErr</vt:lpstr>
      <vt:lpstr>'RES_zh-TW'!errmsg.PatternedFrErr</vt:lpstr>
      <vt:lpstr>'RES_cs-CZ'!errmsg.PatternedRepNumErr</vt:lpstr>
      <vt:lpstr>'RES_da-DK'!errmsg.PatternedRepNumErr</vt:lpstr>
      <vt:lpstr>'RES_de-DE'!errmsg.PatternedRepNumErr</vt:lpstr>
      <vt:lpstr>'RES_el-GR'!errmsg.PatternedRepNumErr</vt:lpstr>
      <vt:lpstr>'RES_en-US'!errmsg.PatternedRepNumErr</vt:lpstr>
      <vt:lpstr>'RES_es-ES'!errmsg.PatternedRepNumErr</vt:lpstr>
      <vt:lpstr>'RES_fi-FI'!errmsg.PatternedRepNumErr</vt:lpstr>
      <vt:lpstr>'RES_fr-FR'!errmsg.PatternedRepNumErr</vt:lpstr>
      <vt:lpstr>'RES_hr-HR'!errmsg.PatternedRepNumErr</vt:lpstr>
      <vt:lpstr>'RES_hu-HU'!errmsg.PatternedRepNumErr</vt:lpstr>
      <vt:lpstr>'RES_it-IT'!errmsg.PatternedRepNumErr</vt:lpstr>
      <vt:lpstr>'RES_ja-JP'!errmsg.PatternedRepNumErr</vt:lpstr>
      <vt:lpstr>'RES_ko-KR'!errmsg.PatternedRepNumErr</vt:lpstr>
      <vt:lpstr>'RES_lv-LV'!errmsg.PatternedRepNumErr</vt:lpstr>
      <vt:lpstr>'RES_nb-NO'!errmsg.PatternedRepNumErr</vt:lpstr>
      <vt:lpstr>'RES_nl-NL'!errmsg.PatternedRepNumErr</vt:lpstr>
      <vt:lpstr>'RES_pl-PL'!errmsg.PatternedRepNumErr</vt:lpstr>
      <vt:lpstr>'RES_pt-BR'!errmsg.PatternedRepNumErr</vt:lpstr>
      <vt:lpstr>'RES_pt-PT'!errmsg.PatternedRepNumErr</vt:lpstr>
      <vt:lpstr>'RES_ro-RO'!errmsg.PatternedRepNumErr</vt:lpstr>
      <vt:lpstr>'RES_ru-RU'!errmsg.PatternedRepNumErr</vt:lpstr>
      <vt:lpstr>'RES_sl-SI'!errmsg.PatternedRepNumErr</vt:lpstr>
      <vt:lpstr>'RES_sv-SE'!errmsg.PatternedRepNumErr</vt:lpstr>
      <vt:lpstr>'RES_tr-TR'!errmsg.PatternedRepNumErr</vt:lpstr>
      <vt:lpstr>'RES_zh-CN'!errmsg.PatternedRepNumErr</vt:lpstr>
      <vt:lpstr>'RES_zh-TW'!errmsg.PatternedRepNumErr</vt:lpstr>
      <vt:lpstr>'RES_cs-CZ'!errmsg.PatternedRepSeqErr</vt:lpstr>
      <vt:lpstr>'RES_da-DK'!errmsg.PatternedRepSeqErr</vt:lpstr>
      <vt:lpstr>'RES_de-DE'!errmsg.PatternedRepSeqErr</vt:lpstr>
      <vt:lpstr>'RES_el-GR'!errmsg.PatternedRepSeqErr</vt:lpstr>
      <vt:lpstr>'RES_en-US'!errmsg.PatternedRepSeqErr</vt:lpstr>
      <vt:lpstr>'RES_es-ES'!errmsg.PatternedRepSeqErr</vt:lpstr>
      <vt:lpstr>'RES_fi-FI'!errmsg.PatternedRepSeqErr</vt:lpstr>
      <vt:lpstr>'RES_fr-FR'!errmsg.PatternedRepSeqErr</vt:lpstr>
      <vt:lpstr>'RES_hr-HR'!errmsg.PatternedRepSeqErr</vt:lpstr>
      <vt:lpstr>'RES_hu-HU'!errmsg.PatternedRepSeqErr</vt:lpstr>
      <vt:lpstr>'RES_it-IT'!errmsg.PatternedRepSeqErr</vt:lpstr>
      <vt:lpstr>'RES_ja-JP'!errmsg.PatternedRepSeqErr</vt:lpstr>
      <vt:lpstr>'RES_ko-KR'!errmsg.PatternedRepSeqErr</vt:lpstr>
      <vt:lpstr>'RES_lv-LV'!errmsg.PatternedRepSeqErr</vt:lpstr>
      <vt:lpstr>'RES_nb-NO'!errmsg.PatternedRepSeqErr</vt:lpstr>
      <vt:lpstr>'RES_nl-NL'!errmsg.PatternedRepSeqErr</vt:lpstr>
      <vt:lpstr>'RES_pl-PL'!errmsg.PatternedRepSeqErr</vt:lpstr>
      <vt:lpstr>'RES_pt-BR'!errmsg.PatternedRepSeqErr</vt:lpstr>
      <vt:lpstr>'RES_pt-PT'!errmsg.PatternedRepSeqErr</vt:lpstr>
      <vt:lpstr>'RES_ro-RO'!errmsg.PatternedRepSeqErr</vt:lpstr>
      <vt:lpstr>'RES_ru-RU'!errmsg.PatternedRepSeqErr</vt:lpstr>
      <vt:lpstr>'RES_sl-SI'!errmsg.PatternedRepSeqErr</vt:lpstr>
      <vt:lpstr>'RES_sv-SE'!errmsg.PatternedRepSeqErr</vt:lpstr>
      <vt:lpstr>'RES_tr-TR'!errmsg.PatternedRepSeqErr</vt:lpstr>
      <vt:lpstr>'RES_zh-CN'!errmsg.PatternedRepSeqErr</vt:lpstr>
      <vt:lpstr>'RES_zh-TW'!errmsg.PatternedRepSeqErr</vt:lpstr>
      <vt:lpstr>'RES_cs-CZ'!errmsg.PatternedStepErr</vt:lpstr>
      <vt:lpstr>'RES_da-DK'!errmsg.PatternedStepErr</vt:lpstr>
      <vt:lpstr>'RES_de-DE'!errmsg.PatternedStepErr</vt:lpstr>
      <vt:lpstr>'RES_el-GR'!errmsg.PatternedStepErr</vt:lpstr>
      <vt:lpstr>'RES_en-US'!errmsg.PatternedStepErr</vt:lpstr>
      <vt:lpstr>'RES_es-ES'!errmsg.PatternedStepErr</vt:lpstr>
      <vt:lpstr>'RES_fi-FI'!errmsg.PatternedStepErr</vt:lpstr>
      <vt:lpstr>'RES_fr-FR'!errmsg.PatternedStepErr</vt:lpstr>
      <vt:lpstr>'RES_hr-HR'!errmsg.PatternedStepErr</vt:lpstr>
      <vt:lpstr>'RES_hu-HU'!errmsg.PatternedStepErr</vt:lpstr>
      <vt:lpstr>'RES_it-IT'!errmsg.PatternedStepErr</vt:lpstr>
      <vt:lpstr>'RES_ja-JP'!errmsg.PatternedStepErr</vt:lpstr>
      <vt:lpstr>'RES_ko-KR'!errmsg.PatternedStepErr</vt:lpstr>
      <vt:lpstr>'RES_lv-LV'!errmsg.PatternedStepErr</vt:lpstr>
      <vt:lpstr>'RES_nb-NO'!errmsg.PatternedStepErr</vt:lpstr>
      <vt:lpstr>'RES_nl-NL'!errmsg.PatternedStepErr</vt:lpstr>
      <vt:lpstr>'RES_pl-PL'!errmsg.PatternedStepErr</vt:lpstr>
      <vt:lpstr>'RES_pt-BR'!errmsg.PatternedStepErr</vt:lpstr>
      <vt:lpstr>'RES_pt-PT'!errmsg.PatternedStepErr</vt:lpstr>
      <vt:lpstr>'RES_ro-RO'!errmsg.PatternedStepErr</vt:lpstr>
      <vt:lpstr>'RES_ru-RU'!errmsg.PatternedStepErr</vt:lpstr>
      <vt:lpstr>'RES_sl-SI'!errmsg.PatternedStepErr</vt:lpstr>
      <vt:lpstr>'RES_sv-SE'!errmsg.PatternedStepErr</vt:lpstr>
      <vt:lpstr>'RES_tr-TR'!errmsg.PatternedStepErr</vt:lpstr>
      <vt:lpstr>'RES_zh-CN'!errmsg.PatternedStepErr</vt:lpstr>
      <vt:lpstr>'RES_zh-TW'!errmsg.PatternedStepErr</vt:lpstr>
      <vt:lpstr>'RES_cs-CZ'!errmsg.PatternedToErr</vt:lpstr>
      <vt:lpstr>'RES_da-DK'!errmsg.PatternedToErr</vt:lpstr>
      <vt:lpstr>'RES_de-DE'!errmsg.PatternedToErr</vt:lpstr>
      <vt:lpstr>'RES_el-GR'!errmsg.PatternedToErr</vt:lpstr>
      <vt:lpstr>'RES_en-US'!errmsg.PatternedToErr</vt:lpstr>
      <vt:lpstr>'RES_es-ES'!errmsg.PatternedToErr</vt:lpstr>
      <vt:lpstr>'RES_fi-FI'!errmsg.PatternedToErr</vt:lpstr>
      <vt:lpstr>'RES_fr-FR'!errmsg.PatternedToErr</vt:lpstr>
      <vt:lpstr>'RES_hr-HR'!errmsg.PatternedToErr</vt:lpstr>
      <vt:lpstr>'RES_hu-HU'!errmsg.PatternedToErr</vt:lpstr>
      <vt:lpstr>'RES_it-IT'!errmsg.PatternedToErr</vt:lpstr>
      <vt:lpstr>'RES_ja-JP'!errmsg.PatternedToErr</vt:lpstr>
      <vt:lpstr>'RES_ko-KR'!errmsg.PatternedToErr</vt:lpstr>
      <vt:lpstr>'RES_lv-LV'!errmsg.PatternedToErr</vt:lpstr>
      <vt:lpstr>'RES_nb-NO'!errmsg.PatternedToErr</vt:lpstr>
      <vt:lpstr>'RES_nl-NL'!errmsg.PatternedToErr</vt:lpstr>
      <vt:lpstr>'RES_pl-PL'!errmsg.PatternedToErr</vt:lpstr>
      <vt:lpstr>'RES_pt-BR'!errmsg.PatternedToErr</vt:lpstr>
      <vt:lpstr>'RES_pt-PT'!errmsg.PatternedToErr</vt:lpstr>
      <vt:lpstr>'RES_ro-RO'!errmsg.PatternedToErr</vt:lpstr>
      <vt:lpstr>'RES_ru-RU'!errmsg.PatternedToErr</vt:lpstr>
      <vt:lpstr>'RES_sl-SI'!errmsg.PatternedToErr</vt:lpstr>
      <vt:lpstr>'RES_sv-SE'!errmsg.PatternedToErr</vt:lpstr>
      <vt:lpstr>'RES_tr-TR'!errmsg.PatternedToErr</vt:lpstr>
      <vt:lpstr>'RES_zh-CN'!errmsg.PatternedToErr</vt:lpstr>
      <vt:lpstr>'RES_zh-TW'!errmsg.PatternedToErr</vt:lpstr>
      <vt:lpstr>'RES_cs-CZ'!errmsg.PeriodInvalid</vt:lpstr>
      <vt:lpstr>'RES_da-DK'!errmsg.PeriodInvalid</vt:lpstr>
      <vt:lpstr>'RES_de-DE'!errmsg.PeriodInvalid</vt:lpstr>
      <vt:lpstr>'RES_el-GR'!errmsg.PeriodInvalid</vt:lpstr>
      <vt:lpstr>'RES_en-US'!errmsg.PeriodInvalid</vt:lpstr>
      <vt:lpstr>'RES_es-ES'!errmsg.PeriodInvalid</vt:lpstr>
      <vt:lpstr>'RES_fi-FI'!errmsg.PeriodInvalid</vt:lpstr>
      <vt:lpstr>'RES_fr-FR'!errmsg.PeriodInvalid</vt:lpstr>
      <vt:lpstr>'RES_hr-HR'!errmsg.PeriodInvalid</vt:lpstr>
      <vt:lpstr>'RES_hu-HU'!errmsg.PeriodInvalid</vt:lpstr>
      <vt:lpstr>'RES_it-IT'!errmsg.PeriodInvalid</vt:lpstr>
      <vt:lpstr>'RES_ja-JP'!errmsg.PeriodInvalid</vt:lpstr>
      <vt:lpstr>'RES_ko-KR'!errmsg.PeriodInvalid</vt:lpstr>
      <vt:lpstr>'RES_lv-LV'!errmsg.PeriodInvalid</vt:lpstr>
      <vt:lpstr>'RES_nb-NO'!errmsg.PeriodInvalid</vt:lpstr>
      <vt:lpstr>'RES_nl-NL'!errmsg.PeriodInvalid</vt:lpstr>
      <vt:lpstr>'RES_pl-PL'!errmsg.PeriodInvalid</vt:lpstr>
      <vt:lpstr>'RES_pt-BR'!errmsg.PeriodInvalid</vt:lpstr>
      <vt:lpstr>'RES_pt-PT'!errmsg.PeriodInvalid</vt:lpstr>
      <vt:lpstr>'RES_ro-RO'!errmsg.PeriodInvalid</vt:lpstr>
      <vt:lpstr>'RES_ru-RU'!errmsg.PeriodInvalid</vt:lpstr>
      <vt:lpstr>'RES_sl-SI'!errmsg.PeriodInvalid</vt:lpstr>
      <vt:lpstr>'RES_sv-SE'!errmsg.PeriodInvalid</vt:lpstr>
      <vt:lpstr>'RES_tr-TR'!errmsg.PeriodInvalid</vt:lpstr>
      <vt:lpstr>'RES_zh-CN'!errmsg.PeriodInvalid</vt:lpstr>
      <vt:lpstr>'RES_zh-TW'!errmsg.PeriodInvalid</vt:lpstr>
      <vt:lpstr>'RES_cs-CZ'!errmsg.PeriodReq</vt:lpstr>
      <vt:lpstr>'RES_da-DK'!errmsg.PeriodReq</vt:lpstr>
      <vt:lpstr>'RES_de-DE'!errmsg.PeriodReq</vt:lpstr>
      <vt:lpstr>'RES_el-GR'!errmsg.PeriodReq</vt:lpstr>
      <vt:lpstr>'RES_en-US'!errmsg.PeriodReq</vt:lpstr>
      <vt:lpstr>'RES_es-ES'!errmsg.PeriodReq</vt:lpstr>
      <vt:lpstr>'RES_fi-FI'!errmsg.PeriodReq</vt:lpstr>
      <vt:lpstr>'RES_fr-FR'!errmsg.PeriodReq</vt:lpstr>
      <vt:lpstr>'RES_hr-HR'!errmsg.PeriodReq</vt:lpstr>
      <vt:lpstr>'RES_hu-HU'!errmsg.PeriodReq</vt:lpstr>
      <vt:lpstr>'RES_it-IT'!errmsg.PeriodReq</vt:lpstr>
      <vt:lpstr>'RES_ja-JP'!errmsg.PeriodReq</vt:lpstr>
      <vt:lpstr>'RES_ko-KR'!errmsg.PeriodReq</vt:lpstr>
      <vt:lpstr>'RES_lv-LV'!errmsg.PeriodReq</vt:lpstr>
      <vt:lpstr>'RES_nb-NO'!errmsg.PeriodReq</vt:lpstr>
      <vt:lpstr>'RES_nl-NL'!errmsg.PeriodReq</vt:lpstr>
      <vt:lpstr>'RES_pl-PL'!errmsg.PeriodReq</vt:lpstr>
      <vt:lpstr>'RES_pt-BR'!errmsg.PeriodReq</vt:lpstr>
      <vt:lpstr>'RES_pt-PT'!errmsg.PeriodReq</vt:lpstr>
      <vt:lpstr>'RES_ro-RO'!errmsg.PeriodReq</vt:lpstr>
      <vt:lpstr>'RES_ru-RU'!errmsg.PeriodReq</vt:lpstr>
      <vt:lpstr>'RES_sl-SI'!errmsg.PeriodReq</vt:lpstr>
      <vt:lpstr>'RES_sv-SE'!errmsg.PeriodReq</vt:lpstr>
      <vt:lpstr>'RES_tr-TR'!errmsg.PeriodReq</vt:lpstr>
      <vt:lpstr>'RES_zh-CN'!errmsg.PeriodReq</vt:lpstr>
      <vt:lpstr>'RES_zh-TW'!errmsg.PeriodReq</vt:lpstr>
      <vt:lpstr>'RES_cs-CZ'!errmsg.PeriodTooBig</vt:lpstr>
      <vt:lpstr>'RES_da-DK'!errmsg.PeriodTooBig</vt:lpstr>
      <vt:lpstr>'RES_de-DE'!errmsg.PeriodTooBig</vt:lpstr>
      <vt:lpstr>'RES_el-GR'!errmsg.PeriodTooBig</vt:lpstr>
      <vt:lpstr>'RES_en-US'!errmsg.PeriodTooBig</vt:lpstr>
      <vt:lpstr>'RES_es-ES'!errmsg.PeriodTooBig</vt:lpstr>
      <vt:lpstr>'RES_fi-FI'!errmsg.PeriodTooBig</vt:lpstr>
      <vt:lpstr>'RES_fr-FR'!errmsg.PeriodTooBig</vt:lpstr>
      <vt:lpstr>'RES_hr-HR'!errmsg.PeriodTooBig</vt:lpstr>
      <vt:lpstr>'RES_hu-HU'!errmsg.PeriodTooBig</vt:lpstr>
      <vt:lpstr>'RES_it-IT'!errmsg.PeriodTooBig</vt:lpstr>
      <vt:lpstr>'RES_ja-JP'!errmsg.PeriodTooBig</vt:lpstr>
      <vt:lpstr>'RES_ko-KR'!errmsg.PeriodTooBig</vt:lpstr>
      <vt:lpstr>'RES_lv-LV'!errmsg.PeriodTooBig</vt:lpstr>
      <vt:lpstr>'RES_nb-NO'!errmsg.PeriodTooBig</vt:lpstr>
      <vt:lpstr>'RES_nl-NL'!errmsg.PeriodTooBig</vt:lpstr>
      <vt:lpstr>'RES_pl-PL'!errmsg.PeriodTooBig</vt:lpstr>
      <vt:lpstr>'RES_pt-BR'!errmsg.PeriodTooBig</vt:lpstr>
      <vt:lpstr>'RES_pt-PT'!errmsg.PeriodTooBig</vt:lpstr>
      <vt:lpstr>'RES_ro-RO'!errmsg.PeriodTooBig</vt:lpstr>
      <vt:lpstr>'RES_ru-RU'!errmsg.PeriodTooBig</vt:lpstr>
      <vt:lpstr>'RES_sl-SI'!errmsg.PeriodTooBig</vt:lpstr>
      <vt:lpstr>'RES_sv-SE'!errmsg.PeriodTooBig</vt:lpstr>
      <vt:lpstr>'RES_tr-TR'!errmsg.PeriodTooBig</vt:lpstr>
      <vt:lpstr>'RES_zh-CN'!errmsg.PeriodTooBig</vt:lpstr>
      <vt:lpstr>'RES_zh-TW'!errmsg.PeriodTooBig</vt:lpstr>
      <vt:lpstr>'RES_cs-CZ'!errmsg.PoissonLamdaErr</vt:lpstr>
      <vt:lpstr>'RES_da-DK'!errmsg.PoissonLamdaErr</vt:lpstr>
      <vt:lpstr>'RES_de-DE'!errmsg.PoissonLamdaErr</vt:lpstr>
      <vt:lpstr>'RES_el-GR'!errmsg.PoissonLamdaErr</vt:lpstr>
      <vt:lpstr>'RES_en-US'!errmsg.PoissonLamdaErr</vt:lpstr>
      <vt:lpstr>'RES_es-ES'!errmsg.PoissonLamdaErr</vt:lpstr>
      <vt:lpstr>'RES_fi-FI'!errmsg.PoissonLamdaErr</vt:lpstr>
      <vt:lpstr>'RES_fr-FR'!errmsg.PoissonLamdaErr</vt:lpstr>
      <vt:lpstr>'RES_hr-HR'!errmsg.PoissonLamdaErr</vt:lpstr>
      <vt:lpstr>'RES_hu-HU'!errmsg.PoissonLamdaErr</vt:lpstr>
      <vt:lpstr>'RES_it-IT'!errmsg.PoissonLamdaErr</vt:lpstr>
      <vt:lpstr>'RES_ja-JP'!errmsg.PoissonLamdaErr</vt:lpstr>
      <vt:lpstr>'RES_ko-KR'!errmsg.PoissonLamdaErr</vt:lpstr>
      <vt:lpstr>'RES_lv-LV'!errmsg.PoissonLamdaErr</vt:lpstr>
      <vt:lpstr>'RES_nb-NO'!errmsg.PoissonLamdaErr</vt:lpstr>
      <vt:lpstr>'RES_nl-NL'!errmsg.PoissonLamdaErr</vt:lpstr>
      <vt:lpstr>'RES_pl-PL'!errmsg.PoissonLamdaErr</vt:lpstr>
      <vt:lpstr>'RES_pt-BR'!errmsg.PoissonLamdaErr</vt:lpstr>
      <vt:lpstr>'RES_pt-PT'!errmsg.PoissonLamdaErr</vt:lpstr>
      <vt:lpstr>'RES_ro-RO'!errmsg.PoissonLamdaErr</vt:lpstr>
      <vt:lpstr>'RES_ru-RU'!errmsg.PoissonLamdaErr</vt:lpstr>
      <vt:lpstr>'RES_sl-SI'!errmsg.PoissonLamdaErr</vt:lpstr>
      <vt:lpstr>'RES_sv-SE'!errmsg.PoissonLamdaErr</vt:lpstr>
      <vt:lpstr>'RES_tr-TR'!errmsg.PoissonLamdaErr</vt:lpstr>
      <vt:lpstr>'RES_zh-CN'!errmsg.PoissonLamdaErr</vt:lpstr>
      <vt:lpstr>'RES_zh-TW'!errmsg.PoissonLamdaErr</vt:lpstr>
      <vt:lpstr>'RES_cs-CZ'!errmsg.RandDistTypeReq</vt:lpstr>
      <vt:lpstr>'RES_da-DK'!errmsg.RandDistTypeReq</vt:lpstr>
      <vt:lpstr>'RES_de-DE'!errmsg.RandDistTypeReq</vt:lpstr>
      <vt:lpstr>'RES_el-GR'!errmsg.RandDistTypeReq</vt:lpstr>
      <vt:lpstr>'RES_en-US'!errmsg.RandDistTypeReq</vt:lpstr>
      <vt:lpstr>'RES_es-ES'!errmsg.RandDistTypeReq</vt:lpstr>
      <vt:lpstr>'RES_fi-FI'!errmsg.RandDistTypeReq</vt:lpstr>
      <vt:lpstr>'RES_fr-FR'!errmsg.RandDistTypeReq</vt:lpstr>
      <vt:lpstr>'RES_hr-HR'!errmsg.RandDistTypeReq</vt:lpstr>
      <vt:lpstr>'RES_hu-HU'!errmsg.RandDistTypeReq</vt:lpstr>
      <vt:lpstr>'RES_it-IT'!errmsg.RandDistTypeReq</vt:lpstr>
      <vt:lpstr>'RES_ja-JP'!errmsg.RandDistTypeReq</vt:lpstr>
      <vt:lpstr>'RES_ko-KR'!errmsg.RandDistTypeReq</vt:lpstr>
      <vt:lpstr>'RES_lv-LV'!errmsg.RandDistTypeReq</vt:lpstr>
      <vt:lpstr>'RES_nb-NO'!errmsg.RandDistTypeReq</vt:lpstr>
      <vt:lpstr>'RES_nl-NL'!errmsg.RandDistTypeReq</vt:lpstr>
      <vt:lpstr>'RES_pl-PL'!errmsg.RandDistTypeReq</vt:lpstr>
      <vt:lpstr>'RES_pt-BR'!errmsg.RandDistTypeReq</vt:lpstr>
      <vt:lpstr>'RES_pt-PT'!errmsg.RandDistTypeReq</vt:lpstr>
      <vt:lpstr>'RES_ro-RO'!errmsg.RandDistTypeReq</vt:lpstr>
      <vt:lpstr>'RES_ru-RU'!errmsg.RandDistTypeReq</vt:lpstr>
      <vt:lpstr>'RES_sl-SI'!errmsg.RandDistTypeReq</vt:lpstr>
      <vt:lpstr>'RES_sv-SE'!errmsg.RandDistTypeReq</vt:lpstr>
      <vt:lpstr>'RES_tr-TR'!errmsg.RandDistTypeReq</vt:lpstr>
      <vt:lpstr>'RES_zh-CN'!errmsg.RandDistTypeReq</vt:lpstr>
      <vt:lpstr>'RES_zh-TW'!errmsg.RandDistTypeReq</vt:lpstr>
      <vt:lpstr>'RES_cs-CZ'!errmsg.RandNumMustBeInt</vt:lpstr>
      <vt:lpstr>'RES_da-DK'!errmsg.RandNumMustBeInt</vt:lpstr>
      <vt:lpstr>'RES_de-DE'!errmsg.RandNumMustBeInt</vt:lpstr>
      <vt:lpstr>'RES_el-GR'!errmsg.RandNumMustBeInt</vt:lpstr>
      <vt:lpstr>'RES_en-US'!errmsg.RandNumMustBeInt</vt:lpstr>
      <vt:lpstr>'RES_es-ES'!errmsg.RandNumMustBeInt</vt:lpstr>
      <vt:lpstr>'RES_fi-FI'!errmsg.RandNumMustBeInt</vt:lpstr>
      <vt:lpstr>'RES_fr-FR'!errmsg.RandNumMustBeInt</vt:lpstr>
      <vt:lpstr>'RES_hr-HR'!errmsg.RandNumMustBeInt</vt:lpstr>
      <vt:lpstr>'RES_hu-HU'!errmsg.RandNumMustBeInt</vt:lpstr>
      <vt:lpstr>'RES_it-IT'!errmsg.RandNumMustBeInt</vt:lpstr>
      <vt:lpstr>'RES_ja-JP'!errmsg.RandNumMustBeInt</vt:lpstr>
      <vt:lpstr>'RES_ko-KR'!errmsg.RandNumMustBeInt</vt:lpstr>
      <vt:lpstr>'RES_lv-LV'!errmsg.RandNumMustBeInt</vt:lpstr>
      <vt:lpstr>'RES_nb-NO'!errmsg.RandNumMustBeInt</vt:lpstr>
      <vt:lpstr>'RES_nl-NL'!errmsg.RandNumMustBeInt</vt:lpstr>
      <vt:lpstr>'RES_pl-PL'!errmsg.RandNumMustBeInt</vt:lpstr>
      <vt:lpstr>'RES_pt-BR'!errmsg.RandNumMustBeInt</vt:lpstr>
      <vt:lpstr>'RES_pt-PT'!errmsg.RandNumMustBeInt</vt:lpstr>
      <vt:lpstr>'RES_ro-RO'!errmsg.RandNumMustBeInt</vt:lpstr>
      <vt:lpstr>'RES_ru-RU'!errmsg.RandNumMustBeInt</vt:lpstr>
      <vt:lpstr>'RES_sl-SI'!errmsg.RandNumMustBeInt</vt:lpstr>
      <vt:lpstr>'RES_sv-SE'!errmsg.RandNumMustBeInt</vt:lpstr>
      <vt:lpstr>'RES_tr-TR'!errmsg.RandNumMustBeInt</vt:lpstr>
      <vt:lpstr>'RES_zh-CN'!errmsg.RandNumMustBeInt</vt:lpstr>
      <vt:lpstr>'RES_zh-TW'!errmsg.RandNumMustBeInt</vt:lpstr>
      <vt:lpstr>'RES_cs-CZ'!errmsg.RandValNotExist</vt:lpstr>
      <vt:lpstr>'RES_da-DK'!errmsg.RandValNotExist</vt:lpstr>
      <vt:lpstr>'RES_de-DE'!errmsg.RandValNotExist</vt:lpstr>
      <vt:lpstr>'RES_el-GR'!errmsg.RandValNotExist</vt:lpstr>
      <vt:lpstr>'RES_en-US'!errmsg.RandValNotExist</vt:lpstr>
      <vt:lpstr>'RES_es-ES'!errmsg.RandValNotExist</vt:lpstr>
      <vt:lpstr>'RES_fi-FI'!errmsg.RandValNotExist</vt:lpstr>
      <vt:lpstr>'RES_fr-FR'!errmsg.RandValNotExist</vt:lpstr>
      <vt:lpstr>'RES_hr-HR'!errmsg.RandValNotExist</vt:lpstr>
      <vt:lpstr>'RES_hu-HU'!errmsg.RandValNotExist</vt:lpstr>
      <vt:lpstr>'RES_it-IT'!errmsg.RandValNotExist</vt:lpstr>
      <vt:lpstr>'RES_ja-JP'!errmsg.RandValNotExist</vt:lpstr>
      <vt:lpstr>'RES_ko-KR'!errmsg.RandValNotExist</vt:lpstr>
      <vt:lpstr>'RES_lv-LV'!errmsg.RandValNotExist</vt:lpstr>
      <vt:lpstr>'RES_nb-NO'!errmsg.RandValNotExist</vt:lpstr>
      <vt:lpstr>'RES_nl-NL'!errmsg.RandValNotExist</vt:lpstr>
      <vt:lpstr>'RES_pl-PL'!errmsg.RandValNotExist</vt:lpstr>
      <vt:lpstr>'RES_pt-BR'!errmsg.RandValNotExist</vt:lpstr>
      <vt:lpstr>'RES_pt-PT'!errmsg.RandValNotExist</vt:lpstr>
      <vt:lpstr>'RES_ro-RO'!errmsg.RandValNotExist</vt:lpstr>
      <vt:lpstr>'RES_ru-RU'!errmsg.RandValNotExist</vt:lpstr>
      <vt:lpstr>'RES_sl-SI'!errmsg.RandValNotExist</vt:lpstr>
      <vt:lpstr>'RES_sv-SE'!errmsg.RandValNotExist</vt:lpstr>
      <vt:lpstr>'RES_tr-TR'!errmsg.RandValNotExist</vt:lpstr>
      <vt:lpstr>'RES_zh-CN'!errmsg.RandValNotExist</vt:lpstr>
      <vt:lpstr>'RES_zh-TW'!errmsg.RandValNotExist</vt:lpstr>
      <vt:lpstr>'RES_cs-CZ'!errmsg.RandVarMustBeInt</vt:lpstr>
      <vt:lpstr>'RES_da-DK'!errmsg.RandVarMustBeInt</vt:lpstr>
      <vt:lpstr>'RES_de-DE'!errmsg.RandVarMustBeInt</vt:lpstr>
      <vt:lpstr>'RES_el-GR'!errmsg.RandVarMustBeInt</vt:lpstr>
      <vt:lpstr>'RES_en-US'!errmsg.RandVarMustBeInt</vt:lpstr>
      <vt:lpstr>'RES_es-ES'!errmsg.RandVarMustBeInt</vt:lpstr>
      <vt:lpstr>'RES_fi-FI'!errmsg.RandVarMustBeInt</vt:lpstr>
      <vt:lpstr>'RES_fr-FR'!errmsg.RandVarMustBeInt</vt:lpstr>
      <vt:lpstr>'RES_hr-HR'!errmsg.RandVarMustBeInt</vt:lpstr>
      <vt:lpstr>'RES_hu-HU'!errmsg.RandVarMustBeInt</vt:lpstr>
      <vt:lpstr>'RES_it-IT'!errmsg.RandVarMustBeInt</vt:lpstr>
      <vt:lpstr>'RES_ja-JP'!errmsg.RandVarMustBeInt</vt:lpstr>
      <vt:lpstr>'RES_ko-KR'!errmsg.RandVarMustBeInt</vt:lpstr>
      <vt:lpstr>'RES_lv-LV'!errmsg.RandVarMustBeInt</vt:lpstr>
      <vt:lpstr>'RES_nb-NO'!errmsg.RandVarMustBeInt</vt:lpstr>
      <vt:lpstr>'RES_nl-NL'!errmsg.RandVarMustBeInt</vt:lpstr>
      <vt:lpstr>'RES_pl-PL'!errmsg.RandVarMustBeInt</vt:lpstr>
      <vt:lpstr>'RES_pt-BR'!errmsg.RandVarMustBeInt</vt:lpstr>
      <vt:lpstr>'RES_pt-PT'!errmsg.RandVarMustBeInt</vt:lpstr>
      <vt:lpstr>'RES_ro-RO'!errmsg.RandVarMustBeInt</vt:lpstr>
      <vt:lpstr>'RES_ru-RU'!errmsg.RandVarMustBeInt</vt:lpstr>
      <vt:lpstr>'RES_sl-SI'!errmsg.RandVarMustBeInt</vt:lpstr>
      <vt:lpstr>'RES_sv-SE'!errmsg.RandVarMustBeInt</vt:lpstr>
      <vt:lpstr>'RES_tr-TR'!errmsg.RandVarMustBeInt</vt:lpstr>
      <vt:lpstr>'RES_zh-CN'!errmsg.RandVarMustBeInt</vt:lpstr>
      <vt:lpstr>'RES_zh-TW'!errmsg.RandVarMustBeInt</vt:lpstr>
      <vt:lpstr>'RES_cs-CZ'!errmsg.RequiredStatOpt</vt:lpstr>
      <vt:lpstr>'RES_da-DK'!errmsg.RequiredStatOpt</vt:lpstr>
      <vt:lpstr>'RES_de-DE'!errmsg.RequiredStatOpt</vt:lpstr>
      <vt:lpstr>'RES_el-GR'!errmsg.RequiredStatOpt</vt:lpstr>
      <vt:lpstr>'RES_en-US'!errmsg.RequiredStatOpt</vt:lpstr>
      <vt:lpstr>'RES_es-ES'!errmsg.RequiredStatOpt</vt:lpstr>
      <vt:lpstr>'RES_fi-FI'!errmsg.RequiredStatOpt</vt:lpstr>
      <vt:lpstr>'RES_fr-FR'!errmsg.RequiredStatOpt</vt:lpstr>
      <vt:lpstr>'RES_hr-HR'!errmsg.RequiredStatOpt</vt:lpstr>
      <vt:lpstr>'RES_hu-HU'!errmsg.RequiredStatOpt</vt:lpstr>
      <vt:lpstr>'RES_it-IT'!errmsg.RequiredStatOpt</vt:lpstr>
      <vt:lpstr>'RES_ja-JP'!errmsg.RequiredStatOpt</vt:lpstr>
      <vt:lpstr>'RES_ko-KR'!errmsg.RequiredStatOpt</vt:lpstr>
      <vt:lpstr>'RES_lv-LV'!errmsg.RequiredStatOpt</vt:lpstr>
      <vt:lpstr>'RES_nb-NO'!errmsg.RequiredStatOpt</vt:lpstr>
      <vt:lpstr>'RES_nl-NL'!errmsg.RequiredStatOpt</vt:lpstr>
      <vt:lpstr>'RES_pl-PL'!errmsg.RequiredStatOpt</vt:lpstr>
      <vt:lpstr>'RES_pt-BR'!errmsg.RequiredStatOpt</vt:lpstr>
      <vt:lpstr>'RES_pt-PT'!errmsg.RequiredStatOpt</vt:lpstr>
      <vt:lpstr>'RES_ro-RO'!errmsg.RequiredStatOpt</vt:lpstr>
      <vt:lpstr>'RES_ru-RU'!errmsg.RequiredStatOpt</vt:lpstr>
      <vt:lpstr>'RES_sl-SI'!errmsg.RequiredStatOpt</vt:lpstr>
      <vt:lpstr>'RES_sv-SE'!errmsg.RequiredStatOpt</vt:lpstr>
      <vt:lpstr>'RES_tr-TR'!errmsg.RequiredStatOpt</vt:lpstr>
      <vt:lpstr>'RES_zh-CN'!errmsg.RequiredStatOpt</vt:lpstr>
      <vt:lpstr>'RES_zh-TW'!errmsg.RequiredStatOpt</vt:lpstr>
      <vt:lpstr>'RES_cs-CZ'!errmsg.RowsPerSampleInt</vt:lpstr>
      <vt:lpstr>'RES_da-DK'!errmsg.RowsPerSampleInt</vt:lpstr>
      <vt:lpstr>'RES_de-DE'!errmsg.RowsPerSampleInt</vt:lpstr>
      <vt:lpstr>'RES_el-GR'!errmsg.RowsPerSampleInt</vt:lpstr>
      <vt:lpstr>'RES_en-US'!errmsg.RowsPerSampleInt</vt:lpstr>
      <vt:lpstr>'RES_es-ES'!errmsg.RowsPerSampleInt</vt:lpstr>
      <vt:lpstr>'RES_fi-FI'!errmsg.RowsPerSampleInt</vt:lpstr>
      <vt:lpstr>'RES_fr-FR'!errmsg.RowsPerSampleInt</vt:lpstr>
      <vt:lpstr>'RES_hr-HR'!errmsg.RowsPerSampleInt</vt:lpstr>
      <vt:lpstr>'RES_hu-HU'!errmsg.RowsPerSampleInt</vt:lpstr>
      <vt:lpstr>'RES_it-IT'!errmsg.RowsPerSampleInt</vt:lpstr>
      <vt:lpstr>'RES_ja-JP'!errmsg.RowsPerSampleInt</vt:lpstr>
      <vt:lpstr>'RES_ko-KR'!errmsg.RowsPerSampleInt</vt:lpstr>
      <vt:lpstr>'RES_lv-LV'!errmsg.RowsPerSampleInt</vt:lpstr>
      <vt:lpstr>'RES_nb-NO'!errmsg.RowsPerSampleInt</vt:lpstr>
      <vt:lpstr>'RES_nl-NL'!errmsg.RowsPerSampleInt</vt:lpstr>
      <vt:lpstr>'RES_pl-PL'!errmsg.RowsPerSampleInt</vt:lpstr>
      <vt:lpstr>'RES_pt-BR'!errmsg.RowsPerSampleInt</vt:lpstr>
      <vt:lpstr>'RES_pt-PT'!errmsg.RowsPerSampleInt</vt:lpstr>
      <vt:lpstr>'RES_ro-RO'!errmsg.RowsPerSampleInt</vt:lpstr>
      <vt:lpstr>'RES_ru-RU'!errmsg.RowsPerSampleInt</vt:lpstr>
      <vt:lpstr>'RES_sl-SI'!errmsg.RowsPerSampleInt</vt:lpstr>
      <vt:lpstr>'RES_sv-SE'!errmsg.RowsPerSampleInt</vt:lpstr>
      <vt:lpstr>'RES_tr-TR'!errmsg.RowsPerSampleInt</vt:lpstr>
      <vt:lpstr>'RES_zh-CN'!errmsg.RowsPerSampleInt</vt:lpstr>
      <vt:lpstr>'RES_zh-TW'!errmsg.RowsPerSampleInt</vt:lpstr>
      <vt:lpstr>'RES_cs-CZ'!errmsg.RowsPerSampleRequired</vt:lpstr>
      <vt:lpstr>'RES_da-DK'!errmsg.RowsPerSampleRequired</vt:lpstr>
      <vt:lpstr>'RES_de-DE'!errmsg.RowsPerSampleRequired</vt:lpstr>
      <vt:lpstr>'RES_el-GR'!errmsg.RowsPerSampleRequired</vt:lpstr>
      <vt:lpstr>'RES_en-US'!errmsg.RowsPerSampleRequired</vt:lpstr>
      <vt:lpstr>'RES_es-ES'!errmsg.RowsPerSampleRequired</vt:lpstr>
      <vt:lpstr>'RES_fi-FI'!errmsg.RowsPerSampleRequired</vt:lpstr>
      <vt:lpstr>'RES_fr-FR'!errmsg.RowsPerSampleRequired</vt:lpstr>
      <vt:lpstr>'RES_hr-HR'!errmsg.RowsPerSampleRequired</vt:lpstr>
      <vt:lpstr>'RES_hu-HU'!errmsg.RowsPerSampleRequired</vt:lpstr>
      <vt:lpstr>'RES_it-IT'!errmsg.RowsPerSampleRequired</vt:lpstr>
      <vt:lpstr>'RES_ja-JP'!errmsg.RowsPerSampleRequired</vt:lpstr>
      <vt:lpstr>'RES_ko-KR'!errmsg.RowsPerSampleRequired</vt:lpstr>
      <vt:lpstr>'RES_lv-LV'!errmsg.RowsPerSampleRequired</vt:lpstr>
      <vt:lpstr>'RES_nb-NO'!errmsg.RowsPerSampleRequired</vt:lpstr>
      <vt:lpstr>'RES_nl-NL'!errmsg.RowsPerSampleRequired</vt:lpstr>
      <vt:lpstr>'RES_pl-PL'!errmsg.RowsPerSampleRequired</vt:lpstr>
      <vt:lpstr>'RES_pt-BR'!errmsg.RowsPerSampleRequired</vt:lpstr>
      <vt:lpstr>'RES_pt-PT'!errmsg.RowsPerSampleRequired</vt:lpstr>
      <vt:lpstr>'RES_ro-RO'!errmsg.RowsPerSampleRequired</vt:lpstr>
      <vt:lpstr>'RES_ru-RU'!errmsg.RowsPerSampleRequired</vt:lpstr>
      <vt:lpstr>'RES_sl-SI'!errmsg.RowsPerSampleRequired</vt:lpstr>
      <vt:lpstr>'RES_sv-SE'!errmsg.RowsPerSampleRequired</vt:lpstr>
      <vt:lpstr>'RES_tr-TR'!errmsg.RowsPerSampleRequired</vt:lpstr>
      <vt:lpstr>'RES_zh-CN'!errmsg.RowsPerSampleRequired</vt:lpstr>
      <vt:lpstr>'RES_zh-TW'!errmsg.RowsPerSampleRequired</vt:lpstr>
      <vt:lpstr>'RES_cs-CZ'!errmsg.SameRowsPerSample</vt:lpstr>
      <vt:lpstr>'RES_da-DK'!errmsg.SameRowsPerSample</vt:lpstr>
      <vt:lpstr>'RES_de-DE'!errmsg.SameRowsPerSample</vt:lpstr>
      <vt:lpstr>'RES_el-GR'!errmsg.SameRowsPerSample</vt:lpstr>
      <vt:lpstr>'RES_en-US'!errmsg.SameRowsPerSample</vt:lpstr>
      <vt:lpstr>'RES_es-ES'!errmsg.SameRowsPerSample</vt:lpstr>
      <vt:lpstr>'RES_fi-FI'!errmsg.SameRowsPerSample</vt:lpstr>
      <vt:lpstr>'RES_fr-FR'!errmsg.SameRowsPerSample</vt:lpstr>
      <vt:lpstr>'RES_hr-HR'!errmsg.SameRowsPerSample</vt:lpstr>
      <vt:lpstr>'RES_hu-HU'!errmsg.SameRowsPerSample</vt:lpstr>
      <vt:lpstr>'RES_it-IT'!errmsg.SameRowsPerSample</vt:lpstr>
      <vt:lpstr>'RES_ja-JP'!errmsg.SameRowsPerSample</vt:lpstr>
      <vt:lpstr>'RES_ko-KR'!errmsg.SameRowsPerSample</vt:lpstr>
      <vt:lpstr>'RES_lv-LV'!errmsg.SameRowsPerSample</vt:lpstr>
      <vt:lpstr>'RES_nb-NO'!errmsg.SameRowsPerSample</vt:lpstr>
      <vt:lpstr>'RES_nl-NL'!errmsg.SameRowsPerSample</vt:lpstr>
      <vt:lpstr>'RES_pl-PL'!errmsg.SameRowsPerSample</vt:lpstr>
      <vt:lpstr>'RES_pt-BR'!errmsg.SameRowsPerSample</vt:lpstr>
      <vt:lpstr>'RES_pt-PT'!errmsg.SameRowsPerSample</vt:lpstr>
      <vt:lpstr>'RES_ro-RO'!errmsg.SameRowsPerSample</vt:lpstr>
      <vt:lpstr>'RES_ru-RU'!errmsg.SameRowsPerSample</vt:lpstr>
      <vt:lpstr>'RES_sl-SI'!errmsg.SameRowsPerSample</vt:lpstr>
      <vt:lpstr>'RES_sv-SE'!errmsg.SameRowsPerSample</vt:lpstr>
      <vt:lpstr>'RES_tr-TR'!errmsg.SameRowsPerSample</vt:lpstr>
      <vt:lpstr>'RES_zh-CN'!errmsg.SameRowsPerSample</vt:lpstr>
      <vt:lpstr>'RES_zh-TW'!errmsg.SameRowsPerSample</vt:lpstr>
      <vt:lpstr>'RES_cs-CZ'!errmsg.SameXYSamples</vt:lpstr>
      <vt:lpstr>'RES_da-DK'!errmsg.SameXYSamples</vt:lpstr>
      <vt:lpstr>'RES_de-DE'!errmsg.SameXYSamples</vt:lpstr>
      <vt:lpstr>'RES_el-GR'!errmsg.SameXYSamples</vt:lpstr>
      <vt:lpstr>'RES_en-US'!errmsg.SameXYSamples</vt:lpstr>
      <vt:lpstr>'RES_es-ES'!errmsg.SameXYSamples</vt:lpstr>
      <vt:lpstr>'RES_fi-FI'!errmsg.SameXYSamples</vt:lpstr>
      <vt:lpstr>'RES_fr-FR'!errmsg.SameXYSamples</vt:lpstr>
      <vt:lpstr>'RES_hr-HR'!errmsg.SameXYSamples</vt:lpstr>
      <vt:lpstr>'RES_hu-HU'!errmsg.SameXYSamples</vt:lpstr>
      <vt:lpstr>'RES_it-IT'!errmsg.SameXYSamples</vt:lpstr>
      <vt:lpstr>'RES_ja-JP'!errmsg.SameXYSamples</vt:lpstr>
      <vt:lpstr>'RES_ko-KR'!errmsg.SameXYSamples</vt:lpstr>
      <vt:lpstr>'RES_lv-LV'!errmsg.SameXYSamples</vt:lpstr>
      <vt:lpstr>'RES_nb-NO'!errmsg.SameXYSamples</vt:lpstr>
      <vt:lpstr>'RES_nl-NL'!errmsg.SameXYSamples</vt:lpstr>
      <vt:lpstr>'RES_pl-PL'!errmsg.SameXYSamples</vt:lpstr>
      <vt:lpstr>'RES_pt-BR'!errmsg.SameXYSamples</vt:lpstr>
      <vt:lpstr>'RES_pt-PT'!errmsg.SameXYSamples</vt:lpstr>
      <vt:lpstr>'RES_ro-RO'!errmsg.SameXYSamples</vt:lpstr>
      <vt:lpstr>'RES_ru-RU'!errmsg.SameXYSamples</vt:lpstr>
      <vt:lpstr>'RES_sl-SI'!errmsg.SameXYSamples</vt:lpstr>
      <vt:lpstr>'RES_sv-SE'!errmsg.SameXYSamples</vt:lpstr>
      <vt:lpstr>'RES_tr-TR'!errmsg.SameXYSamples</vt:lpstr>
      <vt:lpstr>'RES_zh-CN'!errmsg.SameXYSamples</vt:lpstr>
      <vt:lpstr>'RES_zh-TW'!errmsg.SameXYSamples</vt:lpstr>
      <vt:lpstr>'RES_cs-CZ'!errmsg.SampMethodInvalid</vt:lpstr>
      <vt:lpstr>'RES_da-DK'!errmsg.SampMethodInvalid</vt:lpstr>
      <vt:lpstr>'RES_de-DE'!errmsg.SampMethodInvalid</vt:lpstr>
      <vt:lpstr>'RES_el-GR'!errmsg.SampMethodInvalid</vt:lpstr>
      <vt:lpstr>'RES_en-US'!errmsg.SampMethodInvalid</vt:lpstr>
      <vt:lpstr>'RES_es-ES'!errmsg.SampMethodInvalid</vt:lpstr>
      <vt:lpstr>'RES_fi-FI'!errmsg.SampMethodInvalid</vt:lpstr>
      <vt:lpstr>'RES_fr-FR'!errmsg.SampMethodInvalid</vt:lpstr>
      <vt:lpstr>'RES_hr-HR'!errmsg.SampMethodInvalid</vt:lpstr>
      <vt:lpstr>'RES_hu-HU'!errmsg.SampMethodInvalid</vt:lpstr>
      <vt:lpstr>'RES_it-IT'!errmsg.SampMethodInvalid</vt:lpstr>
      <vt:lpstr>'RES_ja-JP'!errmsg.SampMethodInvalid</vt:lpstr>
      <vt:lpstr>'RES_ko-KR'!errmsg.SampMethodInvalid</vt:lpstr>
      <vt:lpstr>'RES_lv-LV'!errmsg.SampMethodInvalid</vt:lpstr>
      <vt:lpstr>'RES_nb-NO'!errmsg.SampMethodInvalid</vt:lpstr>
      <vt:lpstr>'RES_nl-NL'!errmsg.SampMethodInvalid</vt:lpstr>
      <vt:lpstr>'RES_pl-PL'!errmsg.SampMethodInvalid</vt:lpstr>
      <vt:lpstr>'RES_pt-BR'!errmsg.SampMethodInvalid</vt:lpstr>
      <vt:lpstr>'RES_pt-PT'!errmsg.SampMethodInvalid</vt:lpstr>
      <vt:lpstr>'RES_ro-RO'!errmsg.SampMethodInvalid</vt:lpstr>
      <vt:lpstr>'RES_ru-RU'!errmsg.SampMethodInvalid</vt:lpstr>
      <vt:lpstr>'RES_sl-SI'!errmsg.SampMethodInvalid</vt:lpstr>
      <vt:lpstr>'RES_sv-SE'!errmsg.SampMethodInvalid</vt:lpstr>
      <vt:lpstr>'RES_tr-TR'!errmsg.SampMethodInvalid</vt:lpstr>
      <vt:lpstr>'RES_zh-CN'!errmsg.SampMethodInvalid</vt:lpstr>
      <vt:lpstr>'RES_zh-TW'!errmsg.SampMethodInvalid</vt:lpstr>
      <vt:lpstr>'RES_cs-CZ'!errmsg.SampMethodReq</vt:lpstr>
      <vt:lpstr>'RES_da-DK'!errmsg.SampMethodReq</vt:lpstr>
      <vt:lpstr>'RES_de-DE'!errmsg.SampMethodReq</vt:lpstr>
      <vt:lpstr>'RES_el-GR'!errmsg.SampMethodReq</vt:lpstr>
      <vt:lpstr>'RES_en-US'!errmsg.SampMethodReq</vt:lpstr>
      <vt:lpstr>'RES_es-ES'!errmsg.SampMethodReq</vt:lpstr>
      <vt:lpstr>'RES_fi-FI'!errmsg.SampMethodReq</vt:lpstr>
      <vt:lpstr>'RES_fr-FR'!errmsg.SampMethodReq</vt:lpstr>
      <vt:lpstr>'RES_hr-HR'!errmsg.SampMethodReq</vt:lpstr>
      <vt:lpstr>'RES_hu-HU'!errmsg.SampMethodReq</vt:lpstr>
      <vt:lpstr>'RES_it-IT'!errmsg.SampMethodReq</vt:lpstr>
      <vt:lpstr>'RES_ja-JP'!errmsg.SampMethodReq</vt:lpstr>
      <vt:lpstr>'RES_ko-KR'!errmsg.SampMethodReq</vt:lpstr>
      <vt:lpstr>'RES_lv-LV'!errmsg.SampMethodReq</vt:lpstr>
      <vt:lpstr>'RES_nb-NO'!errmsg.SampMethodReq</vt:lpstr>
      <vt:lpstr>'RES_nl-NL'!errmsg.SampMethodReq</vt:lpstr>
      <vt:lpstr>'RES_pl-PL'!errmsg.SampMethodReq</vt:lpstr>
      <vt:lpstr>'RES_pt-BR'!errmsg.SampMethodReq</vt:lpstr>
      <vt:lpstr>'RES_pt-PT'!errmsg.SampMethodReq</vt:lpstr>
      <vt:lpstr>'RES_ro-RO'!errmsg.SampMethodReq</vt:lpstr>
      <vt:lpstr>'RES_ru-RU'!errmsg.SampMethodReq</vt:lpstr>
      <vt:lpstr>'RES_sl-SI'!errmsg.SampMethodReq</vt:lpstr>
      <vt:lpstr>'RES_sv-SE'!errmsg.SampMethodReq</vt:lpstr>
      <vt:lpstr>'RES_tr-TR'!errmsg.SampMethodReq</vt:lpstr>
      <vt:lpstr>'RES_zh-CN'!errmsg.SampMethodReq</vt:lpstr>
      <vt:lpstr>'RES_zh-TW'!errmsg.SampMethodReq</vt:lpstr>
      <vt:lpstr>'RES_cs-CZ'!errmsg.SeedInvalid</vt:lpstr>
      <vt:lpstr>'RES_da-DK'!errmsg.SeedInvalid</vt:lpstr>
      <vt:lpstr>'RES_de-DE'!errmsg.SeedInvalid</vt:lpstr>
      <vt:lpstr>'RES_el-GR'!errmsg.SeedInvalid</vt:lpstr>
      <vt:lpstr>'RES_en-US'!errmsg.SeedInvalid</vt:lpstr>
      <vt:lpstr>'RES_es-ES'!errmsg.SeedInvalid</vt:lpstr>
      <vt:lpstr>'RES_fi-FI'!errmsg.SeedInvalid</vt:lpstr>
      <vt:lpstr>'RES_fr-FR'!errmsg.SeedInvalid</vt:lpstr>
      <vt:lpstr>'RES_hr-HR'!errmsg.SeedInvalid</vt:lpstr>
      <vt:lpstr>'RES_hu-HU'!errmsg.SeedInvalid</vt:lpstr>
      <vt:lpstr>'RES_it-IT'!errmsg.SeedInvalid</vt:lpstr>
      <vt:lpstr>'RES_ja-JP'!errmsg.SeedInvalid</vt:lpstr>
      <vt:lpstr>'RES_ko-KR'!errmsg.SeedInvalid</vt:lpstr>
      <vt:lpstr>'RES_lv-LV'!errmsg.SeedInvalid</vt:lpstr>
      <vt:lpstr>'RES_nb-NO'!errmsg.SeedInvalid</vt:lpstr>
      <vt:lpstr>'RES_nl-NL'!errmsg.SeedInvalid</vt:lpstr>
      <vt:lpstr>'RES_pl-PL'!errmsg.SeedInvalid</vt:lpstr>
      <vt:lpstr>'RES_pt-BR'!errmsg.SeedInvalid</vt:lpstr>
      <vt:lpstr>'RES_pt-PT'!errmsg.SeedInvalid</vt:lpstr>
      <vt:lpstr>'RES_ro-RO'!errmsg.SeedInvalid</vt:lpstr>
      <vt:lpstr>'RES_ru-RU'!errmsg.SeedInvalid</vt:lpstr>
      <vt:lpstr>'RES_sl-SI'!errmsg.SeedInvalid</vt:lpstr>
      <vt:lpstr>'RES_sv-SE'!errmsg.SeedInvalid</vt:lpstr>
      <vt:lpstr>'RES_tr-TR'!errmsg.SeedInvalid</vt:lpstr>
      <vt:lpstr>'RES_zh-CN'!errmsg.SeedInvalid</vt:lpstr>
      <vt:lpstr>'RES_zh-TW'!errmsg.SeedInvalid</vt:lpstr>
      <vt:lpstr>'RES_cs-CZ'!errmsg.ShareCantChart</vt:lpstr>
      <vt:lpstr>'RES_da-DK'!errmsg.ShareCantChart</vt:lpstr>
      <vt:lpstr>'RES_de-DE'!errmsg.ShareCantChart</vt:lpstr>
      <vt:lpstr>'RES_el-GR'!errmsg.ShareCantChart</vt:lpstr>
      <vt:lpstr>'RES_en-US'!errmsg.ShareCantChart</vt:lpstr>
      <vt:lpstr>'RES_es-ES'!errmsg.ShareCantChart</vt:lpstr>
      <vt:lpstr>'RES_fi-FI'!errmsg.ShareCantChart</vt:lpstr>
      <vt:lpstr>'RES_fr-FR'!errmsg.ShareCantChart</vt:lpstr>
      <vt:lpstr>'RES_hr-HR'!errmsg.ShareCantChart</vt:lpstr>
      <vt:lpstr>'RES_hu-HU'!errmsg.ShareCantChart</vt:lpstr>
      <vt:lpstr>'RES_it-IT'!errmsg.ShareCantChart</vt:lpstr>
      <vt:lpstr>'RES_ja-JP'!errmsg.ShareCantChart</vt:lpstr>
      <vt:lpstr>'RES_ko-KR'!errmsg.ShareCantChart</vt:lpstr>
      <vt:lpstr>'RES_lv-LV'!errmsg.ShareCantChart</vt:lpstr>
      <vt:lpstr>'RES_nb-NO'!errmsg.ShareCantChart</vt:lpstr>
      <vt:lpstr>'RES_nl-NL'!errmsg.ShareCantChart</vt:lpstr>
      <vt:lpstr>'RES_pl-PL'!errmsg.ShareCantChart</vt:lpstr>
      <vt:lpstr>'RES_pt-BR'!errmsg.ShareCantChart</vt:lpstr>
      <vt:lpstr>'RES_pt-PT'!errmsg.ShareCantChart</vt:lpstr>
      <vt:lpstr>'RES_ro-RO'!errmsg.ShareCantChart</vt:lpstr>
      <vt:lpstr>'RES_ru-RU'!errmsg.ShareCantChart</vt:lpstr>
      <vt:lpstr>'RES_sl-SI'!errmsg.ShareCantChart</vt:lpstr>
      <vt:lpstr>'RES_sv-SE'!errmsg.ShareCantChart</vt:lpstr>
      <vt:lpstr>'RES_tr-TR'!errmsg.ShareCantChart</vt:lpstr>
      <vt:lpstr>'RES_zh-CN'!errmsg.ShareCantChart</vt:lpstr>
      <vt:lpstr>'RES_zh-TW'!errmsg.ShareCantChart</vt:lpstr>
      <vt:lpstr>'RES_cs-CZ'!errmsg.SheetProtected</vt:lpstr>
      <vt:lpstr>'RES_da-DK'!errmsg.SheetProtected</vt:lpstr>
      <vt:lpstr>'RES_de-DE'!errmsg.SheetProtected</vt:lpstr>
      <vt:lpstr>'RES_el-GR'!errmsg.SheetProtected</vt:lpstr>
      <vt:lpstr>'RES_en-US'!errmsg.SheetProtected</vt:lpstr>
      <vt:lpstr>'RES_es-ES'!errmsg.SheetProtected</vt:lpstr>
      <vt:lpstr>'RES_fi-FI'!errmsg.SheetProtected</vt:lpstr>
      <vt:lpstr>'RES_fr-FR'!errmsg.SheetProtected</vt:lpstr>
      <vt:lpstr>'RES_hr-HR'!errmsg.SheetProtected</vt:lpstr>
      <vt:lpstr>'RES_hu-HU'!errmsg.SheetProtected</vt:lpstr>
      <vt:lpstr>'RES_it-IT'!errmsg.SheetProtected</vt:lpstr>
      <vt:lpstr>'RES_ja-JP'!errmsg.SheetProtected</vt:lpstr>
      <vt:lpstr>'RES_ko-KR'!errmsg.SheetProtected</vt:lpstr>
      <vt:lpstr>'RES_lv-LV'!errmsg.SheetProtected</vt:lpstr>
      <vt:lpstr>'RES_nb-NO'!errmsg.SheetProtected</vt:lpstr>
      <vt:lpstr>'RES_nl-NL'!errmsg.SheetProtected</vt:lpstr>
      <vt:lpstr>'RES_pl-PL'!errmsg.SheetProtected</vt:lpstr>
      <vt:lpstr>'RES_pt-BR'!errmsg.SheetProtected</vt:lpstr>
      <vt:lpstr>'RES_pt-PT'!errmsg.SheetProtected</vt:lpstr>
      <vt:lpstr>'RES_ro-RO'!errmsg.SheetProtected</vt:lpstr>
      <vt:lpstr>'RES_ru-RU'!errmsg.SheetProtected</vt:lpstr>
      <vt:lpstr>'RES_sl-SI'!errmsg.SheetProtected</vt:lpstr>
      <vt:lpstr>'RES_sv-SE'!errmsg.SheetProtected</vt:lpstr>
      <vt:lpstr>'RES_tr-TR'!errmsg.SheetProtected</vt:lpstr>
      <vt:lpstr>'RES_zh-CN'!errmsg.SheetProtected</vt:lpstr>
      <vt:lpstr>'RES_zh-TW'!errmsg.SheetProtected</vt:lpstr>
      <vt:lpstr>'RES_cs-CZ'!errmsg.UniformBoundErr</vt:lpstr>
      <vt:lpstr>'RES_da-DK'!errmsg.UniformBoundErr</vt:lpstr>
      <vt:lpstr>'RES_de-DE'!errmsg.UniformBoundErr</vt:lpstr>
      <vt:lpstr>'RES_el-GR'!errmsg.UniformBoundErr</vt:lpstr>
      <vt:lpstr>'RES_en-US'!errmsg.UniformBoundErr</vt:lpstr>
      <vt:lpstr>'RES_es-ES'!errmsg.UniformBoundErr</vt:lpstr>
      <vt:lpstr>'RES_fi-FI'!errmsg.UniformBoundErr</vt:lpstr>
      <vt:lpstr>'RES_fr-FR'!errmsg.UniformBoundErr</vt:lpstr>
      <vt:lpstr>'RES_hr-HR'!errmsg.UniformBoundErr</vt:lpstr>
      <vt:lpstr>'RES_hu-HU'!errmsg.UniformBoundErr</vt:lpstr>
      <vt:lpstr>'RES_it-IT'!errmsg.UniformBoundErr</vt:lpstr>
      <vt:lpstr>'RES_ja-JP'!errmsg.UniformBoundErr</vt:lpstr>
      <vt:lpstr>'RES_ko-KR'!errmsg.UniformBoundErr</vt:lpstr>
      <vt:lpstr>'RES_lv-LV'!errmsg.UniformBoundErr</vt:lpstr>
      <vt:lpstr>'RES_nb-NO'!errmsg.UniformBoundErr</vt:lpstr>
      <vt:lpstr>'RES_nl-NL'!errmsg.UniformBoundErr</vt:lpstr>
      <vt:lpstr>'RES_pl-PL'!errmsg.UniformBoundErr</vt:lpstr>
      <vt:lpstr>'RES_pt-BR'!errmsg.UniformBoundErr</vt:lpstr>
      <vt:lpstr>'RES_pt-PT'!errmsg.UniformBoundErr</vt:lpstr>
      <vt:lpstr>'RES_ro-RO'!errmsg.UniformBoundErr</vt:lpstr>
      <vt:lpstr>'RES_ru-RU'!errmsg.UniformBoundErr</vt:lpstr>
      <vt:lpstr>'RES_sl-SI'!errmsg.UniformBoundErr</vt:lpstr>
      <vt:lpstr>'RES_sv-SE'!errmsg.UniformBoundErr</vt:lpstr>
      <vt:lpstr>'RES_tr-TR'!errmsg.UniformBoundErr</vt:lpstr>
      <vt:lpstr>'RES_zh-CN'!errmsg.UniformBoundErr</vt:lpstr>
      <vt:lpstr>'RES_zh-TW'!errmsg.UniformBoundErr</vt:lpstr>
      <vt:lpstr>'RES_cs-CZ'!errmsg.VarPairedShape</vt:lpstr>
      <vt:lpstr>'RES_da-DK'!errmsg.VarPairedShape</vt:lpstr>
      <vt:lpstr>'RES_de-DE'!errmsg.VarPairedShape</vt:lpstr>
      <vt:lpstr>'RES_el-GR'!errmsg.VarPairedShape</vt:lpstr>
      <vt:lpstr>'RES_en-US'!errmsg.VarPairedShape</vt:lpstr>
      <vt:lpstr>'RES_es-ES'!errmsg.VarPairedShape</vt:lpstr>
      <vt:lpstr>'RES_fi-FI'!errmsg.VarPairedShape</vt:lpstr>
      <vt:lpstr>'RES_fr-FR'!errmsg.VarPairedShape</vt:lpstr>
      <vt:lpstr>'RES_hr-HR'!errmsg.VarPairedShape</vt:lpstr>
      <vt:lpstr>'RES_hu-HU'!errmsg.VarPairedShape</vt:lpstr>
      <vt:lpstr>'RES_it-IT'!errmsg.VarPairedShape</vt:lpstr>
      <vt:lpstr>'RES_ja-JP'!errmsg.VarPairedShape</vt:lpstr>
      <vt:lpstr>'RES_ko-KR'!errmsg.VarPairedShape</vt:lpstr>
      <vt:lpstr>'RES_lv-LV'!errmsg.VarPairedShape</vt:lpstr>
      <vt:lpstr>'RES_nb-NO'!errmsg.VarPairedShape</vt:lpstr>
      <vt:lpstr>'RES_nl-NL'!errmsg.VarPairedShape</vt:lpstr>
      <vt:lpstr>'RES_pl-PL'!errmsg.VarPairedShape</vt:lpstr>
      <vt:lpstr>'RES_pt-BR'!errmsg.VarPairedShape</vt:lpstr>
      <vt:lpstr>'RES_pt-PT'!errmsg.VarPairedShape</vt:lpstr>
      <vt:lpstr>'RES_ro-RO'!errmsg.VarPairedShape</vt:lpstr>
      <vt:lpstr>'RES_ru-RU'!errmsg.VarPairedShape</vt:lpstr>
      <vt:lpstr>'RES_sl-SI'!errmsg.VarPairedShape</vt:lpstr>
      <vt:lpstr>'RES_sv-SE'!errmsg.VarPairedShape</vt:lpstr>
      <vt:lpstr>'RES_tr-TR'!errmsg.VarPairedShape</vt:lpstr>
      <vt:lpstr>'RES_zh-CN'!errmsg.VarPairedShape</vt:lpstr>
      <vt:lpstr>'RES_zh-TW'!errmsg.VarPairedShape</vt:lpstr>
      <vt:lpstr>'RES_cs-CZ'!errmsg.VarPairedSize</vt:lpstr>
      <vt:lpstr>'RES_da-DK'!errmsg.VarPairedSize</vt:lpstr>
      <vt:lpstr>'RES_de-DE'!errmsg.VarPairedSize</vt:lpstr>
      <vt:lpstr>'RES_el-GR'!errmsg.VarPairedSize</vt:lpstr>
      <vt:lpstr>'RES_en-US'!errmsg.VarPairedSize</vt:lpstr>
      <vt:lpstr>'RES_es-ES'!errmsg.VarPairedSize</vt:lpstr>
      <vt:lpstr>'RES_fi-FI'!errmsg.VarPairedSize</vt:lpstr>
      <vt:lpstr>'RES_fr-FR'!errmsg.VarPairedSize</vt:lpstr>
      <vt:lpstr>'RES_hr-HR'!errmsg.VarPairedSize</vt:lpstr>
      <vt:lpstr>'RES_hu-HU'!errmsg.VarPairedSize</vt:lpstr>
      <vt:lpstr>'RES_it-IT'!errmsg.VarPairedSize</vt:lpstr>
      <vt:lpstr>'RES_ja-JP'!errmsg.VarPairedSize</vt:lpstr>
      <vt:lpstr>'RES_ko-KR'!errmsg.VarPairedSize</vt:lpstr>
      <vt:lpstr>'RES_lv-LV'!errmsg.VarPairedSize</vt:lpstr>
      <vt:lpstr>'RES_nb-NO'!errmsg.VarPairedSize</vt:lpstr>
      <vt:lpstr>'RES_nl-NL'!errmsg.VarPairedSize</vt:lpstr>
      <vt:lpstr>'RES_pl-PL'!errmsg.VarPairedSize</vt:lpstr>
      <vt:lpstr>'RES_pt-BR'!errmsg.VarPairedSize</vt:lpstr>
      <vt:lpstr>'RES_pt-PT'!errmsg.VarPairedSize</vt:lpstr>
      <vt:lpstr>'RES_ro-RO'!errmsg.VarPairedSize</vt:lpstr>
      <vt:lpstr>'RES_ru-RU'!errmsg.VarPairedSize</vt:lpstr>
      <vt:lpstr>'RES_sl-SI'!errmsg.VarPairedSize</vt:lpstr>
      <vt:lpstr>'RES_sv-SE'!errmsg.VarPairedSize</vt:lpstr>
      <vt:lpstr>'RES_tr-TR'!errmsg.VarPairedSize</vt:lpstr>
      <vt:lpstr>'RES_zh-CN'!errmsg.VarPairedSize</vt:lpstr>
      <vt:lpstr>'RES_zh-TW'!errmsg.VarPairedSize</vt:lpstr>
      <vt:lpstr>'RES_cs-CZ'!errmsg.VarRg12Overlap</vt:lpstr>
      <vt:lpstr>'RES_da-DK'!errmsg.VarRg12Overlap</vt:lpstr>
      <vt:lpstr>'RES_de-DE'!errmsg.VarRg12Overlap</vt:lpstr>
      <vt:lpstr>'RES_el-GR'!errmsg.VarRg12Overlap</vt:lpstr>
      <vt:lpstr>'RES_en-US'!errmsg.VarRg12Overlap</vt:lpstr>
      <vt:lpstr>'RES_es-ES'!errmsg.VarRg12Overlap</vt:lpstr>
      <vt:lpstr>'RES_fi-FI'!errmsg.VarRg12Overlap</vt:lpstr>
      <vt:lpstr>'RES_fr-FR'!errmsg.VarRg12Overlap</vt:lpstr>
      <vt:lpstr>'RES_hr-HR'!errmsg.VarRg12Overlap</vt:lpstr>
      <vt:lpstr>'RES_hu-HU'!errmsg.VarRg12Overlap</vt:lpstr>
      <vt:lpstr>'RES_it-IT'!errmsg.VarRg12Overlap</vt:lpstr>
      <vt:lpstr>'RES_ja-JP'!errmsg.VarRg12Overlap</vt:lpstr>
      <vt:lpstr>'RES_ko-KR'!errmsg.VarRg12Overlap</vt:lpstr>
      <vt:lpstr>'RES_lv-LV'!errmsg.VarRg12Overlap</vt:lpstr>
      <vt:lpstr>'RES_nb-NO'!errmsg.VarRg12Overlap</vt:lpstr>
      <vt:lpstr>'RES_nl-NL'!errmsg.VarRg12Overlap</vt:lpstr>
      <vt:lpstr>'RES_pl-PL'!errmsg.VarRg12Overlap</vt:lpstr>
      <vt:lpstr>'RES_pt-BR'!errmsg.VarRg12Overlap</vt:lpstr>
      <vt:lpstr>'RES_pt-PT'!errmsg.VarRg12Overlap</vt:lpstr>
      <vt:lpstr>'RES_ro-RO'!errmsg.VarRg12Overlap</vt:lpstr>
      <vt:lpstr>'RES_ru-RU'!errmsg.VarRg12Overlap</vt:lpstr>
      <vt:lpstr>'RES_sl-SI'!errmsg.VarRg12Overlap</vt:lpstr>
      <vt:lpstr>'RES_sv-SE'!errmsg.VarRg12Overlap</vt:lpstr>
      <vt:lpstr>'RES_tr-TR'!errmsg.VarRg12Overlap</vt:lpstr>
      <vt:lpstr>'RES_zh-CN'!errmsg.VarRg12Overlap</vt:lpstr>
      <vt:lpstr>'RES_zh-TW'!errmsg.VarRg12Overlap</vt:lpstr>
      <vt:lpstr>'RES_cs-CZ'!errmsg.VarRg1MustBeRef</vt:lpstr>
      <vt:lpstr>'RES_da-DK'!errmsg.VarRg1MustBeRef</vt:lpstr>
      <vt:lpstr>'RES_de-DE'!errmsg.VarRg1MustBeRef</vt:lpstr>
      <vt:lpstr>'RES_el-GR'!errmsg.VarRg1MustBeRef</vt:lpstr>
      <vt:lpstr>'RES_en-US'!errmsg.VarRg1MustBeRef</vt:lpstr>
      <vt:lpstr>'RES_es-ES'!errmsg.VarRg1MustBeRef</vt:lpstr>
      <vt:lpstr>'RES_fi-FI'!errmsg.VarRg1MustBeRef</vt:lpstr>
      <vt:lpstr>'RES_fr-FR'!errmsg.VarRg1MustBeRef</vt:lpstr>
      <vt:lpstr>'RES_hr-HR'!errmsg.VarRg1MustBeRef</vt:lpstr>
      <vt:lpstr>'RES_hu-HU'!errmsg.VarRg1MustBeRef</vt:lpstr>
      <vt:lpstr>'RES_it-IT'!errmsg.VarRg1MustBeRef</vt:lpstr>
      <vt:lpstr>'RES_ja-JP'!errmsg.VarRg1MustBeRef</vt:lpstr>
      <vt:lpstr>'RES_ko-KR'!errmsg.VarRg1MustBeRef</vt:lpstr>
      <vt:lpstr>'RES_lv-LV'!errmsg.VarRg1MustBeRef</vt:lpstr>
      <vt:lpstr>'RES_nb-NO'!errmsg.VarRg1MustBeRef</vt:lpstr>
      <vt:lpstr>'RES_nl-NL'!errmsg.VarRg1MustBeRef</vt:lpstr>
      <vt:lpstr>'RES_pl-PL'!errmsg.VarRg1MustBeRef</vt:lpstr>
      <vt:lpstr>'RES_pt-BR'!errmsg.VarRg1MustBeRef</vt:lpstr>
      <vt:lpstr>'RES_pt-PT'!errmsg.VarRg1MustBeRef</vt:lpstr>
      <vt:lpstr>'RES_ro-RO'!errmsg.VarRg1MustBeRef</vt:lpstr>
      <vt:lpstr>'RES_ru-RU'!errmsg.VarRg1MustBeRef</vt:lpstr>
      <vt:lpstr>'RES_sl-SI'!errmsg.VarRg1MustBeRef</vt:lpstr>
      <vt:lpstr>'RES_sv-SE'!errmsg.VarRg1MustBeRef</vt:lpstr>
      <vt:lpstr>'RES_tr-TR'!errmsg.VarRg1MustBeRef</vt:lpstr>
      <vt:lpstr>'RES_zh-CN'!errmsg.VarRg1MustBeRef</vt:lpstr>
      <vt:lpstr>'RES_zh-TW'!errmsg.VarRg1MustBeRef</vt:lpstr>
      <vt:lpstr>'RES_cs-CZ'!errmsg.VarRg1OutOverlap</vt:lpstr>
      <vt:lpstr>'RES_da-DK'!errmsg.VarRg1OutOverlap</vt:lpstr>
      <vt:lpstr>'RES_de-DE'!errmsg.VarRg1OutOverlap</vt:lpstr>
      <vt:lpstr>'RES_el-GR'!errmsg.VarRg1OutOverlap</vt:lpstr>
      <vt:lpstr>'RES_en-US'!errmsg.VarRg1OutOverlap</vt:lpstr>
      <vt:lpstr>'RES_es-ES'!errmsg.VarRg1OutOverlap</vt:lpstr>
      <vt:lpstr>'RES_fi-FI'!errmsg.VarRg1OutOverlap</vt:lpstr>
      <vt:lpstr>'RES_fr-FR'!errmsg.VarRg1OutOverlap</vt:lpstr>
      <vt:lpstr>'RES_hr-HR'!errmsg.VarRg1OutOverlap</vt:lpstr>
      <vt:lpstr>'RES_hu-HU'!errmsg.VarRg1OutOverlap</vt:lpstr>
      <vt:lpstr>'RES_it-IT'!errmsg.VarRg1OutOverlap</vt:lpstr>
      <vt:lpstr>'RES_ja-JP'!errmsg.VarRg1OutOverlap</vt:lpstr>
      <vt:lpstr>'RES_ko-KR'!errmsg.VarRg1OutOverlap</vt:lpstr>
      <vt:lpstr>'RES_lv-LV'!errmsg.VarRg1OutOverlap</vt:lpstr>
      <vt:lpstr>'RES_nb-NO'!errmsg.VarRg1OutOverlap</vt:lpstr>
      <vt:lpstr>'RES_nl-NL'!errmsg.VarRg1OutOverlap</vt:lpstr>
      <vt:lpstr>'RES_pl-PL'!errmsg.VarRg1OutOverlap</vt:lpstr>
      <vt:lpstr>'RES_pt-BR'!errmsg.VarRg1OutOverlap</vt:lpstr>
      <vt:lpstr>'RES_pt-PT'!errmsg.VarRg1OutOverlap</vt:lpstr>
      <vt:lpstr>'RES_ro-RO'!errmsg.VarRg1OutOverlap</vt:lpstr>
      <vt:lpstr>'RES_ru-RU'!errmsg.VarRg1OutOverlap</vt:lpstr>
      <vt:lpstr>'RES_sl-SI'!errmsg.VarRg1OutOverlap</vt:lpstr>
      <vt:lpstr>'RES_sv-SE'!errmsg.VarRg1OutOverlap</vt:lpstr>
      <vt:lpstr>'RES_tr-TR'!errmsg.VarRg1OutOverlap</vt:lpstr>
      <vt:lpstr>'RES_zh-CN'!errmsg.VarRg1OutOverlap</vt:lpstr>
      <vt:lpstr>'RES_zh-TW'!errmsg.VarRg1OutOverlap</vt:lpstr>
      <vt:lpstr>'RES_cs-CZ'!errmsg.VarRg1Req</vt:lpstr>
      <vt:lpstr>'RES_da-DK'!errmsg.VarRg1Req</vt:lpstr>
      <vt:lpstr>'RES_de-DE'!errmsg.VarRg1Req</vt:lpstr>
      <vt:lpstr>'RES_el-GR'!errmsg.VarRg1Req</vt:lpstr>
      <vt:lpstr>'RES_en-US'!errmsg.VarRg1Req</vt:lpstr>
      <vt:lpstr>'RES_es-ES'!errmsg.VarRg1Req</vt:lpstr>
      <vt:lpstr>'RES_fi-FI'!errmsg.VarRg1Req</vt:lpstr>
      <vt:lpstr>'RES_fr-FR'!errmsg.VarRg1Req</vt:lpstr>
      <vt:lpstr>'RES_hr-HR'!errmsg.VarRg1Req</vt:lpstr>
      <vt:lpstr>'RES_hu-HU'!errmsg.VarRg1Req</vt:lpstr>
      <vt:lpstr>'RES_it-IT'!errmsg.VarRg1Req</vt:lpstr>
      <vt:lpstr>'RES_ja-JP'!errmsg.VarRg1Req</vt:lpstr>
      <vt:lpstr>'RES_ko-KR'!errmsg.VarRg1Req</vt:lpstr>
      <vt:lpstr>'RES_lv-LV'!errmsg.VarRg1Req</vt:lpstr>
      <vt:lpstr>'RES_nb-NO'!errmsg.VarRg1Req</vt:lpstr>
      <vt:lpstr>'RES_nl-NL'!errmsg.VarRg1Req</vt:lpstr>
      <vt:lpstr>'RES_pl-PL'!errmsg.VarRg1Req</vt:lpstr>
      <vt:lpstr>'RES_pt-BR'!errmsg.VarRg1Req</vt:lpstr>
      <vt:lpstr>'RES_pt-PT'!errmsg.VarRg1Req</vt:lpstr>
      <vt:lpstr>'RES_ro-RO'!errmsg.VarRg1Req</vt:lpstr>
      <vt:lpstr>'RES_ru-RU'!errmsg.VarRg1Req</vt:lpstr>
      <vt:lpstr>'RES_sl-SI'!errmsg.VarRg1Req</vt:lpstr>
      <vt:lpstr>'RES_sv-SE'!errmsg.VarRg1Req</vt:lpstr>
      <vt:lpstr>'RES_tr-TR'!errmsg.VarRg1Req</vt:lpstr>
      <vt:lpstr>'RES_zh-CN'!errmsg.VarRg1Req</vt:lpstr>
      <vt:lpstr>'RES_zh-TW'!errmsg.VarRg1Req</vt:lpstr>
      <vt:lpstr>'RES_cs-CZ'!errmsg.VarRg2MustBeRef</vt:lpstr>
      <vt:lpstr>'RES_da-DK'!errmsg.VarRg2MustBeRef</vt:lpstr>
      <vt:lpstr>'RES_de-DE'!errmsg.VarRg2MustBeRef</vt:lpstr>
      <vt:lpstr>'RES_el-GR'!errmsg.VarRg2MustBeRef</vt:lpstr>
      <vt:lpstr>'RES_en-US'!errmsg.VarRg2MustBeRef</vt:lpstr>
      <vt:lpstr>'RES_es-ES'!errmsg.VarRg2MustBeRef</vt:lpstr>
      <vt:lpstr>'RES_fi-FI'!errmsg.VarRg2MustBeRef</vt:lpstr>
      <vt:lpstr>'RES_fr-FR'!errmsg.VarRg2MustBeRef</vt:lpstr>
      <vt:lpstr>'RES_hr-HR'!errmsg.VarRg2MustBeRef</vt:lpstr>
      <vt:lpstr>'RES_hu-HU'!errmsg.VarRg2MustBeRef</vt:lpstr>
      <vt:lpstr>'RES_it-IT'!errmsg.VarRg2MustBeRef</vt:lpstr>
      <vt:lpstr>'RES_ja-JP'!errmsg.VarRg2MustBeRef</vt:lpstr>
      <vt:lpstr>'RES_ko-KR'!errmsg.VarRg2MustBeRef</vt:lpstr>
      <vt:lpstr>'RES_lv-LV'!errmsg.VarRg2MustBeRef</vt:lpstr>
      <vt:lpstr>'RES_nb-NO'!errmsg.VarRg2MustBeRef</vt:lpstr>
      <vt:lpstr>'RES_nl-NL'!errmsg.VarRg2MustBeRef</vt:lpstr>
      <vt:lpstr>'RES_pl-PL'!errmsg.VarRg2MustBeRef</vt:lpstr>
      <vt:lpstr>'RES_pt-BR'!errmsg.VarRg2MustBeRef</vt:lpstr>
      <vt:lpstr>'RES_pt-PT'!errmsg.VarRg2MustBeRef</vt:lpstr>
      <vt:lpstr>'RES_ro-RO'!errmsg.VarRg2MustBeRef</vt:lpstr>
      <vt:lpstr>'RES_ru-RU'!errmsg.VarRg2MustBeRef</vt:lpstr>
      <vt:lpstr>'RES_sl-SI'!errmsg.VarRg2MustBeRef</vt:lpstr>
      <vt:lpstr>'RES_sv-SE'!errmsg.VarRg2MustBeRef</vt:lpstr>
      <vt:lpstr>'RES_tr-TR'!errmsg.VarRg2MustBeRef</vt:lpstr>
      <vt:lpstr>'RES_zh-CN'!errmsg.VarRg2MustBeRef</vt:lpstr>
      <vt:lpstr>'RES_zh-TW'!errmsg.VarRg2MustBeRef</vt:lpstr>
      <vt:lpstr>'RES_cs-CZ'!errmsg.VarRg2OutOverlap</vt:lpstr>
      <vt:lpstr>'RES_da-DK'!errmsg.VarRg2OutOverlap</vt:lpstr>
      <vt:lpstr>'RES_de-DE'!errmsg.VarRg2OutOverlap</vt:lpstr>
      <vt:lpstr>'RES_el-GR'!errmsg.VarRg2OutOverlap</vt:lpstr>
      <vt:lpstr>'RES_en-US'!errmsg.VarRg2OutOverlap</vt:lpstr>
      <vt:lpstr>'RES_es-ES'!errmsg.VarRg2OutOverlap</vt:lpstr>
      <vt:lpstr>'RES_fi-FI'!errmsg.VarRg2OutOverlap</vt:lpstr>
      <vt:lpstr>'RES_fr-FR'!errmsg.VarRg2OutOverlap</vt:lpstr>
      <vt:lpstr>'RES_hr-HR'!errmsg.VarRg2OutOverlap</vt:lpstr>
      <vt:lpstr>'RES_hu-HU'!errmsg.VarRg2OutOverlap</vt:lpstr>
      <vt:lpstr>'RES_it-IT'!errmsg.VarRg2OutOverlap</vt:lpstr>
      <vt:lpstr>'RES_ja-JP'!errmsg.VarRg2OutOverlap</vt:lpstr>
      <vt:lpstr>'RES_ko-KR'!errmsg.VarRg2OutOverlap</vt:lpstr>
      <vt:lpstr>'RES_lv-LV'!errmsg.VarRg2OutOverlap</vt:lpstr>
      <vt:lpstr>'RES_nb-NO'!errmsg.VarRg2OutOverlap</vt:lpstr>
      <vt:lpstr>'RES_nl-NL'!errmsg.VarRg2OutOverlap</vt:lpstr>
      <vt:lpstr>'RES_pl-PL'!errmsg.VarRg2OutOverlap</vt:lpstr>
      <vt:lpstr>'RES_pt-BR'!errmsg.VarRg2OutOverlap</vt:lpstr>
      <vt:lpstr>'RES_pt-PT'!errmsg.VarRg2OutOverlap</vt:lpstr>
      <vt:lpstr>'RES_ro-RO'!errmsg.VarRg2OutOverlap</vt:lpstr>
      <vt:lpstr>'RES_ru-RU'!errmsg.VarRg2OutOverlap</vt:lpstr>
      <vt:lpstr>'RES_sl-SI'!errmsg.VarRg2OutOverlap</vt:lpstr>
      <vt:lpstr>'RES_sv-SE'!errmsg.VarRg2OutOverlap</vt:lpstr>
      <vt:lpstr>'RES_tr-TR'!errmsg.VarRg2OutOverlap</vt:lpstr>
      <vt:lpstr>'RES_zh-CN'!errmsg.VarRg2OutOverlap</vt:lpstr>
      <vt:lpstr>'RES_zh-TW'!errmsg.VarRg2OutOverlap</vt:lpstr>
      <vt:lpstr>'RES_cs-CZ'!errmsg.VarRg2Req</vt:lpstr>
      <vt:lpstr>'RES_da-DK'!errmsg.VarRg2Req</vt:lpstr>
      <vt:lpstr>'RES_de-DE'!errmsg.VarRg2Req</vt:lpstr>
      <vt:lpstr>'RES_el-GR'!errmsg.VarRg2Req</vt:lpstr>
      <vt:lpstr>'RES_en-US'!errmsg.VarRg2Req</vt:lpstr>
      <vt:lpstr>'RES_es-ES'!errmsg.VarRg2Req</vt:lpstr>
      <vt:lpstr>'RES_fi-FI'!errmsg.VarRg2Req</vt:lpstr>
      <vt:lpstr>'RES_fr-FR'!errmsg.VarRg2Req</vt:lpstr>
      <vt:lpstr>'RES_hr-HR'!errmsg.VarRg2Req</vt:lpstr>
      <vt:lpstr>'RES_hu-HU'!errmsg.VarRg2Req</vt:lpstr>
      <vt:lpstr>'RES_it-IT'!errmsg.VarRg2Req</vt:lpstr>
      <vt:lpstr>'RES_ja-JP'!errmsg.VarRg2Req</vt:lpstr>
      <vt:lpstr>'RES_ko-KR'!errmsg.VarRg2Req</vt:lpstr>
      <vt:lpstr>'RES_lv-LV'!errmsg.VarRg2Req</vt:lpstr>
      <vt:lpstr>'RES_nb-NO'!errmsg.VarRg2Req</vt:lpstr>
      <vt:lpstr>'RES_nl-NL'!errmsg.VarRg2Req</vt:lpstr>
      <vt:lpstr>'RES_pl-PL'!errmsg.VarRg2Req</vt:lpstr>
      <vt:lpstr>'RES_pt-BR'!errmsg.VarRg2Req</vt:lpstr>
      <vt:lpstr>'RES_pt-PT'!errmsg.VarRg2Req</vt:lpstr>
      <vt:lpstr>'RES_ro-RO'!errmsg.VarRg2Req</vt:lpstr>
      <vt:lpstr>'RES_ru-RU'!errmsg.VarRg2Req</vt:lpstr>
      <vt:lpstr>'RES_sl-SI'!errmsg.VarRg2Req</vt:lpstr>
      <vt:lpstr>'RES_sv-SE'!errmsg.VarRg2Req</vt:lpstr>
      <vt:lpstr>'RES_tr-TR'!errmsg.VarRg2Req</vt:lpstr>
      <vt:lpstr>'RES_zh-CN'!errmsg.VarRg2Req</vt:lpstr>
      <vt:lpstr>'RES_zh-TW'!errmsg.VarRg2Req</vt:lpstr>
      <vt:lpstr>'RES_cs-CZ'!errmsg.VarRgTooSmall</vt:lpstr>
      <vt:lpstr>'RES_da-DK'!errmsg.VarRgTooSmall</vt:lpstr>
      <vt:lpstr>'RES_de-DE'!errmsg.VarRgTooSmall</vt:lpstr>
      <vt:lpstr>'RES_el-GR'!errmsg.VarRgTooSmall</vt:lpstr>
      <vt:lpstr>'RES_en-US'!errmsg.VarRgTooSmall</vt:lpstr>
      <vt:lpstr>'RES_es-ES'!errmsg.VarRgTooSmall</vt:lpstr>
      <vt:lpstr>'RES_fi-FI'!errmsg.VarRgTooSmall</vt:lpstr>
      <vt:lpstr>'RES_fr-FR'!errmsg.VarRgTooSmall</vt:lpstr>
      <vt:lpstr>'RES_hr-HR'!errmsg.VarRgTooSmall</vt:lpstr>
      <vt:lpstr>'RES_hu-HU'!errmsg.VarRgTooSmall</vt:lpstr>
      <vt:lpstr>'RES_it-IT'!errmsg.VarRgTooSmall</vt:lpstr>
      <vt:lpstr>'RES_ja-JP'!errmsg.VarRgTooSmall</vt:lpstr>
      <vt:lpstr>'RES_ko-KR'!errmsg.VarRgTooSmall</vt:lpstr>
      <vt:lpstr>'RES_lv-LV'!errmsg.VarRgTooSmall</vt:lpstr>
      <vt:lpstr>'RES_nb-NO'!errmsg.VarRgTooSmall</vt:lpstr>
      <vt:lpstr>'RES_nl-NL'!errmsg.VarRgTooSmall</vt:lpstr>
      <vt:lpstr>'RES_pl-PL'!errmsg.VarRgTooSmall</vt:lpstr>
      <vt:lpstr>'RES_pt-BR'!errmsg.VarRgTooSmall</vt:lpstr>
      <vt:lpstr>'RES_pt-PT'!errmsg.VarRgTooSmall</vt:lpstr>
      <vt:lpstr>'RES_ro-RO'!errmsg.VarRgTooSmall</vt:lpstr>
      <vt:lpstr>'RES_ru-RU'!errmsg.VarRgTooSmall</vt:lpstr>
      <vt:lpstr>'RES_sl-SI'!errmsg.VarRgTooSmall</vt:lpstr>
      <vt:lpstr>'RES_sv-SE'!errmsg.VarRgTooSmall</vt:lpstr>
      <vt:lpstr>'RES_tr-TR'!errmsg.VarRgTooSmall</vt:lpstr>
      <vt:lpstr>'RES_zh-CN'!errmsg.VarRgTooSmall</vt:lpstr>
      <vt:lpstr>'RES_zh-TW'!errmsg.VarRgTooSmall</vt:lpstr>
      <vt:lpstr>'RES_cs-CZ'!errmsg.WrongDistType</vt:lpstr>
      <vt:lpstr>'RES_da-DK'!errmsg.WrongDistType</vt:lpstr>
      <vt:lpstr>'RES_de-DE'!errmsg.WrongDistType</vt:lpstr>
      <vt:lpstr>'RES_el-GR'!errmsg.WrongDistType</vt:lpstr>
      <vt:lpstr>'RES_en-US'!errmsg.WrongDistType</vt:lpstr>
      <vt:lpstr>'RES_es-ES'!errmsg.WrongDistType</vt:lpstr>
      <vt:lpstr>'RES_fi-FI'!errmsg.WrongDistType</vt:lpstr>
      <vt:lpstr>'RES_fr-FR'!errmsg.WrongDistType</vt:lpstr>
      <vt:lpstr>'RES_hr-HR'!errmsg.WrongDistType</vt:lpstr>
      <vt:lpstr>'RES_hu-HU'!errmsg.WrongDistType</vt:lpstr>
      <vt:lpstr>'RES_it-IT'!errmsg.WrongDistType</vt:lpstr>
      <vt:lpstr>'RES_ja-JP'!errmsg.WrongDistType</vt:lpstr>
      <vt:lpstr>'RES_ko-KR'!errmsg.WrongDistType</vt:lpstr>
      <vt:lpstr>'RES_lv-LV'!errmsg.WrongDistType</vt:lpstr>
      <vt:lpstr>'RES_nb-NO'!errmsg.WrongDistType</vt:lpstr>
      <vt:lpstr>'RES_nl-NL'!errmsg.WrongDistType</vt:lpstr>
      <vt:lpstr>'RES_pl-PL'!errmsg.WrongDistType</vt:lpstr>
      <vt:lpstr>'RES_pt-BR'!errmsg.WrongDistType</vt:lpstr>
      <vt:lpstr>'RES_pt-PT'!errmsg.WrongDistType</vt:lpstr>
      <vt:lpstr>'RES_ro-RO'!errmsg.WrongDistType</vt:lpstr>
      <vt:lpstr>'RES_ru-RU'!errmsg.WrongDistType</vt:lpstr>
      <vt:lpstr>'RES_sl-SI'!errmsg.WrongDistType</vt:lpstr>
      <vt:lpstr>'RES_sv-SE'!errmsg.WrongDistType</vt:lpstr>
      <vt:lpstr>'RES_tr-TR'!errmsg.WrongDistType</vt:lpstr>
      <vt:lpstr>'RES_zh-CN'!errmsg.WrongDistType</vt:lpstr>
      <vt:lpstr>'RES_zh-TW'!errmsg.WrongDistType</vt:lpstr>
      <vt:lpstr>'RES_cs-CZ'!errmsg.XOutOverlap</vt:lpstr>
      <vt:lpstr>'RES_da-DK'!errmsg.XOutOverlap</vt:lpstr>
      <vt:lpstr>'RES_de-DE'!errmsg.XOutOverlap</vt:lpstr>
      <vt:lpstr>'RES_el-GR'!errmsg.XOutOverlap</vt:lpstr>
      <vt:lpstr>'RES_en-US'!errmsg.XOutOverlap</vt:lpstr>
      <vt:lpstr>'RES_es-ES'!errmsg.XOutOverlap</vt:lpstr>
      <vt:lpstr>'RES_fi-FI'!errmsg.XOutOverlap</vt:lpstr>
      <vt:lpstr>'RES_fr-FR'!errmsg.XOutOverlap</vt:lpstr>
      <vt:lpstr>'RES_hr-HR'!errmsg.XOutOverlap</vt:lpstr>
      <vt:lpstr>'RES_hu-HU'!errmsg.XOutOverlap</vt:lpstr>
      <vt:lpstr>'RES_it-IT'!errmsg.XOutOverlap</vt:lpstr>
      <vt:lpstr>'RES_ja-JP'!errmsg.XOutOverlap</vt:lpstr>
      <vt:lpstr>'RES_ko-KR'!errmsg.XOutOverlap</vt:lpstr>
      <vt:lpstr>'RES_lv-LV'!errmsg.XOutOverlap</vt:lpstr>
      <vt:lpstr>'RES_nb-NO'!errmsg.XOutOverlap</vt:lpstr>
      <vt:lpstr>'RES_nl-NL'!errmsg.XOutOverlap</vt:lpstr>
      <vt:lpstr>'RES_pl-PL'!errmsg.XOutOverlap</vt:lpstr>
      <vt:lpstr>'RES_pt-BR'!errmsg.XOutOverlap</vt:lpstr>
      <vt:lpstr>'RES_pt-PT'!errmsg.XOutOverlap</vt:lpstr>
      <vt:lpstr>'RES_ro-RO'!errmsg.XOutOverlap</vt:lpstr>
      <vt:lpstr>'RES_ru-RU'!errmsg.XOutOverlap</vt:lpstr>
      <vt:lpstr>'RES_sl-SI'!errmsg.XOutOverlap</vt:lpstr>
      <vt:lpstr>'RES_sv-SE'!errmsg.XOutOverlap</vt:lpstr>
      <vt:lpstr>'RES_tr-TR'!errmsg.XOutOverlap</vt:lpstr>
      <vt:lpstr>'RES_zh-CN'!errmsg.XOutOverlap</vt:lpstr>
      <vt:lpstr>'RES_zh-TW'!errmsg.XOutOverlap</vt:lpstr>
      <vt:lpstr>'RES_cs-CZ'!errmsg.XRgMustBeRef</vt:lpstr>
      <vt:lpstr>'RES_da-DK'!errmsg.XRgMustBeRef</vt:lpstr>
      <vt:lpstr>'RES_de-DE'!errmsg.XRgMustBeRef</vt:lpstr>
      <vt:lpstr>'RES_el-GR'!errmsg.XRgMustBeRef</vt:lpstr>
      <vt:lpstr>'RES_en-US'!errmsg.XRgMustBeRef</vt:lpstr>
      <vt:lpstr>'RES_es-ES'!errmsg.XRgMustBeRef</vt:lpstr>
      <vt:lpstr>'RES_fi-FI'!errmsg.XRgMustBeRef</vt:lpstr>
      <vt:lpstr>'RES_fr-FR'!errmsg.XRgMustBeRef</vt:lpstr>
      <vt:lpstr>'RES_hr-HR'!errmsg.XRgMustBeRef</vt:lpstr>
      <vt:lpstr>'RES_hu-HU'!errmsg.XRgMustBeRef</vt:lpstr>
      <vt:lpstr>'RES_it-IT'!errmsg.XRgMustBeRef</vt:lpstr>
      <vt:lpstr>'RES_ja-JP'!errmsg.XRgMustBeRef</vt:lpstr>
      <vt:lpstr>'RES_ko-KR'!errmsg.XRgMustBeRef</vt:lpstr>
      <vt:lpstr>'RES_lv-LV'!errmsg.XRgMustBeRef</vt:lpstr>
      <vt:lpstr>'RES_nb-NO'!errmsg.XRgMustBeRef</vt:lpstr>
      <vt:lpstr>'RES_nl-NL'!errmsg.XRgMustBeRef</vt:lpstr>
      <vt:lpstr>'RES_pl-PL'!errmsg.XRgMustBeRef</vt:lpstr>
      <vt:lpstr>'RES_pt-BR'!errmsg.XRgMustBeRef</vt:lpstr>
      <vt:lpstr>'RES_pt-PT'!errmsg.XRgMustBeRef</vt:lpstr>
      <vt:lpstr>'RES_ro-RO'!errmsg.XRgMustBeRef</vt:lpstr>
      <vt:lpstr>'RES_ru-RU'!errmsg.XRgMustBeRef</vt:lpstr>
      <vt:lpstr>'RES_sl-SI'!errmsg.XRgMustBeRef</vt:lpstr>
      <vt:lpstr>'RES_sv-SE'!errmsg.XRgMustBeRef</vt:lpstr>
      <vt:lpstr>'RES_tr-TR'!errmsg.XRgMustBeRef</vt:lpstr>
      <vt:lpstr>'RES_zh-CN'!errmsg.XRgMustBeRef</vt:lpstr>
      <vt:lpstr>'RES_zh-TW'!errmsg.XRgMustBeRef</vt:lpstr>
      <vt:lpstr>'RES_cs-CZ'!errmsg.XRgRequired</vt:lpstr>
      <vt:lpstr>'RES_da-DK'!errmsg.XRgRequired</vt:lpstr>
      <vt:lpstr>'RES_de-DE'!errmsg.XRgRequired</vt:lpstr>
      <vt:lpstr>'RES_el-GR'!errmsg.XRgRequired</vt:lpstr>
      <vt:lpstr>'RES_en-US'!errmsg.XRgRequired</vt:lpstr>
      <vt:lpstr>'RES_es-ES'!errmsg.XRgRequired</vt:lpstr>
      <vt:lpstr>'RES_fi-FI'!errmsg.XRgRequired</vt:lpstr>
      <vt:lpstr>'RES_fr-FR'!errmsg.XRgRequired</vt:lpstr>
      <vt:lpstr>'RES_hr-HR'!errmsg.XRgRequired</vt:lpstr>
      <vt:lpstr>'RES_hu-HU'!errmsg.XRgRequired</vt:lpstr>
      <vt:lpstr>'RES_it-IT'!errmsg.XRgRequired</vt:lpstr>
      <vt:lpstr>'RES_ja-JP'!errmsg.XRgRequired</vt:lpstr>
      <vt:lpstr>'RES_ko-KR'!errmsg.XRgRequired</vt:lpstr>
      <vt:lpstr>'RES_lv-LV'!errmsg.XRgRequired</vt:lpstr>
      <vt:lpstr>'RES_nb-NO'!errmsg.XRgRequired</vt:lpstr>
      <vt:lpstr>'RES_nl-NL'!errmsg.XRgRequired</vt:lpstr>
      <vt:lpstr>'RES_pl-PL'!errmsg.XRgRequired</vt:lpstr>
      <vt:lpstr>'RES_pt-BR'!errmsg.XRgRequired</vt:lpstr>
      <vt:lpstr>'RES_pt-PT'!errmsg.XRgRequired</vt:lpstr>
      <vt:lpstr>'RES_ro-RO'!errmsg.XRgRequired</vt:lpstr>
      <vt:lpstr>'RES_ru-RU'!errmsg.XRgRequired</vt:lpstr>
      <vt:lpstr>'RES_sl-SI'!errmsg.XRgRequired</vt:lpstr>
      <vt:lpstr>'RES_sv-SE'!errmsg.XRgRequired</vt:lpstr>
      <vt:lpstr>'RES_tr-TR'!errmsg.XRgRequired</vt:lpstr>
      <vt:lpstr>'RES_zh-CN'!errmsg.XRgRequired</vt:lpstr>
      <vt:lpstr>'RES_zh-TW'!errmsg.XRgRequired</vt:lpstr>
      <vt:lpstr>'RES_cs-CZ'!errmsg.XRgsquare</vt:lpstr>
      <vt:lpstr>'RES_da-DK'!errmsg.XRgsquare</vt:lpstr>
      <vt:lpstr>'RES_de-DE'!errmsg.XRgsquare</vt:lpstr>
      <vt:lpstr>'RES_el-GR'!errmsg.XRgsquare</vt:lpstr>
      <vt:lpstr>'RES_en-US'!errmsg.XRgsquare</vt:lpstr>
      <vt:lpstr>'RES_es-ES'!errmsg.XRgsquare</vt:lpstr>
      <vt:lpstr>'RES_fi-FI'!errmsg.XRgsquare</vt:lpstr>
      <vt:lpstr>'RES_fr-FR'!errmsg.XRgsquare</vt:lpstr>
      <vt:lpstr>'RES_hr-HR'!errmsg.XRgsquare</vt:lpstr>
      <vt:lpstr>'RES_hu-HU'!errmsg.XRgsquare</vt:lpstr>
      <vt:lpstr>'RES_it-IT'!errmsg.XRgsquare</vt:lpstr>
      <vt:lpstr>'RES_ja-JP'!errmsg.XRgsquare</vt:lpstr>
      <vt:lpstr>'RES_ko-KR'!errmsg.XRgsquare</vt:lpstr>
      <vt:lpstr>'RES_lv-LV'!errmsg.XRgsquare</vt:lpstr>
      <vt:lpstr>'RES_nb-NO'!errmsg.XRgsquare</vt:lpstr>
      <vt:lpstr>'RES_nl-NL'!errmsg.XRgsquare</vt:lpstr>
      <vt:lpstr>'RES_pl-PL'!errmsg.XRgsquare</vt:lpstr>
      <vt:lpstr>'RES_pt-BR'!errmsg.XRgsquare</vt:lpstr>
      <vt:lpstr>'RES_pt-PT'!errmsg.XRgsquare</vt:lpstr>
      <vt:lpstr>'RES_ro-RO'!errmsg.XRgsquare</vt:lpstr>
      <vt:lpstr>'RES_ru-RU'!errmsg.XRgsquare</vt:lpstr>
      <vt:lpstr>'RES_sl-SI'!errmsg.XRgsquare</vt:lpstr>
      <vt:lpstr>'RES_sv-SE'!errmsg.XRgsquare</vt:lpstr>
      <vt:lpstr>'RES_tr-TR'!errmsg.XRgsquare</vt:lpstr>
      <vt:lpstr>'RES_zh-CN'!errmsg.XRgsquare</vt:lpstr>
      <vt:lpstr>'RES_zh-TW'!errmsg.XRgsquare</vt:lpstr>
      <vt:lpstr>'RES_cs-CZ'!errmsg.XYOverlap</vt:lpstr>
      <vt:lpstr>'RES_da-DK'!errmsg.XYOverlap</vt:lpstr>
      <vt:lpstr>'RES_de-DE'!errmsg.XYOverlap</vt:lpstr>
      <vt:lpstr>'RES_el-GR'!errmsg.XYOverlap</vt:lpstr>
      <vt:lpstr>'RES_en-US'!errmsg.XYOverlap</vt:lpstr>
      <vt:lpstr>'RES_es-ES'!errmsg.XYOverlap</vt:lpstr>
      <vt:lpstr>'RES_fi-FI'!errmsg.XYOverlap</vt:lpstr>
      <vt:lpstr>'RES_fr-FR'!errmsg.XYOverlap</vt:lpstr>
      <vt:lpstr>'RES_hr-HR'!errmsg.XYOverlap</vt:lpstr>
      <vt:lpstr>'RES_hu-HU'!errmsg.XYOverlap</vt:lpstr>
      <vt:lpstr>'RES_it-IT'!errmsg.XYOverlap</vt:lpstr>
      <vt:lpstr>'RES_ja-JP'!errmsg.XYOverlap</vt:lpstr>
      <vt:lpstr>'RES_ko-KR'!errmsg.XYOverlap</vt:lpstr>
      <vt:lpstr>'RES_lv-LV'!errmsg.XYOverlap</vt:lpstr>
      <vt:lpstr>'RES_nb-NO'!errmsg.XYOverlap</vt:lpstr>
      <vt:lpstr>'RES_nl-NL'!errmsg.XYOverlap</vt:lpstr>
      <vt:lpstr>'RES_pl-PL'!errmsg.XYOverlap</vt:lpstr>
      <vt:lpstr>'RES_pt-BR'!errmsg.XYOverlap</vt:lpstr>
      <vt:lpstr>'RES_pt-PT'!errmsg.XYOverlap</vt:lpstr>
      <vt:lpstr>'RES_ro-RO'!errmsg.XYOverlap</vt:lpstr>
      <vt:lpstr>'RES_ru-RU'!errmsg.XYOverlap</vt:lpstr>
      <vt:lpstr>'RES_sl-SI'!errmsg.XYOverlap</vt:lpstr>
      <vt:lpstr>'RES_sv-SE'!errmsg.XYOverlap</vt:lpstr>
      <vt:lpstr>'RES_tr-TR'!errmsg.XYOverlap</vt:lpstr>
      <vt:lpstr>'RES_zh-CN'!errmsg.XYOverlap</vt:lpstr>
      <vt:lpstr>'RES_zh-TW'!errmsg.XYOverlap</vt:lpstr>
      <vt:lpstr>'RES_cs-CZ'!errmsg.YOutOverlap</vt:lpstr>
      <vt:lpstr>'RES_da-DK'!errmsg.YOutOverlap</vt:lpstr>
      <vt:lpstr>'RES_de-DE'!errmsg.YOutOverlap</vt:lpstr>
      <vt:lpstr>'RES_el-GR'!errmsg.YOutOverlap</vt:lpstr>
      <vt:lpstr>'RES_en-US'!errmsg.YOutOverlap</vt:lpstr>
      <vt:lpstr>'RES_es-ES'!errmsg.YOutOverlap</vt:lpstr>
      <vt:lpstr>'RES_fi-FI'!errmsg.YOutOverlap</vt:lpstr>
      <vt:lpstr>'RES_fr-FR'!errmsg.YOutOverlap</vt:lpstr>
      <vt:lpstr>'RES_hr-HR'!errmsg.YOutOverlap</vt:lpstr>
      <vt:lpstr>'RES_hu-HU'!errmsg.YOutOverlap</vt:lpstr>
      <vt:lpstr>'RES_it-IT'!errmsg.YOutOverlap</vt:lpstr>
      <vt:lpstr>'RES_ja-JP'!errmsg.YOutOverlap</vt:lpstr>
      <vt:lpstr>'RES_ko-KR'!errmsg.YOutOverlap</vt:lpstr>
      <vt:lpstr>'RES_lv-LV'!errmsg.YOutOverlap</vt:lpstr>
      <vt:lpstr>'RES_nb-NO'!errmsg.YOutOverlap</vt:lpstr>
      <vt:lpstr>'RES_nl-NL'!errmsg.YOutOverlap</vt:lpstr>
      <vt:lpstr>'RES_pl-PL'!errmsg.YOutOverlap</vt:lpstr>
      <vt:lpstr>'RES_pt-BR'!errmsg.YOutOverlap</vt:lpstr>
      <vt:lpstr>'RES_pt-PT'!errmsg.YOutOverlap</vt:lpstr>
      <vt:lpstr>'RES_ro-RO'!errmsg.YOutOverlap</vt:lpstr>
      <vt:lpstr>'RES_ru-RU'!errmsg.YOutOverlap</vt:lpstr>
      <vt:lpstr>'RES_sl-SI'!errmsg.YOutOverlap</vt:lpstr>
      <vt:lpstr>'RES_sv-SE'!errmsg.YOutOverlap</vt:lpstr>
      <vt:lpstr>'RES_tr-TR'!errmsg.YOutOverlap</vt:lpstr>
      <vt:lpstr>'RES_zh-CN'!errmsg.YOutOverlap</vt:lpstr>
      <vt:lpstr>'RES_zh-TW'!errmsg.YOutOverlap</vt:lpstr>
      <vt:lpstr>'RES_cs-CZ'!errmsg.YRgMustBeRef</vt:lpstr>
      <vt:lpstr>'RES_da-DK'!errmsg.YRgMustBeRef</vt:lpstr>
      <vt:lpstr>'RES_de-DE'!errmsg.YRgMustBeRef</vt:lpstr>
      <vt:lpstr>'RES_el-GR'!errmsg.YRgMustBeRef</vt:lpstr>
      <vt:lpstr>'RES_en-US'!errmsg.YRgMustBeRef</vt:lpstr>
      <vt:lpstr>'RES_es-ES'!errmsg.YRgMustBeRef</vt:lpstr>
      <vt:lpstr>'RES_fi-FI'!errmsg.YRgMustBeRef</vt:lpstr>
      <vt:lpstr>'RES_fr-FR'!errmsg.YRgMustBeRef</vt:lpstr>
      <vt:lpstr>'RES_hr-HR'!errmsg.YRgMustBeRef</vt:lpstr>
      <vt:lpstr>'RES_hu-HU'!errmsg.YRgMustBeRef</vt:lpstr>
      <vt:lpstr>'RES_it-IT'!errmsg.YRgMustBeRef</vt:lpstr>
      <vt:lpstr>'RES_ja-JP'!errmsg.YRgMustBeRef</vt:lpstr>
      <vt:lpstr>'RES_ko-KR'!errmsg.YRgMustBeRef</vt:lpstr>
      <vt:lpstr>'RES_lv-LV'!errmsg.YRgMustBeRef</vt:lpstr>
      <vt:lpstr>'RES_nb-NO'!errmsg.YRgMustBeRef</vt:lpstr>
      <vt:lpstr>'RES_nl-NL'!errmsg.YRgMustBeRef</vt:lpstr>
      <vt:lpstr>'RES_pl-PL'!errmsg.YRgMustBeRef</vt:lpstr>
      <vt:lpstr>'RES_pt-BR'!errmsg.YRgMustBeRef</vt:lpstr>
      <vt:lpstr>'RES_pt-PT'!errmsg.YRgMustBeRef</vt:lpstr>
      <vt:lpstr>'RES_ro-RO'!errmsg.YRgMustBeRef</vt:lpstr>
      <vt:lpstr>'RES_ru-RU'!errmsg.YRgMustBeRef</vt:lpstr>
      <vt:lpstr>'RES_sl-SI'!errmsg.YRgMustBeRef</vt:lpstr>
      <vt:lpstr>'RES_sv-SE'!errmsg.YRgMustBeRef</vt:lpstr>
      <vt:lpstr>'RES_tr-TR'!errmsg.YRgMustBeRef</vt:lpstr>
      <vt:lpstr>'RES_zh-CN'!errmsg.YRgMustBeRef</vt:lpstr>
      <vt:lpstr>'RES_zh-TW'!errmsg.YRgMustBeRef</vt:lpstr>
      <vt:lpstr>'RES_cs-CZ'!errmsg.YRgRequired</vt:lpstr>
      <vt:lpstr>'RES_da-DK'!errmsg.YRgRequired</vt:lpstr>
      <vt:lpstr>'RES_de-DE'!errmsg.YRgRequired</vt:lpstr>
      <vt:lpstr>'RES_el-GR'!errmsg.YRgRequired</vt:lpstr>
      <vt:lpstr>'RES_en-US'!errmsg.YRgRequired</vt:lpstr>
      <vt:lpstr>'RES_es-ES'!errmsg.YRgRequired</vt:lpstr>
      <vt:lpstr>'RES_fi-FI'!errmsg.YRgRequired</vt:lpstr>
      <vt:lpstr>'RES_fr-FR'!errmsg.YRgRequired</vt:lpstr>
      <vt:lpstr>'RES_hr-HR'!errmsg.YRgRequired</vt:lpstr>
      <vt:lpstr>'RES_hu-HU'!errmsg.YRgRequired</vt:lpstr>
      <vt:lpstr>'RES_it-IT'!errmsg.YRgRequired</vt:lpstr>
      <vt:lpstr>'RES_ja-JP'!errmsg.YRgRequired</vt:lpstr>
      <vt:lpstr>'RES_ko-KR'!errmsg.YRgRequired</vt:lpstr>
      <vt:lpstr>'RES_lv-LV'!errmsg.YRgRequired</vt:lpstr>
      <vt:lpstr>'RES_nb-NO'!errmsg.YRgRequired</vt:lpstr>
      <vt:lpstr>'RES_nl-NL'!errmsg.YRgRequired</vt:lpstr>
      <vt:lpstr>'RES_pl-PL'!errmsg.YRgRequired</vt:lpstr>
      <vt:lpstr>'RES_pt-BR'!errmsg.YRgRequired</vt:lpstr>
      <vt:lpstr>'RES_pt-PT'!errmsg.YRgRequired</vt:lpstr>
      <vt:lpstr>'RES_ro-RO'!errmsg.YRgRequired</vt:lpstr>
      <vt:lpstr>'RES_ru-RU'!errmsg.YRgRequired</vt:lpstr>
      <vt:lpstr>'RES_sl-SI'!errmsg.YRgRequired</vt:lpstr>
      <vt:lpstr>'RES_sv-SE'!errmsg.YRgRequired</vt:lpstr>
      <vt:lpstr>'RES_tr-TR'!errmsg.YRgRequired</vt:lpstr>
      <vt:lpstr>'RES_zh-CN'!errmsg.YRgRequired</vt:lpstr>
      <vt:lpstr>'RES_zh-TW'!errmsg.YRgRequired</vt:lpstr>
      <vt:lpstr>'RES_cs-CZ'!errmsg.ZtestVar1Numeric</vt:lpstr>
      <vt:lpstr>'RES_da-DK'!errmsg.ZtestVar1Numeric</vt:lpstr>
      <vt:lpstr>'RES_de-DE'!errmsg.ZtestVar1Numeric</vt:lpstr>
      <vt:lpstr>'RES_el-GR'!errmsg.ZtestVar1Numeric</vt:lpstr>
      <vt:lpstr>'RES_en-US'!errmsg.ZtestVar1Numeric</vt:lpstr>
      <vt:lpstr>'RES_es-ES'!errmsg.ZtestVar1Numeric</vt:lpstr>
      <vt:lpstr>'RES_fi-FI'!errmsg.ZtestVar1Numeric</vt:lpstr>
      <vt:lpstr>'RES_fr-FR'!errmsg.ZtestVar1Numeric</vt:lpstr>
      <vt:lpstr>'RES_hr-HR'!errmsg.ZtestVar1Numeric</vt:lpstr>
      <vt:lpstr>'RES_hu-HU'!errmsg.ZtestVar1Numeric</vt:lpstr>
      <vt:lpstr>'RES_it-IT'!errmsg.ZtestVar1Numeric</vt:lpstr>
      <vt:lpstr>'RES_ja-JP'!errmsg.ZtestVar1Numeric</vt:lpstr>
      <vt:lpstr>'RES_ko-KR'!errmsg.ZtestVar1Numeric</vt:lpstr>
      <vt:lpstr>'RES_lv-LV'!errmsg.ZtestVar1Numeric</vt:lpstr>
      <vt:lpstr>'RES_nb-NO'!errmsg.ZtestVar1Numeric</vt:lpstr>
      <vt:lpstr>'RES_nl-NL'!errmsg.ZtestVar1Numeric</vt:lpstr>
      <vt:lpstr>'RES_pl-PL'!errmsg.ZtestVar1Numeric</vt:lpstr>
      <vt:lpstr>'RES_pt-BR'!errmsg.ZtestVar1Numeric</vt:lpstr>
      <vt:lpstr>'RES_pt-PT'!errmsg.ZtestVar1Numeric</vt:lpstr>
      <vt:lpstr>'RES_ro-RO'!errmsg.ZtestVar1Numeric</vt:lpstr>
      <vt:lpstr>'RES_ru-RU'!errmsg.ZtestVar1Numeric</vt:lpstr>
      <vt:lpstr>'RES_sl-SI'!errmsg.ZtestVar1Numeric</vt:lpstr>
      <vt:lpstr>'RES_sv-SE'!errmsg.ZtestVar1Numeric</vt:lpstr>
      <vt:lpstr>'RES_tr-TR'!errmsg.ZtestVar1Numeric</vt:lpstr>
      <vt:lpstr>'RES_zh-CN'!errmsg.ZtestVar1Numeric</vt:lpstr>
      <vt:lpstr>'RES_zh-TW'!errmsg.ZtestVar1Numeric</vt:lpstr>
      <vt:lpstr>'RES_cs-CZ'!errmsg.ZtestVar2Numeric</vt:lpstr>
      <vt:lpstr>'RES_da-DK'!errmsg.ZtestVar2Numeric</vt:lpstr>
      <vt:lpstr>'RES_de-DE'!errmsg.ZtestVar2Numeric</vt:lpstr>
      <vt:lpstr>'RES_el-GR'!errmsg.ZtestVar2Numeric</vt:lpstr>
      <vt:lpstr>'RES_en-US'!errmsg.ZtestVar2Numeric</vt:lpstr>
      <vt:lpstr>'RES_es-ES'!errmsg.ZtestVar2Numeric</vt:lpstr>
      <vt:lpstr>'RES_fi-FI'!errmsg.ZtestVar2Numeric</vt:lpstr>
      <vt:lpstr>'RES_fr-FR'!errmsg.ZtestVar2Numeric</vt:lpstr>
      <vt:lpstr>'RES_hr-HR'!errmsg.ZtestVar2Numeric</vt:lpstr>
      <vt:lpstr>'RES_hu-HU'!errmsg.ZtestVar2Numeric</vt:lpstr>
      <vt:lpstr>'RES_it-IT'!errmsg.ZtestVar2Numeric</vt:lpstr>
      <vt:lpstr>'RES_ja-JP'!errmsg.ZtestVar2Numeric</vt:lpstr>
      <vt:lpstr>'RES_ko-KR'!errmsg.ZtestVar2Numeric</vt:lpstr>
      <vt:lpstr>'RES_lv-LV'!errmsg.ZtestVar2Numeric</vt:lpstr>
      <vt:lpstr>'RES_nb-NO'!errmsg.ZtestVar2Numeric</vt:lpstr>
      <vt:lpstr>'RES_nl-NL'!errmsg.ZtestVar2Numeric</vt:lpstr>
      <vt:lpstr>'RES_pl-PL'!errmsg.ZtestVar2Numeric</vt:lpstr>
      <vt:lpstr>'RES_pt-BR'!errmsg.ZtestVar2Numeric</vt:lpstr>
      <vt:lpstr>'RES_pt-PT'!errmsg.ZtestVar2Numeric</vt:lpstr>
      <vt:lpstr>'RES_ro-RO'!errmsg.ZtestVar2Numeric</vt:lpstr>
      <vt:lpstr>'RES_ru-RU'!errmsg.ZtestVar2Numeric</vt:lpstr>
      <vt:lpstr>'RES_sl-SI'!errmsg.ZtestVar2Numeric</vt:lpstr>
      <vt:lpstr>'RES_sv-SE'!errmsg.ZtestVar2Numeric</vt:lpstr>
      <vt:lpstr>'RES_tr-TR'!errmsg.ZtestVar2Numeric</vt:lpstr>
      <vt:lpstr>'RES_zh-CN'!errmsg.ZtestVar2Numeric</vt:lpstr>
      <vt:lpstr>'RES_zh-TW'!errmsg.ZtestVar2Numeric</vt:lpstr>
      <vt:lpstr>'RES_cs-CZ'!ErrorTitles</vt:lpstr>
      <vt:lpstr>'RES_da-DK'!ErrorTitles</vt:lpstr>
      <vt:lpstr>'RES_de-DE'!ErrorTitles</vt:lpstr>
      <vt:lpstr>'RES_el-GR'!ErrorTitles</vt:lpstr>
      <vt:lpstr>'RES_en-US'!ErrorTitles</vt:lpstr>
      <vt:lpstr>'RES_es-ES'!ErrorTitles</vt:lpstr>
      <vt:lpstr>'RES_fi-FI'!ErrorTitles</vt:lpstr>
      <vt:lpstr>'RES_fr-FR'!ErrorTitles</vt:lpstr>
      <vt:lpstr>'RES_hr-HR'!ErrorTitles</vt:lpstr>
      <vt:lpstr>'RES_hu-HU'!ErrorTitles</vt:lpstr>
      <vt:lpstr>'RES_it-IT'!ErrorTitles</vt:lpstr>
      <vt:lpstr>'RES_ja-JP'!ErrorTitles</vt:lpstr>
      <vt:lpstr>'RES_ko-KR'!ErrorTitles</vt:lpstr>
      <vt:lpstr>'RES_lv-LV'!ErrorTitles</vt:lpstr>
      <vt:lpstr>'RES_nb-NO'!ErrorTitles</vt:lpstr>
      <vt:lpstr>'RES_nl-NL'!ErrorTitles</vt:lpstr>
      <vt:lpstr>'RES_pl-PL'!ErrorTitles</vt:lpstr>
      <vt:lpstr>'RES_pt-BR'!ErrorTitles</vt:lpstr>
      <vt:lpstr>'RES_pt-PT'!ErrorTitles</vt:lpstr>
      <vt:lpstr>'RES_ro-RO'!ErrorTitles</vt:lpstr>
      <vt:lpstr>'RES_ru-RU'!ErrorTitles</vt:lpstr>
      <vt:lpstr>'RES_sl-SI'!ErrorTitles</vt:lpstr>
      <vt:lpstr>'RES_sv-SE'!ErrorTitles</vt:lpstr>
      <vt:lpstr>'RES_tr-TR'!ErrorTitles</vt:lpstr>
      <vt:lpstr>'RES_zh-CN'!ErrorTitles</vt:lpstr>
      <vt:lpstr>'RES_zh-TW'!ErrorTitles</vt:lpstr>
      <vt:lpstr>'RES_cs-CZ'!helpmsg.SharingRef</vt:lpstr>
      <vt:lpstr>'RES_da-DK'!helpmsg.SharingRef</vt:lpstr>
      <vt:lpstr>'RES_de-DE'!helpmsg.SharingRef</vt:lpstr>
      <vt:lpstr>'RES_el-GR'!helpmsg.SharingRef</vt:lpstr>
      <vt:lpstr>'RES_en-US'!helpmsg.SharingRef</vt:lpstr>
      <vt:lpstr>'RES_es-ES'!helpmsg.SharingRef</vt:lpstr>
      <vt:lpstr>'RES_fi-FI'!helpmsg.SharingRef</vt:lpstr>
      <vt:lpstr>'RES_fr-FR'!helpmsg.SharingRef</vt:lpstr>
      <vt:lpstr>'RES_hr-HR'!helpmsg.SharingRef</vt:lpstr>
      <vt:lpstr>'RES_hu-HU'!helpmsg.SharingRef</vt:lpstr>
      <vt:lpstr>'RES_it-IT'!helpmsg.SharingRef</vt:lpstr>
      <vt:lpstr>'RES_ja-JP'!helpmsg.SharingRef</vt:lpstr>
      <vt:lpstr>'RES_ko-KR'!helpmsg.SharingRef</vt:lpstr>
      <vt:lpstr>'RES_lv-LV'!helpmsg.SharingRef</vt:lpstr>
      <vt:lpstr>'RES_nb-NO'!helpmsg.SharingRef</vt:lpstr>
      <vt:lpstr>'RES_nl-NL'!helpmsg.SharingRef</vt:lpstr>
      <vt:lpstr>'RES_pl-PL'!helpmsg.SharingRef</vt:lpstr>
      <vt:lpstr>'RES_pt-BR'!helpmsg.SharingRef</vt:lpstr>
      <vt:lpstr>'RES_pt-PT'!helpmsg.SharingRef</vt:lpstr>
      <vt:lpstr>'RES_ro-RO'!helpmsg.SharingRef</vt:lpstr>
      <vt:lpstr>'RES_ru-RU'!helpmsg.SharingRef</vt:lpstr>
      <vt:lpstr>'RES_sl-SI'!helpmsg.SharingRef</vt:lpstr>
      <vt:lpstr>'RES_sv-SE'!helpmsg.SharingRef</vt:lpstr>
      <vt:lpstr>'RES_tr-TR'!helpmsg.SharingRef</vt:lpstr>
      <vt:lpstr>'RES_zh-CN'!helpmsg.SharingRef</vt:lpstr>
      <vt:lpstr>'RES_zh-TW'!helpmsg.SharingRef</vt:lpstr>
      <vt:lpstr>'RES_cs-CZ'!InitRandomDb</vt:lpstr>
      <vt:lpstr>'RES_da-DK'!InitRandomDb</vt:lpstr>
      <vt:lpstr>'RES_de-DE'!InitRandomDb</vt:lpstr>
      <vt:lpstr>'RES_el-GR'!InitRandomDb</vt:lpstr>
      <vt:lpstr>'RES_en-US'!InitRandomDb</vt:lpstr>
      <vt:lpstr>'RES_es-ES'!InitRandomDb</vt:lpstr>
      <vt:lpstr>'RES_fi-FI'!InitRandomDb</vt:lpstr>
      <vt:lpstr>'RES_fr-FR'!InitRandomDb</vt:lpstr>
      <vt:lpstr>'RES_hr-HR'!InitRandomDb</vt:lpstr>
      <vt:lpstr>'RES_hu-HU'!InitRandomDb</vt:lpstr>
      <vt:lpstr>'RES_it-IT'!InitRandomDb</vt:lpstr>
      <vt:lpstr>'RES_ja-JP'!InitRandomDb</vt:lpstr>
      <vt:lpstr>'RES_ko-KR'!InitRandomDb</vt:lpstr>
      <vt:lpstr>'RES_lv-LV'!InitRandomDb</vt:lpstr>
      <vt:lpstr>'RES_nb-NO'!InitRandomDb</vt:lpstr>
      <vt:lpstr>'RES_nl-NL'!InitRandomDb</vt:lpstr>
      <vt:lpstr>'RES_pl-PL'!InitRandomDb</vt:lpstr>
      <vt:lpstr>'RES_pt-BR'!InitRandomDb</vt:lpstr>
      <vt:lpstr>'RES_pt-PT'!InitRandomDb</vt:lpstr>
      <vt:lpstr>'RES_ro-RO'!InitRandomDb</vt:lpstr>
      <vt:lpstr>'RES_ru-RU'!InitRandomDb</vt:lpstr>
      <vt:lpstr>'RES_sl-SI'!InitRandomDb</vt:lpstr>
      <vt:lpstr>'RES_sv-SE'!InitRandomDb</vt:lpstr>
      <vt:lpstr>'RES_tr-TR'!InitRandomDb</vt:lpstr>
      <vt:lpstr>'RES_zh-CN'!InitRandomDb</vt:lpstr>
      <vt:lpstr>'RES_zh-TW'!InitRandomDb</vt:lpstr>
      <vt:lpstr>'RES_cs-CZ'!InituDialogList</vt:lpstr>
      <vt:lpstr>'RES_da-DK'!InituDialogList</vt:lpstr>
      <vt:lpstr>'RES_de-DE'!InituDialogList</vt:lpstr>
      <vt:lpstr>'RES_el-GR'!InituDialogList</vt:lpstr>
      <vt:lpstr>'RES_en-US'!InituDialogList</vt:lpstr>
      <vt:lpstr>'RES_es-ES'!InituDialogList</vt:lpstr>
      <vt:lpstr>'RES_fi-FI'!InituDialogList</vt:lpstr>
      <vt:lpstr>'RES_fr-FR'!InituDialogList</vt:lpstr>
      <vt:lpstr>'RES_hr-HR'!InituDialogList</vt:lpstr>
      <vt:lpstr>'RES_hu-HU'!InituDialogList</vt:lpstr>
      <vt:lpstr>'RES_it-IT'!InituDialogList</vt:lpstr>
      <vt:lpstr>'RES_ja-JP'!InituDialogList</vt:lpstr>
      <vt:lpstr>'RES_ko-KR'!InituDialogList</vt:lpstr>
      <vt:lpstr>'RES_lv-LV'!InituDialogList</vt:lpstr>
      <vt:lpstr>'RES_nb-NO'!InituDialogList</vt:lpstr>
      <vt:lpstr>'RES_nl-NL'!InituDialogList</vt:lpstr>
      <vt:lpstr>'RES_pl-PL'!InituDialogList</vt:lpstr>
      <vt:lpstr>'RES_pt-BR'!InituDialogList</vt:lpstr>
      <vt:lpstr>'RES_pt-PT'!InituDialogList</vt:lpstr>
      <vt:lpstr>'RES_ro-RO'!InituDialogList</vt:lpstr>
      <vt:lpstr>'RES_ru-RU'!InituDialogList</vt:lpstr>
      <vt:lpstr>'RES_sl-SI'!InituDialogList</vt:lpstr>
      <vt:lpstr>'RES_sv-SE'!InituDialogList</vt:lpstr>
      <vt:lpstr>'RES_tr-TR'!InituDialogList</vt:lpstr>
      <vt:lpstr>'RES_zh-CN'!InituDialogList</vt:lpstr>
      <vt:lpstr>'RES_zh-TW'!InituDialogList</vt:lpstr>
      <vt:lpstr>'RES_cs-CZ'!mg01s.Actual</vt:lpstr>
      <vt:lpstr>'RES_da-DK'!mg01s.Actual</vt:lpstr>
      <vt:lpstr>'RES_de-DE'!mg01s.Actual</vt:lpstr>
      <vt:lpstr>'RES_el-GR'!mg01s.Actual</vt:lpstr>
      <vt:lpstr>'RES_en-US'!mg01s.Actual</vt:lpstr>
      <vt:lpstr>'RES_es-ES'!mg01s.Actual</vt:lpstr>
      <vt:lpstr>'RES_fi-FI'!mg01s.Actual</vt:lpstr>
      <vt:lpstr>'RES_fr-FR'!mg01s.Actual</vt:lpstr>
      <vt:lpstr>'RES_hr-HR'!mg01s.Actual</vt:lpstr>
      <vt:lpstr>'RES_hu-HU'!mg01s.Actual</vt:lpstr>
      <vt:lpstr>'RES_it-IT'!mg01s.Actual</vt:lpstr>
      <vt:lpstr>'RES_ja-JP'!mg01s.Actual</vt:lpstr>
      <vt:lpstr>'RES_ko-KR'!mg01s.Actual</vt:lpstr>
      <vt:lpstr>'RES_lv-LV'!mg01s.Actual</vt:lpstr>
      <vt:lpstr>'RES_nb-NO'!mg01s.Actual</vt:lpstr>
      <vt:lpstr>'RES_nl-NL'!mg01s.Actual</vt:lpstr>
      <vt:lpstr>'RES_pl-PL'!mg01s.Actual</vt:lpstr>
      <vt:lpstr>'RES_pt-BR'!mg01s.Actual</vt:lpstr>
      <vt:lpstr>'RES_pt-PT'!mg01s.Actual</vt:lpstr>
      <vt:lpstr>'RES_ro-RO'!mg01s.Actual</vt:lpstr>
      <vt:lpstr>'RES_ru-RU'!mg01s.Actual</vt:lpstr>
      <vt:lpstr>'RES_sl-SI'!mg01s.Actual</vt:lpstr>
      <vt:lpstr>'RES_sv-SE'!mg01s.Actual</vt:lpstr>
      <vt:lpstr>'RES_tr-TR'!mg01s.Actual</vt:lpstr>
      <vt:lpstr>'RES_zh-CN'!mg01s.Actual</vt:lpstr>
      <vt:lpstr>'RES_zh-TW'!mg01s.Actual</vt:lpstr>
      <vt:lpstr>'RES_cs-CZ'!mg01s.AdjSq</vt:lpstr>
      <vt:lpstr>'RES_da-DK'!mg01s.AdjSq</vt:lpstr>
      <vt:lpstr>'RES_de-DE'!mg01s.AdjSq</vt:lpstr>
      <vt:lpstr>'RES_el-GR'!mg01s.AdjSq</vt:lpstr>
      <vt:lpstr>'RES_en-US'!mg01s.AdjSq</vt:lpstr>
      <vt:lpstr>'RES_es-ES'!mg01s.AdjSq</vt:lpstr>
      <vt:lpstr>'RES_fi-FI'!mg01s.AdjSq</vt:lpstr>
      <vt:lpstr>'RES_fr-FR'!mg01s.AdjSq</vt:lpstr>
      <vt:lpstr>'RES_hr-HR'!mg01s.AdjSq</vt:lpstr>
      <vt:lpstr>'RES_hu-HU'!mg01s.AdjSq</vt:lpstr>
      <vt:lpstr>'RES_it-IT'!mg01s.AdjSq</vt:lpstr>
      <vt:lpstr>'RES_ja-JP'!mg01s.AdjSq</vt:lpstr>
      <vt:lpstr>'RES_ko-KR'!mg01s.AdjSq</vt:lpstr>
      <vt:lpstr>'RES_lv-LV'!mg01s.AdjSq</vt:lpstr>
      <vt:lpstr>'RES_nb-NO'!mg01s.AdjSq</vt:lpstr>
      <vt:lpstr>'RES_nl-NL'!mg01s.AdjSq</vt:lpstr>
      <vt:lpstr>'RES_pl-PL'!mg01s.AdjSq</vt:lpstr>
      <vt:lpstr>'RES_pt-BR'!mg01s.AdjSq</vt:lpstr>
      <vt:lpstr>'RES_pt-PT'!mg01s.AdjSq</vt:lpstr>
      <vt:lpstr>'RES_ro-RO'!mg01s.AdjSq</vt:lpstr>
      <vt:lpstr>'RES_ru-RU'!mg01s.AdjSq</vt:lpstr>
      <vt:lpstr>'RES_sl-SI'!mg01s.AdjSq</vt:lpstr>
      <vt:lpstr>'RES_sv-SE'!mg01s.AdjSq</vt:lpstr>
      <vt:lpstr>'RES_tr-TR'!mg01s.AdjSq</vt:lpstr>
      <vt:lpstr>'RES_zh-CN'!mg01s.AdjSq</vt:lpstr>
      <vt:lpstr>'RES_zh-TW'!mg01s.AdjSq</vt:lpstr>
      <vt:lpstr>'RES_cs-CZ'!mg01s.AlphaLbl</vt:lpstr>
      <vt:lpstr>'RES_da-DK'!mg01s.AlphaLbl</vt:lpstr>
      <vt:lpstr>'RES_de-DE'!mg01s.AlphaLbl</vt:lpstr>
      <vt:lpstr>'RES_el-GR'!mg01s.AlphaLbl</vt:lpstr>
      <vt:lpstr>'RES_en-US'!mg01s.AlphaLbl</vt:lpstr>
      <vt:lpstr>'RES_es-ES'!mg01s.AlphaLbl</vt:lpstr>
      <vt:lpstr>'RES_fi-FI'!mg01s.AlphaLbl</vt:lpstr>
      <vt:lpstr>'RES_fr-FR'!mg01s.AlphaLbl</vt:lpstr>
      <vt:lpstr>'RES_hr-HR'!mg01s.AlphaLbl</vt:lpstr>
      <vt:lpstr>'RES_hu-HU'!mg01s.AlphaLbl</vt:lpstr>
      <vt:lpstr>'RES_it-IT'!mg01s.AlphaLbl</vt:lpstr>
      <vt:lpstr>'RES_ja-JP'!mg01s.AlphaLbl</vt:lpstr>
      <vt:lpstr>'RES_ko-KR'!mg01s.AlphaLbl</vt:lpstr>
      <vt:lpstr>'RES_lv-LV'!mg01s.AlphaLbl</vt:lpstr>
      <vt:lpstr>'RES_nb-NO'!mg01s.AlphaLbl</vt:lpstr>
      <vt:lpstr>'RES_nl-NL'!mg01s.AlphaLbl</vt:lpstr>
      <vt:lpstr>'RES_pl-PL'!mg01s.AlphaLbl</vt:lpstr>
      <vt:lpstr>'RES_pt-BR'!mg01s.AlphaLbl</vt:lpstr>
      <vt:lpstr>'RES_pt-PT'!mg01s.AlphaLbl</vt:lpstr>
      <vt:lpstr>'RES_ro-RO'!mg01s.AlphaLbl</vt:lpstr>
      <vt:lpstr>'RES_ru-RU'!mg01s.AlphaLbl</vt:lpstr>
      <vt:lpstr>'RES_sl-SI'!mg01s.AlphaLbl</vt:lpstr>
      <vt:lpstr>'RES_sv-SE'!mg01s.AlphaLbl</vt:lpstr>
      <vt:lpstr>'RES_tr-TR'!mg01s.AlphaLbl</vt:lpstr>
      <vt:lpstr>'RES_zh-CN'!mg01s.AlphaLbl</vt:lpstr>
      <vt:lpstr>'RES_zh-TW'!mg01s.AlphaLbl</vt:lpstr>
      <vt:lpstr>'RES_cs-CZ'!mg01s.Analysis</vt:lpstr>
      <vt:lpstr>'RES_da-DK'!mg01s.Analysis</vt:lpstr>
      <vt:lpstr>'RES_de-DE'!mg01s.Analysis</vt:lpstr>
      <vt:lpstr>'RES_el-GR'!mg01s.Analysis</vt:lpstr>
      <vt:lpstr>'RES_en-US'!mg01s.Analysis</vt:lpstr>
      <vt:lpstr>'RES_es-ES'!mg01s.Analysis</vt:lpstr>
      <vt:lpstr>'RES_fi-FI'!mg01s.Analysis</vt:lpstr>
      <vt:lpstr>'RES_fr-FR'!mg01s.Analysis</vt:lpstr>
      <vt:lpstr>'RES_hr-HR'!mg01s.Analysis</vt:lpstr>
      <vt:lpstr>'RES_hu-HU'!mg01s.Analysis</vt:lpstr>
      <vt:lpstr>'RES_it-IT'!mg01s.Analysis</vt:lpstr>
      <vt:lpstr>'RES_ja-JP'!mg01s.Analysis</vt:lpstr>
      <vt:lpstr>'RES_ko-KR'!mg01s.Analysis</vt:lpstr>
      <vt:lpstr>'RES_lv-LV'!mg01s.Analysis</vt:lpstr>
      <vt:lpstr>'RES_nb-NO'!mg01s.Analysis</vt:lpstr>
      <vt:lpstr>'RES_nl-NL'!mg01s.Analysis</vt:lpstr>
      <vt:lpstr>'RES_pl-PL'!mg01s.Analysis</vt:lpstr>
      <vt:lpstr>'RES_pt-BR'!mg01s.Analysis</vt:lpstr>
      <vt:lpstr>'RES_pt-PT'!mg01s.Analysis</vt:lpstr>
      <vt:lpstr>'RES_ro-RO'!mg01s.Analysis</vt:lpstr>
      <vt:lpstr>'RES_ru-RU'!mg01s.Analysis</vt:lpstr>
      <vt:lpstr>'RES_sl-SI'!mg01s.Analysis</vt:lpstr>
      <vt:lpstr>'RES_sv-SE'!mg01s.Analysis</vt:lpstr>
      <vt:lpstr>'RES_tr-TR'!mg01s.Analysis</vt:lpstr>
      <vt:lpstr>'RES_zh-CN'!mg01s.Analysis</vt:lpstr>
      <vt:lpstr>'RES_zh-TW'!mg01s.Analysis</vt:lpstr>
      <vt:lpstr>'RES_cs-CZ'!mg01s.Anova</vt:lpstr>
      <vt:lpstr>'RES_da-DK'!mg01s.Anova</vt:lpstr>
      <vt:lpstr>'RES_de-DE'!mg01s.Anova</vt:lpstr>
      <vt:lpstr>'RES_el-GR'!mg01s.Anova</vt:lpstr>
      <vt:lpstr>'RES_en-US'!mg01s.Anova</vt:lpstr>
      <vt:lpstr>'RES_es-ES'!mg01s.Anova</vt:lpstr>
      <vt:lpstr>'RES_fi-FI'!mg01s.Anova</vt:lpstr>
      <vt:lpstr>'RES_fr-FR'!mg01s.Anova</vt:lpstr>
      <vt:lpstr>'RES_hr-HR'!mg01s.Anova</vt:lpstr>
      <vt:lpstr>'RES_hu-HU'!mg01s.Anova</vt:lpstr>
      <vt:lpstr>'RES_it-IT'!mg01s.Anova</vt:lpstr>
      <vt:lpstr>'RES_ja-JP'!mg01s.Anova</vt:lpstr>
      <vt:lpstr>'RES_ko-KR'!mg01s.Anova</vt:lpstr>
      <vt:lpstr>'RES_lv-LV'!mg01s.Anova</vt:lpstr>
      <vt:lpstr>'RES_nb-NO'!mg01s.Anova</vt:lpstr>
      <vt:lpstr>'RES_nl-NL'!mg01s.Anova</vt:lpstr>
      <vt:lpstr>'RES_pl-PL'!mg01s.Anova</vt:lpstr>
      <vt:lpstr>'RES_pt-BR'!mg01s.Anova</vt:lpstr>
      <vt:lpstr>'RES_pt-PT'!mg01s.Anova</vt:lpstr>
      <vt:lpstr>'RES_ro-RO'!mg01s.Anova</vt:lpstr>
      <vt:lpstr>'RES_ru-RU'!mg01s.Anova</vt:lpstr>
      <vt:lpstr>'RES_sl-SI'!mg01s.Anova</vt:lpstr>
      <vt:lpstr>'RES_sv-SE'!mg01s.Anova</vt:lpstr>
      <vt:lpstr>'RES_tr-TR'!mg01s.Anova</vt:lpstr>
      <vt:lpstr>'RES_zh-CN'!mg01s.Anova</vt:lpstr>
      <vt:lpstr>'RES_zh-TW'!mg01s.Anova</vt:lpstr>
      <vt:lpstr>'RES_cs-CZ'!mg01s.ANSingleFact</vt:lpstr>
      <vt:lpstr>'RES_da-DK'!mg01s.ANSingleFact</vt:lpstr>
      <vt:lpstr>'RES_de-DE'!mg01s.ANSingleFact</vt:lpstr>
      <vt:lpstr>'RES_el-GR'!mg01s.ANSingleFact</vt:lpstr>
      <vt:lpstr>'RES_en-US'!mg01s.ANSingleFact</vt:lpstr>
      <vt:lpstr>'RES_es-ES'!mg01s.ANSingleFact</vt:lpstr>
      <vt:lpstr>'RES_fi-FI'!mg01s.ANSingleFact</vt:lpstr>
      <vt:lpstr>'RES_fr-FR'!mg01s.ANSingleFact</vt:lpstr>
      <vt:lpstr>'RES_hr-HR'!mg01s.ANSingleFact</vt:lpstr>
      <vt:lpstr>'RES_hu-HU'!mg01s.ANSingleFact</vt:lpstr>
      <vt:lpstr>'RES_it-IT'!mg01s.ANSingleFact</vt:lpstr>
      <vt:lpstr>'RES_ja-JP'!mg01s.ANSingleFact</vt:lpstr>
      <vt:lpstr>'RES_ko-KR'!mg01s.ANSingleFact</vt:lpstr>
      <vt:lpstr>'RES_lv-LV'!mg01s.ANSingleFact</vt:lpstr>
      <vt:lpstr>'RES_nb-NO'!mg01s.ANSingleFact</vt:lpstr>
      <vt:lpstr>'RES_nl-NL'!mg01s.ANSingleFact</vt:lpstr>
      <vt:lpstr>'RES_pl-PL'!mg01s.ANSingleFact</vt:lpstr>
      <vt:lpstr>'RES_pt-BR'!mg01s.ANSingleFact</vt:lpstr>
      <vt:lpstr>'RES_pt-PT'!mg01s.ANSingleFact</vt:lpstr>
      <vt:lpstr>'RES_ro-RO'!mg01s.ANSingleFact</vt:lpstr>
      <vt:lpstr>'RES_ru-RU'!mg01s.ANSingleFact</vt:lpstr>
      <vt:lpstr>'RES_sl-SI'!mg01s.ANSingleFact</vt:lpstr>
      <vt:lpstr>'RES_sv-SE'!mg01s.ANSingleFact</vt:lpstr>
      <vt:lpstr>'RES_tr-TR'!mg01s.ANSingleFact</vt:lpstr>
      <vt:lpstr>'RES_zh-CN'!mg01s.ANSingleFact</vt:lpstr>
      <vt:lpstr>'RES_zh-TW'!mg01s.ANSingleFact</vt:lpstr>
      <vt:lpstr>'RES_cs-CZ'!mg01s.ANTwoFactWi</vt:lpstr>
      <vt:lpstr>'RES_da-DK'!mg01s.ANTwoFactWi</vt:lpstr>
      <vt:lpstr>'RES_de-DE'!mg01s.ANTwoFactWi</vt:lpstr>
      <vt:lpstr>'RES_el-GR'!mg01s.ANTwoFactWi</vt:lpstr>
      <vt:lpstr>'RES_en-US'!mg01s.ANTwoFactWi</vt:lpstr>
      <vt:lpstr>'RES_es-ES'!mg01s.ANTwoFactWi</vt:lpstr>
      <vt:lpstr>'RES_fi-FI'!mg01s.ANTwoFactWi</vt:lpstr>
      <vt:lpstr>'RES_fr-FR'!mg01s.ANTwoFactWi</vt:lpstr>
      <vt:lpstr>'RES_hr-HR'!mg01s.ANTwoFactWi</vt:lpstr>
      <vt:lpstr>'RES_hu-HU'!mg01s.ANTwoFactWi</vt:lpstr>
      <vt:lpstr>'RES_it-IT'!mg01s.ANTwoFactWi</vt:lpstr>
      <vt:lpstr>'RES_ja-JP'!mg01s.ANTwoFactWi</vt:lpstr>
      <vt:lpstr>'RES_ko-KR'!mg01s.ANTwoFactWi</vt:lpstr>
      <vt:lpstr>'RES_lv-LV'!mg01s.ANTwoFactWi</vt:lpstr>
      <vt:lpstr>'RES_nb-NO'!mg01s.ANTwoFactWi</vt:lpstr>
      <vt:lpstr>'RES_nl-NL'!mg01s.ANTwoFactWi</vt:lpstr>
      <vt:lpstr>'RES_pl-PL'!mg01s.ANTwoFactWi</vt:lpstr>
      <vt:lpstr>'RES_pt-BR'!mg01s.ANTwoFactWi</vt:lpstr>
      <vt:lpstr>'RES_pt-PT'!mg01s.ANTwoFactWi</vt:lpstr>
      <vt:lpstr>'RES_ro-RO'!mg01s.ANTwoFactWi</vt:lpstr>
      <vt:lpstr>'RES_ru-RU'!mg01s.ANTwoFactWi</vt:lpstr>
      <vt:lpstr>'RES_sl-SI'!mg01s.ANTwoFactWi</vt:lpstr>
      <vt:lpstr>'RES_sv-SE'!mg01s.ANTwoFactWi</vt:lpstr>
      <vt:lpstr>'RES_tr-TR'!mg01s.ANTwoFactWi</vt:lpstr>
      <vt:lpstr>'RES_zh-CN'!mg01s.ANTwoFactWi</vt:lpstr>
      <vt:lpstr>'RES_zh-TW'!mg01s.ANTwoFactWi</vt:lpstr>
      <vt:lpstr>'RES_cs-CZ'!mg01s.ANTwoFactWo</vt:lpstr>
      <vt:lpstr>'RES_da-DK'!mg01s.ANTwoFactWo</vt:lpstr>
      <vt:lpstr>'RES_de-DE'!mg01s.ANTwoFactWo</vt:lpstr>
      <vt:lpstr>'RES_el-GR'!mg01s.ANTwoFactWo</vt:lpstr>
      <vt:lpstr>'RES_en-US'!mg01s.ANTwoFactWo</vt:lpstr>
      <vt:lpstr>'RES_es-ES'!mg01s.ANTwoFactWo</vt:lpstr>
      <vt:lpstr>'RES_fi-FI'!mg01s.ANTwoFactWo</vt:lpstr>
      <vt:lpstr>'RES_fr-FR'!mg01s.ANTwoFactWo</vt:lpstr>
      <vt:lpstr>'RES_hr-HR'!mg01s.ANTwoFactWo</vt:lpstr>
      <vt:lpstr>'RES_hu-HU'!mg01s.ANTwoFactWo</vt:lpstr>
      <vt:lpstr>'RES_it-IT'!mg01s.ANTwoFactWo</vt:lpstr>
      <vt:lpstr>'RES_ja-JP'!mg01s.ANTwoFactWo</vt:lpstr>
      <vt:lpstr>'RES_ko-KR'!mg01s.ANTwoFactWo</vt:lpstr>
      <vt:lpstr>'RES_lv-LV'!mg01s.ANTwoFactWo</vt:lpstr>
      <vt:lpstr>'RES_nb-NO'!mg01s.ANTwoFactWo</vt:lpstr>
      <vt:lpstr>'RES_nl-NL'!mg01s.ANTwoFactWo</vt:lpstr>
      <vt:lpstr>'RES_pl-PL'!mg01s.ANTwoFactWo</vt:lpstr>
      <vt:lpstr>'RES_pt-BR'!mg01s.ANTwoFactWo</vt:lpstr>
      <vt:lpstr>'RES_pt-PT'!mg01s.ANTwoFactWo</vt:lpstr>
      <vt:lpstr>'RES_ro-RO'!mg01s.ANTwoFactWo</vt:lpstr>
      <vt:lpstr>'RES_ru-RU'!mg01s.ANTwoFactWo</vt:lpstr>
      <vt:lpstr>'RES_sl-SI'!mg01s.ANTwoFactWo</vt:lpstr>
      <vt:lpstr>'RES_sv-SE'!mg01s.ANTwoFactWo</vt:lpstr>
      <vt:lpstr>'RES_tr-TR'!mg01s.ANTwoFactWo</vt:lpstr>
      <vt:lpstr>'RES_zh-CN'!mg01s.ANTwoFactWo</vt:lpstr>
      <vt:lpstr>'RES_zh-TW'!mg01s.ANTwoFactWo</vt:lpstr>
      <vt:lpstr>'RES_cs-CZ'!mg01s.Average</vt:lpstr>
      <vt:lpstr>'RES_da-DK'!mg01s.Average</vt:lpstr>
      <vt:lpstr>'RES_de-DE'!mg01s.Average</vt:lpstr>
      <vt:lpstr>'RES_el-GR'!mg01s.Average</vt:lpstr>
      <vt:lpstr>'RES_en-US'!mg01s.Average</vt:lpstr>
      <vt:lpstr>'RES_es-ES'!mg01s.Average</vt:lpstr>
      <vt:lpstr>'RES_fi-FI'!mg01s.Average</vt:lpstr>
      <vt:lpstr>'RES_fr-FR'!mg01s.Average</vt:lpstr>
      <vt:lpstr>'RES_hr-HR'!mg01s.Average</vt:lpstr>
      <vt:lpstr>'RES_hu-HU'!mg01s.Average</vt:lpstr>
      <vt:lpstr>'RES_it-IT'!mg01s.Average</vt:lpstr>
      <vt:lpstr>'RES_ja-JP'!mg01s.Average</vt:lpstr>
      <vt:lpstr>'RES_ko-KR'!mg01s.Average</vt:lpstr>
      <vt:lpstr>'RES_lv-LV'!mg01s.Average</vt:lpstr>
      <vt:lpstr>'RES_nb-NO'!mg01s.Average</vt:lpstr>
      <vt:lpstr>'RES_nl-NL'!mg01s.Average</vt:lpstr>
      <vt:lpstr>'RES_pl-PL'!mg01s.Average</vt:lpstr>
      <vt:lpstr>'RES_pt-BR'!mg01s.Average</vt:lpstr>
      <vt:lpstr>'RES_pt-PT'!mg01s.Average</vt:lpstr>
      <vt:lpstr>'RES_ro-RO'!mg01s.Average</vt:lpstr>
      <vt:lpstr>'RES_ru-RU'!mg01s.Average</vt:lpstr>
      <vt:lpstr>'RES_sl-SI'!mg01s.Average</vt:lpstr>
      <vt:lpstr>'RES_sv-SE'!mg01s.Average</vt:lpstr>
      <vt:lpstr>'RES_tr-TR'!mg01s.Average</vt:lpstr>
      <vt:lpstr>'RES_zh-CN'!mg01s.Average</vt:lpstr>
      <vt:lpstr>'RES_zh-TW'!mg01s.Average</vt:lpstr>
      <vt:lpstr>'RES_cs-CZ'!mg01s.BetweenGrp</vt:lpstr>
      <vt:lpstr>'RES_da-DK'!mg01s.BetweenGrp</vt:lpstr>
      <vt:lpstr>'RES_de-DE'!mg01s.BetweenGrp</vt:lpstr>
      <vt:lpstr>'RES_el-GR'!mg01s.BetweenGrp</vt:lpstr>
      <vt:lpstr>'RES_en-US'!mg01s.BetweenGrp</vt:lpstr>
      <vt:lpstr>'RES_es-ES'!mg01s.BetweenGrp</vt:lpstr>
      <vt:lpstr>'RES_fi-FI'!mg01s.BetweenGrp</vt:lpstr>
      <vt:lpstr>'RES_fr-FR'!mg01s.BetweenGrp</vt:lpstr>
      <vt:lpstr>'RES_hr-HR'!mg01s.BetweenGrp</vt:lpstr>
      <vt:lpstr>'RES_hu-HU'!mg01s.BetweenGrp</vt:lpstr>
      <vt:lpstr>'RES_it-IT'!mg01s.BetweenGrp</vt:lpstr>
      <vt:lpstr>'RES_ja-JP'!mg01s.BetweenGrp</vt:lpstr>
      <vt:lpstr>'RES_ko-KR'!mg01s.BetweenGrp</vt:lpstr>
      <vt:lpstr>'RES_lv-LV'!mg01s.BetweenGrp</vt:lpstr>
      <vt:lpstr>'RES_nb-NO'!mg01s.BetweenGrp</vt:lpstr>
      <vt:lpstr>'RES_nl-NL'!mg01s.BetweenGrp</vt:lpstr>
      <vt:lpstr>'RES_pl-PL'!mg01s.BetweenGrp</vt:lpstr>
      <vt:lpstr>'RES_pt-BR'!mg01s.BetweenGrp</vt:lpstr>
      <vt:lpstr>'RES_pt-PT'!mg01s.BetweenGrp</vt:lpstr>
      <vt:lpstr>'RES_ro-RO'!mg01s.BetweenGrp</vt:lpstr>
      <vt:lpstr>'RES_ru-RU'!mg01s.BetweenGrp</vt:lpstr>
      <vt:lpstr>'RES_sl-SI'!mg01s.BetweenGrp</vt:lpstr>
      <vt:lpstr>'RES_sv-SE'!mg01s.BetweenGrp</vt:lpstr>
      <vt:lpstr>'RES_tr-TR'!mg01s.BetweenGrp</vt:lpstr>
      <vt:lpstr>'RES_zh-CN'!mg01s.BetweenGrp</vt:lpstr>
      <vt:lpstr>'RES_zh-TW'!mg01s.BetweenGrp</vt:lpstr>
      <vt:lpstr>'RES_cs-CZ'!mg01s.Bin</vt:lpstr>
      <vt:lpstr>'RES_da-DK'!mg01s.Bin</vt:lpstr>
      <vt:lpstr>'RES_de-DE'!mg01s.Bin</vt:lpstr>
      <vt:lpstr>'RES_el-GR'!mg01s.Bin</vt:lpstr>
      <vt:lpstr>'RES_en-US'!mg01s.Bin</vt:lpstr>
      <vt:lpstr>'RES_es-ES'!mg01s.Bin</vt:lpstr>
      <vt:lpstr>'RES_fi-FI'!mg01s.Bin</vt:lpstr>
      <vt:lpstr>'RES_fr-FR'!mg01s.Bin</vt:lpstr>
      <vt:lpstr>'RES_hr-HR'!mg01s.Bin</vt:lpstr>
      <vt:lpstr>'RES_hu-HU'!mg01s.Bin</vt:lpstr>
      <vt:lpstr>'RES_it-IT'!mg01s.Bin</vt:lpstr>
      <vt:lpstr>'RES_ja-JP'!mg01s.Bin</vt:lpstr>
      <vt:lpstr>'RES_ko-KR'!mg01s.Bin</vt:lpstr>
      <vt:lpstr>'RES_lv-LV'!mg01s.Bin</vt:lpstr>
      <vt:lpstr>'RES_nb-NO'!mg01s.Bin</vt:lpstr>
      <vt:lpstr>'RES_nl-NL'!mg01s.Bin</vt:lpstr>
      <vt:lpstr>'RES_pl-PL'!mg01s.Bin</vt:lpstr>
      <vt:lpstr>'RES_pt-BR'!mg01s.Bin</vt:lpstr>
      <vt:lpstr>'RES_pt-PT'!mg01s.Bin</vt:lpstr>
      <vt:lpstr>'RES_ro-RO'!mg01s.Bin</vt:lpstr>
      <vt:lpstr>'RES_ru-RU'!mg01s.Bin</vt:lpstr>
      <vt:lpstr>'RES_sl-SI'!mg01s.Bin</vt:lpstr>
      <vt:lpstr>'RES_sv-SE'!mg01s.Bin</vt:lpstr>
      <vt:lpstr>'RES_tr-TR'!mg01s.Bin</vt:lpstr>
      <vt:lpstr>'RES_zh-CN'!mg01s.Bin</vt:lpstr>
      <vt:lpstr>'RES_zh-TW'!mg01s.Bin</vt:lpstr>
      <vt:lpstr>'RES_cs-CZ'!mg01s.Coeff</vt:lpstr>
      <vt:lpstr>'RES_da-DK'!mg01s.Coeff</vt:lpstr>
      <vt:lpstr>'RES_de-DE'!mg01s.Coeff</vt:lpstr>
      <vt:lpstr>'RES_el-GR'!mg01s.Coeff</vt:lpstr>
      <vt:lpstr>'RES_en-US'!mg01s.Coeff</vt:lpstr>
      <vt:lpstr>'RES_es-ES'!mg01s.Coeff</vt:lpstr>
      <vt:lpstr>'RES_fi-FI'!mg01s.Coeff</vt:lpstr>
      <vt:lpstr>'RES_fr-FR'!mg01s.Coeff</vt:lpstr>
      <vt:lpstr>'RES_hr-HR'!mg01s.Coeff</vt:lpstr>
      <vt:lpstr>'RES_hu-HU'!mg01s.Coeff</vt:lpstr>
      <vt:lpstr>'RES_it-IT'!mg01s.Coeff</vt:lpstr>
      <vt:lpstr>'RES_ja-JP'!mg01s.Coeff</vt:lpstr>
      <vt:lpstr>'RES_ko-KR'!mg01s.Coeff</vt:lpstr>
      <vt:lpstr>'RES_lv-LV'!mg01s.Coeff</vt:lpstr>
      <vt:lpstr>'RES_nb-NO'!mg01s.Coeff</vt:lpstr>
      <vt:lpstr>'RES_nl-NL'!mg01s.Coeff</vt:lpstr>
      <vt:lpstr>'RES_pl-PL'!mg01s.Coeff</vt:lpstr>
      <vt:lpstr>'RES_pt-BR'!mg01s.Coeff</vt:lpstr>
      <vt:lpstr>'RES_pt-PT'!mg01s.Coeff</vt:lpstr>
      <vt:lpstr>'RES_ro-RO'!mg01s.Coeff</vt:lpstr>
      <vt:lpstr>'RES_ru-RU'!mg01s.Coeff</vt:lpstr>
      <vt:lpstr>'RES_sl-SI'!mg01s.Coeff</vt:lpstr>
      <vt:lpstr>'RES_sv-SE'!mg01s.Coeff</vt:lpstr>
      <vt:lpstr>'RES_tr-TR'!mg01s.Coeff</vt:lpstr>
      <vt:lpstr>'RES_zh-CN'!mg01s.Coeff</vt:lpstr>
      <vt:lpstr>'RES_zh-TW'!mg01s.Coeff</vt:lpstr>
      <vt:lpstr>'RES_cs-CZ'!mg01s.Column</vt:lpstr>
      <vt:lpstr>'RES_da-DK'!mg01s.Column</vt:lpstr>
      <vt:lpstr>'RES_de-DE'!mg01s.Column</vt:lpstr>
      <vt:lpstr>'RES_el-GR'!mg01s.Column</vt:lpstr>
      <vt:lpstr>'RES_en-US'!mg01s.Column</vt:lpstr>
      <vt:lpstr>'RES_es-ES'!mg01s.Column</vt:lpstr>
      <vt:lpstr>'RES_fi-FI'!mg01s.Column</vt:lpstr>
      <vt:lpstr>'RES_fr-FR'!mg01s.Column</vt:lpstr>
      <vt:lpstr>'RES_hr-HR'!mg01s.Column</vt:lpstr>
      <vt:lpstr>'RES_hu-HU'!mg01s.Column</vt:lpstr>
      <vt:lpstr>'RES_it-IT'!mg01s.Column</vt:lpstr>
      <vt:lpstr>'RES_ja-JP'!mg01s.Column</vt:lpstr>
      <vt:lpstr>'RES_ko-KR'!mg01s.Column</vt:lpstr>
      <vt:lpstr>'RES_lv-LV'!mg01s.Column</vt:lpstr>
      <vt:lpstr>'RES_nb-NO'!mg01s.Column</vt:lpstr>
      <vt:lpstr>'RES_nl-NL'!mg01s.Column</vt:lpstr>
      <vt:lpstr>'RES_pl-PL'!mg01s.Column</vt:lpstr>
      <vt:lpstr>'RES_pt-BR'!mg01s.Column</vt:lpstr>
      <vt:lpstr>'RES_pt-PT'!mg01s.Column</vt:lpstr>
      <vt:lpstr>'RES_ro-RO'!mg01s.Column</vt:lpstr>
      <vt:lpstr>'RES_ru-RU'!mg01s.Column</vt:lpstr>
      <vt:lpstr>'RES_sl-SI'!mg01s.Column</vt:lpstr>
      <vt:lpstr>'RES_sv-SE'!mg01s.Column</vt:lpstr>
      <vt:lpstr>'RES_tr-TR'!mg01s.Column</vt:lpstr>
      <vt:lpstr>'RES_zh-CN'!mg01s.Column</vt:lpstr>
      <vt:lpstr>'RES_zh-TW'!mg01s.Column</vt:lpstr>
      <vt:lpstr>'RES_cs-CZ'!mg01s.Columns</vt:lpstr>
      <vt:lpstr>'RES_da-DK'!mg01s.Columns</vt:lpstr>
      <vt:lpstr>'RES_de-DE'!mg01s.Columns</vt:lpstr>
      <vt:lpstr>'RES_el-GR'!mg01s.Columns</vt:lpstr>
      <vt:lpstr>'RES_en-US'!mg01s.Columns</vt:lpstr>
      <vt:lpstr>'RES_es-ES'!mg01s.Columns</vt:lpstr>
      <vt:lpstr>'RES_fi-FI'!mg01s.Columns</vt:lpstr>
      <vt:lpstr>'RES_fr-FR'!mg01s.Columns</vt:lpstr>
      <vt:lpstr>'RES_hr-HR'!mg01s.Columns</vt:lpstr>
      <vt:lpstr>'RES_hu-HU'!mg01s.Columns</vt:lpstr>
      <vt:lpstr>'RES_it-IT'!mg01s.Columns</vt:lpstr>
      <vt:lpstr>'RES_ja-JP'!mg01s.Columns</vt:lpstr>
      <vt:lpstr>'RES_ko-KR'!mg01s.Columns</vt:lpstr>
      <vt:lpstr>'RES_lv-LV'!mg01s.Columns</vt:lpstr>
      <vt:lpstr>'RES_nb-NO'!mg01s.Columns</vt:lpstr>
      <vt:lpstr>'RES_nl-NL'!mg01s.Columns</vt:lpstr>
      <vt:lpstr>'RES_pl-PL'!mg01s.Columns</vt:lpstr>
      <vt:lpstr>'RES_pt-BR'!mg01s.Columns</vt:lpstr>
      <vt:lpstr>'RES_pt-PT'!mg01s.Columns</vt:lpstr>
      <vt:lpstr>'RES_ro-RO'!mg01s.Columns</vt:lpstr>
      <vt:lpstr>'RES_ru-RU'!mg01s.Columns</vt:lpstr>
      <vt:lpstr>'RES_sl-SI'!mg01s.Columns</vt:lpstr>
      <vt:lpstr>'RES_sv-SE'!mg01s.Columns</vt:lpstr>
      <vt:lpstr>'RES_tr-TR'!mg01s.Columns</vt:lpstr>
      <vt:lpstr>'RES_zh-CN'!mg01s.Columns</vt:lpstr>
      <vt:lpstr>'RES_zh-TW'!mg01s.Columns</vt:lpstr>
      <vt:lpstr>'RES_cs-CZ'!mg01s.ConfLvl</vt:lpstr>
      <vt:lpstr>'RES_da-DK'!mg01s.ConfLvl</vt:lpstr>
      <vt:lpstr>'RES_de-DE'!mg01s.ConfLvl</vt:lpstr>
      <vt:lpstr>'RES_el-GR'!mg01s.ConfLvl</vt:lpstr>
      <vt:lpstr>'RES_en-US'!mg01s.ConfLvl</vt:lpstr>
      <vt:lpstr>'RES_es-ES'!mg01s.ConfLvl</vt:lpstr>
      <vt:lpstr>'RES_fi-FI'!mg01s.ConfLvl</vt:lpstr>
      <vt:lpstr>'RES_fr-FR'!mg01s.ConfLvl</vt:lpstr>
      <vt:lpstr>'RES_hr-HR'!mg01s.ConfLvl</vt:lpstr>
      <vt:lpstr>'RES_hu-HU'!mg01s.ConfLvl</vt:lpstr>
      <vt:lpstr>'RES_it-IT'!mg01s.ConfLvl</vt:lpstr>
      <vt:lpstr>'RES_ja-JP'!mg01s.ConfLvl</vt:lpstr>
      <vt:lpstr>'RES_ko-KR'!mg01s.ConfLvl</vt:lpstr>
      <vt:lpstr>'RES_lv-LV'!mg01s.ConfLvl</vt:lpstr>
      <vt:lpstr>'RES_nb-NO'!mg01s.ConfLvl</vt:lpstr>
      <vt:lpstr>'RES_nl-NL'!mg01s.ConfLvl</vt:lpstr>
      <vt:lpstr>'RES_pl-PL'!mg01s.ConfLvl</vt:lpstr>
      <vt:lpstr>'RES_pt-BR'!mg01s.ConfLvl</vt:lpstr>
      <vt:lpstr>'RES_pt-PT'!mg01s.ConfLvl</vt:lpstr>
      <vt:lpstr>'RES_ro-RO'!mg01s.ConfLvl</vt:lpstr>
      <vt:lpstr>'RES_ru-RU'!mg01s.ConfLvl</vt:lpstr>
      <vt:lpstr>'RES_sl-SI'!mg01s.ConfLvl</vt:lpstr>
      <vt:lpstr>'RES_sv-SE'!mg01s.ConfLvl</vt:lpstr>
      <vt:lpstr>'RES_tr-TR'!mg01s.ConfLvl</vt:lpstr>
      <vt:lpstr>'RES_zh-CN'!mg01s.ConfLvl</vt:lpstr>
      <vt:lpstr>'RES_zh-TW'!mg01s.ConfLvl</vt:lpstr>
      <vt:lpstr>'RES_cs-CZ'!mg01s.Correl</vt:lpstr>
      <vt:lpstr>'RES_da-DK'!mg01s.Correl</vt:lpstr>
      <vt:lpstr>'RES_de-DE'!mg01s.Correl</vt:lpstr>
      <vt:lpstr>'RES_el-GR'!mg01s.Correl</vt:lpstr>
      <vt:lpstr>'RES_en-US'!mg01s.Correl</vt:lpstr>
      <vt:lpstr>'RES_es-ES'!mg01s.Correl</vt:lpstr>
      <vt:lpstr>'RES_fi-FI'!mg01s.Correl</vt:lpstr>
      <vt:lpstr>'RES_fr-FR'!mg01s.Correl</vt:lpstr>
      <vt:lpstr>'RES_hr-HR'!mg01s.Correl</vt:lpstr>
      <vt:lpstr>'RES_hu-HU'!mg01s.Correl</vt:lpstr>
      <vt:lpstr>'RES_it-IT'!mg01s.Correl</vt:lpstr>
      <vt:lpstr>'RES_ja-JP'!mg01s.Correl</vt:lpstr>
      <vt:lpstr>'RES_ko-KR'!mg01s.Correl</vt:lpstr>
      <vt:lpstr>'RES_lv-LV'!mg01s.Correl</vt:lpstr>
      <vt:lpstr>'RES_nb-NO'!mg01s.Correl</vt:lpstr>
      <vt:lpstr>'RES_nl-NL'!mg01s.Correl</vt:lpstr>
      <vt:lpstr>'RES_pl-PL'!mg01s.Correl</vt:lpstr>
      <vt:lpstr>'RES_pt-BR'!mg01s.Correl</vt:lpstr>
      <vt:lpstr>'RES_pt-PT'!mg01s.Correl</vt:lpstr>
      <vt:lpstr>'RES_ro-RO'!mg01s.Correl</vt:lpstr>
      <vt:lpstr>'RES_ru-RU'!mg01s.Correl</vt:lpstr>
      <vt:lpstr>'RES_sl-SI'!mg01s.Correl</vt:lpstr>
      <vt:lpstr>'RES_sv-SE'!mg01s.Correl</vt:lpstr>
      <vt:lpstr>'RES_tr-TR'!mg01s.Correl</vt:lpstr>
      <vt:lpstr>'RES_zh-CN'!mg01s.Correl</vt:lpstr>
      <vt:lpstr>'RES_zh-TW'!mg01s.Correl</vt:lpstr>
      <vt:lpstr>'RES_cs-CZ'!mg01s.Count</vt:lpstr>
      <vt:lpstr>'RES_da-DK'!mg01s.Count</vt:lpstr>
      <vt:lpstr>'RES_de-DE'!mg01s.Count</vt:lpstr>
      <vt:lpstr>'RES_el-GR'!mg01s.Count</vt:lpstr>
      <vt:lpstr>'RES_en-US'!mg01s.Count</vt:lpstr>
      <vt:lpstr>'RES_es-ES'!mg01s.Count</vt:lpstr>
      <vt:lpstr>'RES_fi-FI'!mg01s.Count</vt:lpstr>
      <vt:lpstr>'RES_fr-FR'!mg01s.Count</vt:lpstr>
      <vt:lpstr>'RES_hr-HR'!mg01s.Count</vt:lpstr>
      <vt:lpstr>'RES_hu-HU'!mg01s.Count</vt:lpstr>
      <vt:lpstr>'RES_it-IT'!mg01s.Count</vt:lpstr>
      <vt:lpstr>'RES_ja-JP'!mg01s.Count</vt:lpstr>
      <vt:lpstr>'RES_ko-KR'!mg01s.Count</vt:lpstr>
      <vt:lpstr>'RES_lv-LV'!mg01s.Count</vt:lpstr>
      <vt:lpstr>'RES_nb-NO'!mg01s.Count</vt:lpstr>
      <vt:lpstr>'RES_nl-NL'!mg01s.Count</vt:lpstr>
      <vt:lpstr>'RES_pl-PL'!mg01s.Count</vt:lpstr>
      <vt:lpstr>'RES_pt-BR'!mg01s.Count</vt:lpstr>
      <vt:lpstr>'RES_pt-PT'!mg01s.Count</vt:lpstr>
      <vt:lpstr>'RES_ro-RO'!mg01s.Count</vt:lpstr>
      <vt:lpstr>'RES_ru-RU'!mg01s.Count</vt:lpstr>
      <vt:lpstr>'RES_sl-SI'!mg01s.Count</vt:lpstr>
      <vt:lpstr>'RES_sv-SE'!mg01s.Count</vt:lpstr>
      <vt:lpstr>'RES_tr-TR'!mg01s.Count</vt:lpstr>
      <vt:lpstr>'RES_zh-CN'!mg01s.Count</vt:lpstr>
      <vt:lpstr>'RES_zh-TW'!mg01s.Count</vt:lpstr>
      <vt:lpstr>'RES_cs-CZ'!mg01s.Covar</vt:lpstr>
      <vt:lpstr>'RES_da-DK'!mg01s.Covar</vt:lpstr>
      <vt:lpstr>'RES_de-DE'!mg01s.Covar</vt:lpstr>
      <vt:lpstr>'RES_el-GR'!mg01s.Covar</vt:lpstr>
      <vt:lpstr>'RES_en-US'!mg01s.Covar</vt:lpstr>
      <vt:lpstr>'RES_es-ES'!mg01s.Covar</vt:lpstr>
      <vt:lpstr>'RES_fi-FI'!mg01s.Covar</vt:lpstr>
      <vt:lpstr>'RES_fr-FR'!mg01s.Covar</vt:lpstr>
      <vt:lpstr>'RES_hr-HR'!mg01s.Covar</vt:lpstr>
      <vt:lpstr>'RES_hu-HU'!mg01s.Covar</vt:lpstr>
      <vt:lpstr>'RES_it-IT'!mg01s.Covar</vt:lpstr>
      <vt:lpstr>'RES_ja-JP'!mg01s.Covar</vt:lpstr>
      <vt:lpstr>'RES_ko-KR'!mg01s.Covar</vt:lpstr>
      <vt:lpstr>'RES_lv-LV'!mg01s.Covar</vt:lpstr>
      <vt:lpstr>'RES_nb-NO'!mg01s.Covar</vt:lpstr>
      <vt:lpstr>'RES_nl-NL'!mg01s.Covar</vt:lpstr>
      <vt:lpstr>'RES_pl-PL'!mg01s.Covar</vt:lpstr>
      <vt:lpstr>'RES_pt-BR'!mg01s.Covar</vt:lpstr>
      <vt:lpstr>'RES_pt-PT'!mg01s.Covar</vt:lpstr>
      <vt:lpstr>'RES_ro-RO'!mg01s.Covar</vt:lpstr>
      <vt:lpstr>'RES_ru-RU'!mg01s.Covar</vt:lpstr>
      <vt:lpstr>'RES_sl-SI'!mg01s.Covar</vt:lpstr>
      <vt:lpstr>'RES_sv-SE'!mg01s.Covar</vt:lpstr>
      <vt:lpstr>'RES_tr-TR'!mg01s.Covar</vt:lpstr>
      <vt:lpstr>'RES_zh-CN'!mg01s.Covar</vt:lpstr>
      <vt:lpstr>'RES_zh-TW'!mg01s.Covar</vt:lpstr>
      <vt:lpstr>'RES_cs-CZ'!mg01s.CumPer</vt:lpstr>
      <vt:lpstr>'RES_da-DK'!mg01s.CumPer</vt:lpstr>
      <vt:lpstr>'RES_de-DE'!mg01s.CumPer</vt:lpstr>
      <vt:lpstr>'RES_el-GR'!mg01s.CumPer</vt:lpstr>
      <vt:lpstr>'RES_en-US'!mg01s.CumPer</vt:lpstr>
      <vt:lpstr>'RES_es-ES'!mg01s.CumPer</vt:lpstr>
      <vt:lpstr>'RES_fi-FI'!mg01s.CumPer</vt:lpstr>
      <vt:lpstr>'RES_fr-FR'!mg01s.CumPer</vt:lpstr>
      <vt:lpstr>'RES_hr-HR'!mg01s.CumPer</vt:lpstr>
      <vt:lpstr>'RES_hu-HU'!mg01s.CumPer</vt:lpstr>
      <vt:lpstr>'RES_it-IT'!mg01s.CumPer</vt:lpstr>
      <vt:lpstr>'RES_ja-JP'!mg01s.CumPer</vt:lpstr>
      <vt:lpstr>'RES_ko-KR'!mg01s.CumPer</vt:lpstr>
      <vt:lpstr>'RES_lv-LV'!mg01s.CumPer</vt:lpstr>
      <vt:lpstr>'RES_nb-NO'!mg01s.CumPer</vt:lpstr>
      <vt:lpstr>'RES_nl-NL'!mg01s.CumPer</vt:lpstr>
      <vt:lpstr>'RES_pl-PL'!mg01s.CumPer</vt:lpstr>
      <vt:lpstr>'RES_pt-BR'!mg01s.CumPer</vt:lpstr>
      <vt:lpstr>'RES_pt-PT'!mg01s.CumPer</vt:lpstr>
      <vt:lpstr>'RES_ro-RO'!mg01s.CumPer</vt:lpstr>
      <vt:lpstr>'RES_ru-RU'!mg01s.CumPer</vt:lpstr>
      <vt:lpstr>'RES_sl-SI'!mg01s.CumPer</vt:lpstr>
      <vt:lpstr>'RES_sv-SE'!mg01s.CumPer</vt:lpstr>
      <vt:lpstr>'RES_tr-TR'!mg01s.CumPer</vt:lpstr>
      <vt:lpstr>'RES_zh-CN'!mg01s.CumPer</vt:lpstr>
      <vt:lpstr>'RES_zh-TW'!mg01s.CumPer</vt:lpstr>
      <vt:lpstr>'RES_cs-CZ'!mg01s.DataPoint</vt:lpstr>
      <vt:lpstr>'RES_da-DK'!mg01s.DataPoint</vt:lpstr>
      <vt:lpstr>'RES_de-DE'!mg01s.DataPoint</vt:lpstr>
      <vt:lpstr>'RES_el-GR'!mg01s.DataPoint</vt:lpstr>
      <vt:lpstr>'RES_en-US'!mg01s.DataPoint</vt:lpstr>
      <vt:lpstr>'RES_es-ES'!mg01s.DataPoint</vt:lpstr>
      <vt:lpstr>'RES_fi-FI'!mg01s.DataPoint</vt:lpstr>
      <vt:lpstr>'RES_fr-FR'!mg01s.DataPoint</vt:lpstr>
      <vt:lpstr>'RES_hr-HR'!mg01s.DataPoint</vt:lpstr>
      <vt:lpstr>'RES_hu-HU'!mg01s.DataPoint</vt:lpstr>
      <vt:lpstr>'RES_it-IT'!mg01s.DataPoint</vt:lpstr>
      <vt:lpstr>'RES_ja-JP'!mg01s.DataPoint</vt:lpstr>
      <vt:lpstr>'RES_ko-KR'!mg01s.DataPoint</vt:lpstr>
      <vt:lpstr>'RES_lv-LV'!mg01s.DataPoint</vt:lpstr>
      <vt:lpstr>'RES_nb-NO'!mg01s.DataPoint</vt:lpstr>
      <vt:lpstr>'RES_nl-NL'!mg01s.DataPoint</vt:lpstr>
      <vt:lpstr>'RES_pl-PL'!mg01s.DataPoint</vt:lpstr>
      <vt:lpstr>'RES_pt-BR'!mg01s.DataPoint</vt:lpstr>
      <vt:lpstr>'RES_pt-PT'!mg01s.DataPoint</vt:lpstr>
      <vt:lpstr>'RES_ro-RO'!mg01s.DataPoint</vt:lpstr>
      <vt:lpstr>'RES_ru-RU'!mg01s.DataPoint</vt:lpstr>
      <vt:lpstr>'RES_sl-SI'!mg01s.DataPoint</vt:lpstr>
      <vt:lpstr>'RES_sv-SE'!mg01s.DataPoint</vt:lpstr>
      <vt:lpstr>'RES_tr-TR'!mg01s.DataPoint</vt:lpstr>
      <vt:lpstr>'RES_zh-CN'!mg01s.DataPoint</vt:lpstr>
      <vt:lpstr>'RES_zh-TW'!mg01s.DataPoint</vt:lpstr>
      <vt:lpstr>'RES_cs-CZ'!mg01s.Date</vt:lpstr>
      <vt:lpstr>'RES_da-DK'!mg01s.Date</vt:lpstr>
      <vt:lpstr>'RES_de-DE'!mg01s.Date</vt:lpstr>
      <vt:lpstr>'RES_el-GR'!mg01s.Date</vt:lpstr>
      <vt:lpstr>'RES_en-US'!mg01s.Date</vt:lpstr>
      <vt:lpstr>'RES_es-ES'!mg01s.Date</vt:lpstr>
      <vt:lpstr>'RES_fi-FI'!mg01s.Date</vt:lpstr>
      <vt:lpstr>'RES_fr-FR'!mg01s.Date</vt:lpstr>
      <vt:lpstr>'RES_hr-HR'!mg01s.Date</vt:lpstr>
      <vt:lpstr>'RES_hu-HU'!mg01s.Date</vt:lpstr>
      <vt:lpstr>'RES_it-IT'!mg01s.Date</vt:lpstr>
      <vt:lpstr>'RES_ja-JP'!mg01s.Date</vt:lpstr>
      <vt:lpstr>'RES_ko-KR'!mg01s.Date</vt:lpstr>
      <vt:lpstr>'RES_lv-LV'!mg01s.Date</vt:lpstr>
      <vt:lpstr>'RES_nb-NO'!mg01s.Date</vt:lpstr>
      <vt:lpstr>'RES_nl-NL'!mg01s.Date</vt:lpstr>
      <vt:lpstr>'RES_pl-PL'!mg01s.Date</vt:lpstr>
      <vt:lpstr>'RES_pt-BR'!mg01s.Date</vt:lpstr>
      <vt:lpstr>'RES_pt-PT'!mg01s.Date</vt:lpstr>
      <vt:lpstr>'RES_ro-RO'!mg01s.Date</vt:lpstr>
      <vt:lpstr>'RES_ru-RU'!mg01s.Date</vt:lpstr>
      <vt:lpstr>'RES_sl-SI'!mg01s.Date</vt:lpstr>
      <vt:lpstr>'RES_sv-SE'!mg01s.Date</vt:lpstr>
      <vt:lpstr>'RES_tr-TR'!mg01s.Date</vt:lpstr>
      <vt:lpstr>'RES_zh-CN'!mg01s.Date</vt:lpstr>
      <vt:lpstr>'RES_zh-TW'!mg01s.Date</vt:lpstr>
      <vt:lpstr>'RES_cs-CZ'!mg01s.Descr</vt:lpstr>
      <vt:lpstr>'RES_da-DK'!mg01s.Descr</vt:lpstr>
      <vt:lpstr>'RES_de-DE'!mg01s.Descr</vt:lpstr>
      <vt:lpstr>'RES_el-GR'!mg01s.Descr</vt:lpstr>
      <vt:lpstr>'RES_en-US'!mg01s.Descr</vt:lpstr>
      <vt:lpstr>'RES_es-ES'!mg01s.Descr</vt:lpstr>
      <vt:lpstr>'RES_fi-FI'!mg01s.Descr</vt:lpstr>
      <vt:lpstr>'RES_fr-FR'!mg01s.Descr</vt:lpstr>
      <vt:lpstr>'RES_hr-HR'!mg01s.Descr</vt:lpstr>
      <vt:lpstr>'RES_hu-HU'!mg01s.Descr</vt:lpstr>
      <vt:lpstr>'RES_it-IT'!mg01s.Descr</vt:lpstr>
      <vt:lpstr>'RES_ja-JP'!mg01s.Descr</vt:lpstr>
      <vt:lpstr>'RES_ko-KR'!mg01s.Descr</vt:lpstr>
      <vt:lpstr>'RES_lv-LV'!mg01s.Descr</vt:lpstr>
      <vt:lpstr>'RES_nb-NO'!mg01s.Descr</vt:lpstr>
      <vt:lpstr>'RES_nl-NL'!mg01s.Descr</vt:lpstr>
      <vt:lpstr>'RES_pl-PL'!mg01s.Descr</vt:lpstr>
      <vt:lpstr>'RES_pt-BR'!mg01s.Descr</vt:lpstr>
      <vt:lpstr>'RES_pt-PT'!mg01s.Descr</vt:lpstr>
      <vt:lpstr>'RES_ro-RO'!mg01s.Descr</vt:lpstr>
      <vt:lpstr>'RES_ru-RU'!mg01s.Descr</vt:lpstr>
      <vt:lpstr>'RES_sl-SI'!mg01s.Descr</vt:lpstr>
      <vt:lpstr>'RES_sv-SE'!mg01s.Descr</vt:lpstr>
      <vt:lpstr>'RES_tr-TR'!mg01s.Descr</vt:lpstr>
      <vt:lpstr>'RES_zh-CN'!mg01s.Descr</vt:lpstr>
      <vt:lpstr>'RES_zh-TW'!mg01s.Descr</vt:lpstr>
      <vt:lpstr>'RES_cs-CZ'!mg01s.DF</vt:lpstr>
      <vt:lpstr>'RES_da-DK'!mg01s.DF</vt:lpstr>
      <vt:lpstr>'RES_de-DE'!mg01s.DF</vt:lpstr>
      <vt:lpstr>'RES_el-GR'!mg01s.DF</vt:lpstr>
      <vt:lpstr>'RES_en-US'!mg01s.DF</vt:lpstr>
      <vt:lpstr>'RES_es-ES'!mg01s.DF</vt:lpstr>
      <vt:lpstr>'RES_fi-FI'!mg01s.DF</vt:lpstr>
      <vt:lpstr>'RES_fr-FR'!mg01s.DF</vt:lpstr>
      <vt:lpstr>'RES_hr-HR'!mg01s.DF</vt:lpstr>
      <vt:lpstr>'RES_hu-HU'!mg01s.DF</vt:lpstr>
      <vt:lpstr>'RES_it-IT'!mg01s.DF</vt:lpstr>
      <vt:lpstr>'RES_ja-JP'!mg01s.DF</vt:lpstr>
      <vt:lpstr>'RES_ko-KR'!mg01s.DF</vt:lpstr>
      <vt:lpstr>'RES_lv-LV'!mg01s.DF</vt:lpstr>
      <vt:lpstr>'RES_nb-NO'!mg01s.DF</vt:lpstr>
      <vt:lpstr>'RES_nl-NL'!mg01s.DF</vt:lpstr>
      <vt:lpstr>'RES_pl-PL'!mg01s.DF</vt:lpstr>
      <vt:lpstr>'RES_pt-BR'!mg01s.DF</vt:lpstr>
      <vt:lpstr>'RES_pt-PT'!mg01s.DF</vt:lpstr>
      <vt:lpstr>'RES_ro-RO'!mg01s.DF</vt:lpstr>
      <vt:lpstr>'RES_ru-RU'!mg01s.DF</vt:lpstr>
      <vt:lpstr>'RES_sl-SI'!mg01s.DF</vt:lpstr>
      <vt:lpstr>'RES_sv-SE'!mg01s.DF</vt:lpstr>
      <vt:lpstr>'RES_tr-TR'!mg01s.DF</vt:lpstr>
      <vt:lpstr>'RES_zh-CN'!mg01s.DF</vt:lpstr>
      <vt:lpstr>'RES_zh-TW'!mg01s.DF</vt:lpstr>
      <vt:lpstr>'RES_cs-CZ'!mg01s.Eng</vt:lpstr>
      <vt:lpstr>'RES_da-DK'!mg01s.Eng</vt:lpstr>
      <vt:lpstr>'RES_de-DE'!mg01s.Eng</vt:lpstr>
      <vt:lpstr>'RES_el-GR'!mg01s.Eng</vt:lpstr>
      <vt:lpstr>'RES_en-US'!mg01s.Eng</vt:lpstr>
      <vt:lpstr>'RES_es-ES'!mg01s.Eng</vt:lpstr>
      <vt:lpstr>'RES_fi-FI'!mg01s.Eng</vt:lpstr>
      <vt:lpstr>'RES_fr-FR'!mg01s.Eng</vt:lpstr>
      <vt:lpstr>'RES_hr-HR'!mg01s.Eng</vt:lpstr>
      <vt:lpstr>'RES_hu-HU'!mg01s.Eng</vt:lpstr>
      <vt:lpstr>'RES_it-IT'!mg01s.Eng</vt:lpstr>
      <vt:lpstr>'RES_ja-JP'!mg01s.Eng</vt:lpstr>
      <vt:lpstr>'RES_ko-KR'!mg01s.Eng</vt:lpstr>
      <vt:lpstr>'RES_lv-LV'!mg01s.Eng</vt:lpstr>
      <vt:lpstr>'RES_nb-NO'!mg01s.Eng</vt:lpstr>
      <vt:lpstr>'RES_nl-NL'!mg01s.Eng</vt:lpstr>
      <vt:lpstr>'RES_pl-PL'!mg01s.Eng</vt:lpstr>
      <vt:lpstr>'RES_pt-BR'!mg01s.Eng</vt:lpstr>
      <vt:lpstr>'RES_pt-PT'!mg01s.Eng</vt:lpstr>
      <vt:lpstr>'RES_ro-RO'!mg01s.Eng</vt:lpstr>
      <vt:lpstr>'RES_ru-RU'!mg01s.Eng</vt:lpstr>
      <vt:lpstr>'RES_sl-SI'!mg01s.Eng</vt:lpstr>
      <vt:lpstr>'RES_sv-SE'!mg01s.Eng</vt:lpstr>
      <vt:lpstr>'RES_tr-TR'!mg01s.Eng</vt:lpstr>
      <vt:lpstr>'RES_zh-CN'!mg01s.Eng</vt:lpstr>
      <vt:lpstr>'RES_zh-TW'!mg01s.Eng</vt:lpstr>
      <vt:lpstr>'RES_cs-CZ'!mg01s.Error</vt:lpstr>
      <vt:lpstr>'RES_da-DK'!mg01s.Error</vt:lpstr>
      <vt:lpstr>'RES_de-DE'!mg01s.Error</vt:lpstr>
      <vt:lpstr>'RES_el-GR'!mg01s.Error</vt:lpstr>
      <vt:lpstr>'RES_en-US'!mg01s.Error</vt:lpstr>
      <vt:lpstr>'RES_es-ES'!mg01s.Error</vt:lpstr>
      <vt:lpstr>'RES_fi-FI'!mg01s.Error</vt:lpstr>
      <vt:lpstr>'RES_fr-FR'!mg01s.Error</vt:lpstr>
      <vt:lpstr>'RES_hr-HR'!mg01s.Error</vt:lpstr>
      <vt:lpstr>'RES_hu-HU'!mg01s.Error</vt:lpstr>
      <vt:lpstr>'RES_it-IT'!mg01s.Error</vt:lpstr>
      <vt:lpstr>'RES_ja-JP'!mg01s.Error</vt:lpstr>
      <vt:lpstr>'RES_ko-KR'!mg01s.Error</vt:lpstr>
      <vt:lpstr>'RES_lv-LV'!mg01s.Error</vt:lpstr>
      <vt:lpstr>'RES_nb-NO'!mg01s.Error</vt:lpstr>
      <vt:lpstr>'RES_nl-NL'!mg01s.Error</vt:lpstr>
      <vt:lpstr>'RES_pl-PL'!mg01s.Error</vt:lpstr>
      <vt:lpstr>'RES_pt-BR'!mg01s.Error</vt:lpstr>
      <vt:lpstr>'RES_pt-PT'!mg01s.Error</vt:lpstr>
      <vt:lpstr>'RES_ro-RO'!mg01s.Error</vt:lpstr>
      <vt:lpstr>'RES_ru-RU'!mg01s.Error</vt:lpstr>
      <vt:lpstr>'RES_sl-SI'!mg01s.Error</vt:lpstr>
      <vt:lpstr>'RES_sv-SE'!mg01s.Error</vt:lpstr>
      <vt:lpstr>'RES_tr-TR'!mg01s.Error</vt:lpstr>
      <vt:lpstr>'RES_zh-CN'!mg01s.Error</vt:lpstr>
      <vt:lpstr>'RES_zh-TW'!mg01s.Error</vt:lpstr>
      <vt:lpstr>'RES_cs-CZ'!mg01s.ExpSmth</vt:lpstr>
      <vt:lpstr>'RES_da-DK'!mg01s.ExpSmth</vt:lpstr>
      <vt:lpstr>'RES_de-DE'!mg01s.ExpSmth</vt:lpstr>
      <vt:lpstr>'RES_el-GR'!mg01s.ExpSmth</vt:lpstr>
      <vt:lpstr>'RES_en-US'!mg01s.ExpSmth</vt:lpstr>
      <vt:lpstr>'RES_es-ES'!mg01s.ExpSmth</vt:lpstr>
      <vt:lpstr>'RES_fi-FI'!mg01s.ExpSmth</vt:lpstr>
      <vt:lpstr>'RES_fr-FR'!mg01s.ExpSmth</vt:lpstr>
      <vt:lpstr>'RES_hr-HR'!mg01s.ExpSmth</vt:lpstr>
      <vt:lpstr>'RES_hu-HU'!mg01s.ExpSmth</vt:lpstr>
      <vt:lpstr>'RES_it-IT'!mg01s.ExpSmth</vt:lpstr>
      <vt:lpstr>'RES_ja-JP'!mg01s.ExpSmth</vt:lpstr>
      <vt:lpstr>'RES_ko-KR'!mg01s.ExpSmth</vt:lpstr>
      <vt:lpstr>'RES_lv-LV'!mg01s.ExpSmth</vt:lpstr>
      <vt:lpstr>'RES_nb-NO'!mg01s.ExpSmth</vt:lpstr>
      <vt:lpstr>'RES_nl-NL'!mg01s.ExpSmth</vt:lpstr>
      <vt:lpstr>'RES_pl-PL'!mg01s.ExpSmth</vt:lpstr>
      <vt:lpstr>'RES_pt-BR'!mg01s.ExpSmth</vt:lpstr>
      <vt:lpstr>'RES_pt-PT'!mg01s.ExpSmth</vt:lpstr>
      <vt:lpstr>'RES_ro-RO'!mg01s.ExpSmth</vt:lpstr>
      <vt:lpstr>'RES_ru-RU'!mg01s.ExpSmth</vt:lpstr>
      <vt:lpstr>'RES_sl-SI'!mg01s.ExpSmth</vt:lpstr>
      <vt:lpstr>'RES_sv-SE'!mg01s.ExpSmth</vt:lpstr>
      <vt:lpstr>'RES_tr-TR'!mg01s.ExpSmth</vt:lpstr>
      <vt:lpstr>'RES_zh-CN'!mg01s.ExpSmth</vt:lpstr>
      <vt:lpstr>'RES_zh-TW'!mg01s.ExpSmth</vt:lpstr>
      <vt:lpstr>'RES_cs-CZ'!mg01s.F</vt:lpstr>
      <vt:lpstr>'RES_da-DK'!mg01s.F</vt:lpstr>
      <vt:lpstr>'RES_de-DE'!mg01s.F</vt:lpstr>
      <vt:lpstr>'RES_el-GR'!mg01s.F</vt:lpstr>
      <vt:lpstr>'RES_en-US'!mg01s.F</vt:lpstr>
      <vt:lpstr>'RES_es-ES'!mg01s.F</vt:lpstr>
      <vt:lpstr>'RES_fi-FI'!mg01s.F</vt:lpstr>
      <vt:lpstr>'RES_fr-FR'!mg01s.F</vt:lpstr>
      <vt:lpstr>'RES_hr-HR'!mg01s.F</vt:lpstr>
      <vt:lpstr>'RES_hu-HU'!mg01s.F</vt:lpstr>
      <vt:lpstr>'RES_it-IT'!mg01s.F</vt:lpstr>
      <vt:lpstr>'RES_ja-JP'!mg01s.F</vt:lpstr>
      <vt:lpstr>'RES_ko-KR'!mg01s.F</vt:lpstr>
      <vt:lpstr>'RES_lv-LV'!mg01s.F</vt:lpstr>
      <vt:lpstr>'RES_nb-NO'!mg01s.F</vt:lpstr>
      <vt:lpstr>'RES_nl-NL'!mg01s.F</vt:lpstr>
      <vt:lpstr>'RES_pl-PL'!mg01s.F</vt:lpstr>
      <vt:lpstr>'RES_pt-BR'!mg01s.F</vt:lpstr>
      <vt:lpstr>'RES_pt-PT'!mg01s.F</vt:lpstr>
      <vt:lpstr>'RES_ro-RO'!mg01s.F</vt:lpstr>
      <vt:lpstr>'RES_ru-RU'!mg01s.F</vt:lpstr>
      <vt:lpstr>'RES_sl-SI'!mg01s.F</vt:lpstr>
      <vt:lpstr>'RES_sv-SE'!mg01s.F</vt:lpstr>
      <vt:lpstr>'RES_tr-TR'!mg01s.F</vt:lpstr>
      <vt:lpstr>'RES_zh-CN'!mg01s.F</vt:lpstr>
      <vt:lpstr>'RES_zh-TW'!mg01s.F</vt:lpstr>
      <vt:lpstr>'RES_cs-CZ'!mg01s.F1Tail</vt:lpstr>
      <vt:lpstr>'RES_da-DK'!mg01s.F1Tail</vt:lpstr>
      <vt:lpstr>'RES_de-DE'!mg01s.F1Tail</vt:lpstr>
      <vt:lpstr>'RES_el-GR'!mg01s.F1Tail</vt:lpstr>
      <vt:lpstr>'RES_en-US'!mg01s.F1Tail</vt:lpstr>
      <vt:lpstr>'RES_es-ES'!mg01s.F1Tail</vt:lpstr>
      <vt:lpstr>'RES_fi-FI'!mg01s.F1Tail</vt:lpstr>
      <vt:lpstr>'RES_fr-FR'!mg01s.F1Tail</vt:lpstr>
      <vt:lpstr>'RES_hr-HR'!mg01s.F1Tail</vt:lpstr>
      <vt:lpstr>'RES_hu-HU'!mg01s.F1Tail</vt:lpstr>
      <vt:lpstr>'RES_it-IT'!mg01s.F1Tail</vt:lpstr>
      <vt:lpstr>'RES_ja-JP'!mg01s.F1Tail</vt:lpstr>
      <vt:lpstr>'RES_ko-KR'!mg01s.F1Tail</vt:lpstr>
      <vt:lpstr>'RES_lv-LV'!mg01s.F1Tail</vt:lpstr>
      <vt:lpstr>'RES_nb-NO'!mg01s.F1Tail</vt:lpstr>
      <vt:lpstr>'RES_nl-NL'!mg01s.F1Tail</vt:lpstr>
      <vt:lpstr>'RES_pl-PL'!mg01s.F1Tail</vt:lpstr>
      <vt:lpstr>'RES_pt-BR'!mg01s.F1Tail</vt:lpstr>
      <vt:lpstr>'RES_pt-PT'!mg01s.F1Tail</vt:lpstr>
      <vt:lpstr>'RES_ro-RO'!mg01s.F1Tail</vt:lpstr>
      <vt:lpstr>'RES_ru-RU'!mg01s.F1Tail</vt:lpstr>
      <vt:lpstr>'RES_sl-SI'!mg01s.F1Tail</vt:lpstr>
      <vt:lpstr>'RES_sv-SE'!mg01s.F1Tail</vt:lpstr>
      <vt:lpstr>'RES_tr-TR'!mg01s.F1Tail</vt:lpstr>
      <vt:lpstr>'RES_zh-CN'!mg01s.F1Tail</vt:lpstr>
      <vt:lpstr>'RES_zh-TW'!mg01s.F1Tail</vt:lpstr>
      <vt:lpstr>'RES_cs-CZ'!mg01s.FCrit</vt:lpstr>
      <vt:lpstr>'RES_da-DK'!mg01s.FCrit</vt:lpstr>
      <vt:lpstr>'RES_de-DE'!mg01s.FCrit</vt:lpstr>
      <vt:lpstr>'RES_el-GR'!mg01s.FCrit</vt:lpstr>
      <vt:lpstr>'RES_en-US'!mg01s.FCrit</vt:lpstr>
      <vt:lpstr>'RES_es-ES'!mg01s.FCrit</vt:lpstr>
      <vt:lpstr>'RES_fi-FI'!mg01s.FCrit</vt:lpstr>
      <vt:lpstr>'RES_fr-FR'!mg01s.FCrit</vt:lpstr>
      <vt:lpstr>'RES_hr-HR'!mg01s.FCrit</vt:lpstr>
      <vt:lpstr>'RES_hu-HU'!mg01s.FCrit</vt:lpstr>
      <vt:lpstr>'RES_it-IT'!mg01s.FCrit</vt:lpstr>
      <vt:lpstr>'RES_ja-JP'!mg01s.FCrit</vt:lpstr>
      <vt:lpstr>'RES_ko-KR'!mg01s.FCrit</vt:lpstr>
      <vt:lpstr>'RES_lv-LV'!mg01s.FCrit</vt:lpstr>
      <vt:lpstr>'RES_nb-NO'!mg01s.FCrit</vt:lpstr>
      <vt:lpstr>'RES_nl-NL'!mg01s.FCrit</vt:lpstr>
      <vt:lpstr>'RES_pl-PL'!mg01s.FCrit</vt:lpstr>
      <vt:lpstr>'RES_pt-BR'!mg01s.FCrit</vt:lpstr>
      <vt:lpstr>'RES_pt-PT'!mg01s.FCrit</vt:lpstr>
      <vt:lpstr>'RES_ro-RO'!mg01s.FCrit</vt:lpstr>
      <vt:lpstr>'RES_ru-RU'!mg01s.FCrit</vt:lpstr>
      <vt:lpstr>'RES_sl-SI'!mg01s.FCrit</vt:lpstr>
      <vt:lpstr>'RES_sv-SE'!mg01s.FCrit</vt:lpstr>
      <vt:lpstr>'RES_tr-TR'!mg01s.FCrit</vt:lpstr>
      <vt:lpstr>'RES_zh-CN'!mg01s.FCrit</vt:lpstr>
      <vt:lpstr>'RES_zh-TW'!mg01s.FCrit</vt:lpstr>
      <vt:lpstr>'RES_cs-CZ'!mg01s.FCrit1</vt:lpstr>
      <vt:lpstr>'RES_da-DK'!mg01s.FCrit1</vt:lpstr>
      <vt:lpstr>'RES_de-DE'!mg01s.FCrit1</vt:lpstr>
      <vt:lpstr>'RES_el-GR'!mg01s.FCrit1</vt:lpstr>
      <vt:lpstr>'RES_en-US'!mg01s.FCrit1</vt:lpstr>
      <vt:lpstr>'RES_es-ES'!mg01s.FCrit1</vt:lpstr>
      <vt:lpstr>'RES_fi-FI'!mg01s.FCrit1</vt:lpstr>
      <vt:lpstr>'RES_fr-FR'!mg01s.FCrit1</vt:lpstr>
      <vt:lpstr>'RES_hr-HR'!mg01s.FCrit1</vt:lpstr>
      <vt:lpstr>'RES_hu-HU'!mg01s.FCrit1</vt:lpstr>
      <vt:lpstr>'RES_it-IT'!mg01s.FCrit1</vt:lpstr>
      <vt:lpstr>'RES_ja-JP'!mg01s.FCrit1</vt:lpstr>
      <vt:lpstr>'RES_ko-KR'!mg01s.FCrit1</vt:lpstr>
      <vt:lpstr>'RES_lv-LV'!mg01s.FCrit1</vt:lpstr>
      <vt:lpstr>'RES_nb-NO'!mg01s.FCrit1</vt:lpstr>
      <vt:lpstr>'RES_nl-NL'!mg01s.FCrit1</vt:lpstr>
      <vt:lpstr>'RES_pl-PL'!mg01s.FCrit1</vt:lpstr>
      <vt:lpstr>'RES_pt-BR'!mg01s.FCrit1</vt:lpstr>
      <vt:lpstr>'RES_pt-PT'!mg01s.FCrit1</vt:lpstr>
      <vt:lpstr>'RES_ro-RO'!mg01s.FCrit1</vt:lpstr>
      <vt:lpstr>'RES_ru-RU'!mg01s.FCrit1</vt:lpstr>
      <vt:lpstr>'RES_sl-SI'!mg01s.FCrit1</vt:lpstr>
      <vt:lpstr>'RES_sv-SE'!mg01s.FCrit1</vt:lpstr>
      <vt:lpstr>'RES_tr-TR'!mg01s.FCrit1</vt:lpstr>
      <vt:lpstr>'RES_zh-CN'!mg01s.FCrit1</vt:lpstr>
      <vt:lpstr>'RES_zh-TW'!mg01s.FCrit1</vt:lpstr>
      <vt:lpstr>'RES_cs-CZ'!mg01s.Fin</vt:lpstr>
      <vt:lpstr>'RES_da-DK'!mg01s.Fin</vt:lpstr>
      <vt:lpstr>'RES_de-DE'!mg01s.Fin</vt:lpstr>
      <vt:lpstr>'RES_el-GR'!mg01s.Fin</vt:lpstr>
      <vt:lpstr>'RES_en-US'!mg01s.Fin</vt:lpstr>
      <vt:lpstr>'RES_es-ES'!mg01s.Fin</vt:lpstr>
      <vt:lpstr>'RES_fi-FI'!mg01s.Fin</vt:lpstr>
      <vt:lpstr>'RES_fr-FR'!mg01s.Fin</vt:lpstr>
      <vt:lpstr>'RES_hr-HR'!mg01s.Fin</vt:lpstr>
      <vt:lpstr>'RES_hu-HU'!mg01s.Fin</vt:lpstr>
      <vt:lpstr>'RES_it-IT'!mg01s.Fin</vt:lpstr>
      <vt:lpstr>'RES_ja-JP'!mg01s.Fin</vt:lpstr>
      <vt:lpstr>'RES_ko-KR'!mg01s.Fin</vt:lpstr>
      <vt:lpstr>'RES_lv-LV'!mg01s.Fin</vt:lpstr>
      <vt:lpstr>'RES_nb-NO'!mg01s.Fin</vt:lpstr>
      <vt:lpstr>'RES_nl-NL'!mg01s.Fin</vt:lpstr>
      <vt:lpstr>'RES_pl-PL'!mg01s.Fin</vt:lpstr>
      <vt:lpstr>'RES_pt-BR'!mg01s.Fin</vt:lpstr>
      <vt:lpstr>'RES_pt-PT'!mg01s.Fin</vt:lpstr>
      <vt:lpstr>'RES_ro-RO'!mg01s.Fin</vt:lpstr>
      <vt:lpstr>'RES_ru-RU'!mg01s.Fin</vt:lpstr>
      <vt:lpstr>'RES_sl-SI'!mg01s.Fin</vt:lpstr>
      <vt:lpstr>'RES_sv-SE'!mg01s.Fin</vt:lpstr>
      <vt:lpstr>'RES_tr-TR'!mg01s.Fin</vt:lpstr>
      <vt:lpstr>'RES_zh-CN'!mg01s.Fin</vt:lpstr>
      <vt:lpstr>'RES_zh-TW'!mg01s.Fin</vt:lpstr>
      <vt:lpstr>'RES_cs-CZ'!mg01s.Forecast</vt:lpstr>
      <vt:lpstr>'RES_da-DK'!mg01s.Forecast</vt:lpstr>
      <vt:lpstr>'RES_de-DE'!mg01s.Forecast</vt:lpstr>
      <vt:lpstr>'RES_el-GR'!mg01s.Forecast</vt:lpstr>
      <vt:lpstr>'RES_en-US'!mg01s.Forecast</vt:lpstr>
      <vt:lpstr>'RES_es-ES'!mg01s.Forecast</vt:lpstr>
      <vt:lpstr>'RES_fi-FI'!mg01s.Forecast</vt:lpstr>
      <vt:lpstr>'RES_fr-FR'!mg01s.Forecast</vt:lpstr>
      <vt:lpstr>'RES_hr-HR'!mg01s.Forecast</vt:lpstr>
      <vt:lpstr>'RES_hu-HU'!mg01s.Forecast</vt:lpstr>
      <vt:lpstr>'RES_it-IT'!mg01s.Forecast</vt:lpstr>
      <vt:lpstr>'RES_ja-JP'!mg01s.Forecast</vt:lpstr>
      <vt:lpstr>'RES_ko-KR'!mg01s.Forecast</vt:lpstr>
      <vt:lpstr>'RES_lv-LV'!mg01s.Forecast</vt:lpstr>
      <vt:lpstr>'RES_nb-NO'!mg01s.Forecast</vt:lpstr>
      <vt:lpstr>'RES_nl-NL'!mg01s.Forecast</vt:lpstr>
      <vt:lpstr>'RES_pl-PL'!mg01s.Forecast</vt:lpstr>
      <vt:lpstr>'RES_pt-BR'!mg01s.Forecast</vt:lpstr>
      <vt:lpstr>'RES_pt-PT'!mg01s.Forecast</vt:lpstr>
      <vt:lpstr>'RES_ro-RO'!mg01s.Forecast</vt:lpstr>
      <vt:lpstr>'RES_ru-RU'!mg01s.Forecast</vt:lpstr>
      <vt:lpstr>'RES_sl-SI'!mg01s.Forecast</vt:lpstr>
      <vt:lpstr>'RES_sv-SE'!mg01s.Forecast</vt:lpstr>
      <vt:lpstr>'RES_tr-TR'!mg01s.Forecast</vt:lpstr>
      <vt:lpstr>'RES_zh-CN'!mg01s.Forecast</vt:lpstr>
      <vt:lpstr>'RES_zh-TW'!mg01s.Forecast</vt:lpstr>
      <vt:lpstr>'RES_cs-CZ'!mg01s.Freq</vt:lpstr>
      <vt:lpstr>'RES_da-DK'!mg01s.Freq</vt:lpstr>
      <vt:lpstr>'RES_de-DE'!mg01s.Freq</vt:lpstr>
      <vt:lpstr>'RES_el-GR'!mg01s.Freq</vt:lpstr>
      <vt:lpstr>'RES_en-US'!mg01s.Freq</vt:lpstr>
      <vt:lpstr>'RES_es-ES'!mg01s.Freq</vt:lpstr>
      <vt:lpstr>'RES_fi-FI'!mg01s.Freq</vt:lpstr>
      <vt:lpstr>'RES_fr-FR'!mg01s.Freq</vt:lpstr>
      <vt:lpstr>'RES_hr-HR'!mg01s.Freq</vt:lpstr>
      <vt:lpstr>'RES_hu-HU'!mg01s.Freq</vt:lpstr>
      <vt:lpstr>'RES_it-IT'!mg01s.Freq</vt:lpstr>
      <vt:lpstr>'RES_ja-JP'!mg01s.Freq</vt:lpstr>
      <vt:lpstr>'RES_ko-KR'!mg01s.Freq</vt:lpstr>
      <vt:lpstr>'RES_lv-LV'!mg01s.Freq</vt:lpstr>
      <vt:lpstr>'RES_nb-NO'!mg01s.Freq</vt:lpstr>
      <vt:lpstr>'RES_nl-NL'!mg01s.Freq</vt:lpstr>
      <vt:lpstr>'RES_pl-PL'!mg01s.Freq</vt:lpstr>
      <vt:lpstr>'RES_pt-BR'!mg01s.Freq</vt:lpstr>
      <vt:lpstr>'RES_pt-PT'!mg01s.Freq</vt:lpstr>
      <vt:lpstr>'RES_ro-RO'!mg01s.Freq</vt:lpstr>
      <vt:lpstr>'RES_ru-RU'!mg01s.Freq</vt:lpstr>
      <vt:lpstr>'RES_sl-SI'!mg01s.Freq</vt:lpstr>
      <vt:lpstr>'RES_sv-SE'!mg01s.Freq</vt:lpstr>
      <vt:lpstr>'RES_tr-TR'!mg01s.Freq</vt:lpstr>
      <vt:lpstr>'RES_zh-CN'!mg01s.Freq</vt:lpstr>
      <vt:lpstr>'RES_zh-TW'!mg01s.Freq</vt:lpstr>
      <vt:lpstr>'RES_cs-CZ'!mg01s.FTTwoVar</vt:lpstr>
      <vt:lpstr>'RES_da-DK'!mg01s.FTTwoVar</vt:lpstr>
      <vt:lpstr>'RES_de-DE'!mg01s.FTTwoVar</vt:lpstr>
      <vt:lpstr>'RES_el-GR'!mg01s.FTTwoVar</vt:lpstr>
      <vt:lpstr>'RES_en-US'!mg01s.FTTwoVar</vt:lpstr>
      <vt:lpstr>'RES_es-ES'!mg01s.FTTwoVar</vt:lpstr>
      <vt:lpstr>'RES_fi-FI'!mg01s.FTTwoVar</vt:lpstr>
      <vt:lpstr>'RES_fr-FR'!mg01s.FTTwoVar</vt:lpstr>
      <vt:lpstr>'RES_hr-HR'!mg01s.FTTwoVar</vt:lpstr>
      <vt:lpstr>'RES_hu-HU'!mg01s.FTTwoVar</vt:lpstr>
      <vt:lpstr>'RES_it-IT'!mg01s.FTTwoVar</vt:lpstr>
      <vt:lpstr>'RES_ja-JP'!mg01s.FTTwoVar</vt:lpstr>
      <vt:lpstr>'RES_ko-KR'!mg01s.FTTwoVar</vt:lpstr>
      <vt:lpstr>'RES_lv-LV'!mg01s.FTTwoVar</vt:lpstr>
      <vt:lpstr>'RES_nb-NO'!mg01s.FTTwoVar</vt:lpstr>
      <vt:lpstr>'RES_nl-NL'!mg01s.FTTwoVar</vt:lpstr>
      <vt:lpstr>'RES_pl-PL'!mg01s.FTTwoVar</vt:lpstr>
      <vt:lpstr>'RES_pt-BR'!mg01s.FTTwoVar</vt:lpstr>
      <vt:lpstr>'RES_pt-PT'!mg01s.FTTwoVar</vt:lpstr>
      <vt:lpstr>'RES_ro-RO'!mg01s.FTTwoVar</vt:lpstr>
      <vt:lpstr>'RES_ru-RU'!mg01s.FTTwoVar</vt:lpstr>
      <vt:lpstr>'RES_sl-SI'!mg01s.FTTwoVar</vt:lpstr>
      <vt:lpstr>'RES_sv-SE'!mg01s.FTTwoVar</vt:lpstr>
      <vt:lpstr>'RES_tr-TR'!mg01s.FTTwoVar</vt:lpstr>
      <vt:lpstr>'RES_zh-CN'!mg01s.FTTwoVar</vt:lpstr>
      <vt:lpstr>'RES_zh-TW'!mg01s.FTTwoVar</vt:lpstr>
      <vt:lpstr>'RES_cs-CZ'!mg01s.Groups</vt:lpstr>
      <vt:lpstr>'RES_da-DK'!mg01s.Groups</vt:lpstr>
      <vt:lpstr>'RES_de-DE'!mg01s.Groups</vt:lpstr>
      <vt:lpstr>'RES_el-GR'!mg01s.Groups</vt:lpstr>
      <vt:lpstr>'RES_en-US'!mg01s.Groups</vt:lpstr>
      <vt:lpstr>'RES_es-ES'!mg01s.Groups</vt:lpstr>
      <vt:lpstr>'RES_fi-FI'!mg01s.Groups</vt:lpstr>
      <vt:lpstr>'RES_fr-FR'!mg01s.Groups</vt:lpstr>
      <vt:lpstr>'RES_hr-HR'!mg01s.Groups</vt:lpstr>
      <vt:lpstr>'RES_hu-HU'!mg01s.Groups</vt:lpstr>
      <vt:lpstr>'RES_it-IT'!mg01s.Groups</vt:lpstr>
      <vt:lpstr>'RES_ja-JP'!mg01s.Groups</vt:lpstr>
      <vt:lpstr>'RES_ko-KR'!mg01s.Groups</vt:lpstr>
      <vt:lpstr>'RES_lv-LV'!mg01s.Groups</vt:lpstr>
      <vt:lpstr>'RES_nb-NO'!mg01s.Groups</vt:lpstr>
      <vt:lpstr>'RES_nl-NL'!mg01s.Groups</vt:lpstr>
      <vt:lpstr>'RES_pl-PL'!mg01s.Groups</vt:lpstr>
      <vt:lpstr>'RES_pt-BR'!mg01s.Groups</vt:lpstr>
      <vt:lpstr>'RES_pt-PT'!mg01s.Groups</vt:lpstr>
      <vt:lpstr>'RES_ro-RO'!mg01s.Groups</vt:lpstr>
      <vt:lpstr>'RES_ru-RU'!mg01s.Groups</vt:lpstr>
      <vt:lpstr>'RES_sl-SI'!mg01s.Groups</vt:lpstr>
      <vt:lpstr>'RES_sv-SE'!mg01s.Groups</vt:lpstr>
      <vt:lpstr>'RES_tr-TR'!mg01s.Groups</vt:lpstr>
      <vt:lpstr>'RES_zh-CN'!mg01s.Groups</vt:lpstr>
      <vt:lpstr>'RES_zh-TW'!mg01s.Groups</vt:lpstr>
      <vt:lpstr>'RES_cs-CZ'!mg01s.Histogram</vt:lpstr>
      <vt:lpstr>'RES_da-DK'!mg01s.Histogram</vt:lpstr>
      <vt:lpstr>'RES_de-DE'!mg01s.Histogram</vt:lpstr>
      <vt:lpstr>'RES_el-GR'!mg01s.Histogram</vt:lpstr>
      <vt:lpstr>'RES_en-US'!mg01s.Histogram</vt:lpstr>
      <vt:lpstr>'RES_es-ES'!mg01s.Histogram</vt:lpstr>
      <vt:lpstr>'RES_fi-FI'!mg01s.Histogram</vt:lpstr>
      <vt:lpstr>'RES_fr-FR'!mg01s.Histogram</vt:lpstr>
      <vt:lpstr>'RES_hr-HR'!mg01s.Histogram</vt:lpstr>
      <vt:lpstr>'RES_hu-HU'!mg01s.Histogram</vt:lpstr>
      <vt:lpstr>'RES_it-IT'!mg01s.Histogram</vt:lpstr>
      <vt:lpstr>'RES_ja-JP'!mg01s.Histogram</vt:lpstr>
      <vt:lpstr>'RES_ko-KR'!mg01s.Histogram</vt:lpstr>
      <vt:lpstr>'RES_lv-LV'!mg01s.Histogram</vt:lpstr>
      <vt:lpstr>'RES_nb-NO'!mg01s.Histogram</vt:lpstr>
      <vt:lpstr>'RES_nl-NL'!mg01s.Histogram</vt:lpstr>
      <vt:lpstr>'RES_pl-PL'!mg01s.Histogram</vt:lpstr>
      <vt:lpstr>'RES_pt-BR'!mg01s.Histogram</vt:lpstr>
      <vt:lpstr>'RES_pt-PT'!mg01s.Histogram</vt:lpstr>
      <vt:lpstr>'RES_ro-RO'!mg01s.Histogram</vt:lpstr>
      <vt:lpstr>'RES_ru-RU'!mg01s.Histogram</vt:lpstr>
      <vt:lpstr>'RES_sl-SI'!mg01s.Histogram</vt:lpstr>
      <vt:lpstr>'RES_sv-SE'!mg01s.Histogram</vt:lpstr>
      <vt:lpstr>'RES_tr-TR'!mg01s.Histogram</vt:lpstr>
      <vt:lpstr>'RES_zh-CN'!mg01s.Histogram</vt:lpstr>
      <vt:lpstr>'RES_zh-TW'!mg01s.Histogram</vt:lpstr>
      <vt:lpstr>'RES_cs-CZ'!mg01s.Info</vt:lpstr>
      <vt:lpstr>'RES_da-DK'!mg01s.Info</vt:lpstr>
      <vt:lpstr>'RES_de-DE'!mg01s.Info</vt:lpstr>
      <vt:lpstr>'RES_el-GR'!mg01s.Info</vt:lpstr>
      <vt:lpstr>'RES_en-US'!mg01s.Info</vt:lpstr>
      <vt:lpstr>'RES_es-ES'!mg01s.Info</vt:lpstr>
      <vt:lpstr>'RES_fi-FI'!mg01s.Info</vt:lpstr>
      <vt:lpstr>'RES_fr-FR'!mg01s.Info</vt:lpstr>
      <vt:lpstr>'RES_hr-HR'!mg01s.Info</vt:lpstr>
      <vt:lpstr>'RES_hu-HU'!mg01s.Info</vt:lpstr>
      <vt:lpstr>'RES_it-IT'!mg01s.Info</vt:lpstr>
      <vt:lpstr>'RES_ja-JP'!mg01s.Info</vt:lpstr>
      <vt:lpstr>'RES_ko-KR'!mg01s.Info</vt:lpstr>
      <vt:lpstr>'RES_lv-LV'!mg01s.Info</vt:lpstr>
      <vt:lpstr>'RES_nb-NO'!mg01s.Info</vt:lpstr>
      <vt:lpstr>'RES_nl-NL'!mg01s.Info</vt:lpstr>
      <vt:lpstr>'RES_pl-PL'!mg01s.Info</vt:lpstr>
      <vt:lpstr>'RES_pt-BR'!mg01s.Info</vt:lpstr>
      <vt:lpstr>'RES_pt-PT'!mg01s.Info</vt:lpstr>
      <vt:lpstr>'RES_ro-RO'!mg01s.Info</vt:lpstr>
      <vt:lpstr>'RES_ru-RU'!mg01s.Info</vt:lpstr>
      <vt:lpstr>'RES_sl-SI'!mg01s.Info</vt:lpstr>
      <vt:lpstr>'RES_sv-SE'!mg01s.Info</vt:lpstr>
      <vt:lpstr>'RES_tr-TR'!mg01s.Info</vt:lpstr>
      <vt:lpstr>'RES_zh-CN'!mg01s.Info</vt:lpstr>
      <vt:lpstr>'RES_zh-TW'!mg01s.Info</vt:lpstr>
      <vt:lpstr>'RES_cs-CZ'!mg01s.Interaction</vt:lpstr>
      <vt:lpstr>'RES_da-DK'!mg01s.Interaction</vt:lpstr>
      <vt:lpstr>'RES_de-DE'!mg01s.Interaction</vt:lpstr>
      <vt:lpstr>'RES_el-GR'!mg01s.Interaction</vt:lpstr>
      <vt:lpstr>'RES_en-US'!mg01s.Interaction</vt:lpstr>
      <vt:lpstr>'RES_es-ES'!mg01s.Interaction</vt:lpstr>
      <vt:lpstr>'RES_fi-FI'!mg01s.Interaction</vt:lpstr>
      <vt:lpstr>'RES_fr-FR'!mg01s.Interaction</vt:lpstr>
      <vt:lpstr>'RES_hr-HR'!mg01s.Interaction</vt:lpstr>
      <vt:lpstr>'RES_hu-HU'!mg01s.Interaction</vt:lpstr>
      <vt:lpstr>'RES_it-IT'!mg01s.Interaction</vt:lpstr>
      <vt:lpstr>'RES_ja-JP'!mg01s.Interaction</vt:lpstr>
      <vt:lpstr>'RES_ko-KR'!mg01s.Interaction</vt:lpstr>
      <vt:lpstr>'RES_lv-LV'!mg01s.Interaction</vt:lpstr>
      <vt:lpstr>'RES_nb-NO'!mg01s.Interaction</vt:lpstr>
      <vt:lpstr>'RES_nl-NL'!mg01s.Interaction</vt:lpstr>
      <vt:lpstr>'RES_pl-PL'!mg01s.Interaction</vt:lpstr>
      <vt:lpstr>'RES_pt-BR'!mg01s.Interaction</vt:lpstr>
      <vt:lpstr>'RES_pt-PT'!mg01s.Interaction</vt:lpstr>
      <vt:lpstr>'RES_ro-RO'!mg01s.Interaction</vt:lpstr>
      <vt:lpstr>'RES_ru-RU'!mg01s.Interaction</vt:lpstr>
      <vt:lpstr>'RES_sl-SI'!mg01s.Interaction</vt:lpstr>
      <vt:lpstr>'RES_sv-SE'!mg01s.Interaction</vt:lpstr>
      <vt:lpstr>'RES_tr-TR'!mg01s.Interaction</vt:lpstr>
      <vt:lpstr>'RES_zh-CN'!mg01s.Interaction</vt:lpstr>
      <vt:lpstr>'RES_zh-TW'!mg01s.Interaction</vt:lpstr>
      <vt:lpstr>'RES_cs-CZ'!mg01s.Intercept</vt:lpstr>
      <vt:lpstr>'RES_da-DK'!mg01s.Intercept</vt:lpstr>
      <vt:lpstr>'RES_de-DE'!mg01s.Intercept</vt:lpstr>
      <vt:lpstr>'RES_el-GR'!mg01s.Intercept</vt:lpstr>
      <vt:lpstr>'RES_en-US'!mg01s.Intercept</vt:lpstr>
      <vt:lpstr>'RES_es-ES'!mg01s.Intercept</vt:lpstr>
      <vt:lpstr>'RES_fi-FI'!mg01s.Intercept</vt:lpstr>
      <vt:lpstr>'RES_fr-FR'!mg01s.Intercept</vt:lpstr>
      <vt:lpstr>'RES_hr-HR'!mg01s.Intercept</vt:lpstr>
      <vt:lpstr>'RES_hu-HU'!mg01s.Intercept</vt:lpstr>
      <vt:lpstr>'RES_it-IT'!mg01s.Intercept</vt:lpstr>
      <vt:lpstr>'RES_ja-JP'!mg01s.Intercept</vt:lpstr>
      <vt:lpstr>'RES_ko-KR'!mg01s.Intercept</vt:lpstr>
      <vt:lpstr>'RES_lv-LV'!mg01s.Intercept</vt:lpstr>
      <vt:lpstr>'RES_nb-NO'!mg01s.Intercept</vt:lpstr>
      <vt:lpstr>'RES_nl-NL'!mg01s.Intercept</vt:lpstr>
      <vt:lpstr>'RES_pl-PL'!mg01s.Intercept</vt:lpstr>
      <vt:lpstr>'RES_pt-BR'!mg01s.Intercept</vt:lpstr>
      <vt:lpstr>'RES_pt-PT'!mg01s.Intercept</vt:lpstr>
      <vt:lpstr>'RES_ro-RO'!mg01s.Intercept</vt:lpstr>
      <vt:lpstr>'RES_ru-RU'!mg01s.Intercept</vt:lpstr>
      <vt:lpstr>'RES_sl-SI'!mg01s.Intercept</vt:lpstr>
      <vt:lpstr>'RES_sv-SE'!mg01s.Intercept</vt:lpstr>
      <vt:lpstr>'RES_tr-TR'!mg01s.Intercept</vt:lpstr>
      <vt:lpstr>'RES_zh-CN'!mg01s.Intercept</vt:lpstr>
      <vt:lpstr>'RES_zh-TW'!mg01s.Intercept</vt:lpstr>
      <vt:lpstr>'RES_cs-CZ'!mg01s.KnownVar</vt:lpstr>
      <vt:lpstr>'RES_da-DK'!mg01s.KnownVar</vt:lpstr>
      <vt:lpstr>'RES_de-DE'!mg01s.KnownVar</vt:lpstr>
      <vt:lpstr>'RES_el-GR'!mg01s.KnownVar</vt:lpstr>
      <vt:lpstr>'RES_en-US'!mg01s.KnownVar</vt:lpstr>
      <vt:lpstr>'RES_es-ES'!mg01s.KnownVar</vt:lpstr>
      <vt:lpstr>'RES_fi-FI'!mg01s.KnownVar</vt:lpstr>
      <vt:lpstr>'RES_fr-FR'!mg01s.KnownVar</vt:lpstr>
      <vt:lpstr>'RES_hr-HR'!mg01s.KnownVar</vt:lpstr>
      <vt:lpstr>'RES_hu-HU'!mg01s.KnownVar</vt:lpstr>
      <vt:lpstr>'RES_it-IT'!mg01s.KnownVar</vt:lpstr>
      <vt:lpstr>'RES_ja-JP'!mg01s.KnownVar</vt:lpstr>
      <vt:lpstr>'RES_ko-KR'!mg01s.KnownVar</vt:lpstr>
      <vt:lpstr>'RES_lv-LV'!mg01s.KnownVar</vt:lpstr>
      <vt:lpstr>'RES_nb-NO'!mg01s.KnownVar</vt:lpstr>
      <vt:lpstr>'RES_nl-NL'!mg01s.KnownVar</vt:lpstr>
      <vt:lpstr>'RES_pl-PL'!mg01s.KnownVar</vt:lpstr>
      <vt:lpstr>'RES_pt-BR'!mg01s.KnownVar</vt:lpstr>
      <vt:lpstr>'RES_pt-PT'!mg01s.KnownVar</vt:lpstr>
      <vt:lpstr>'RES_ro-RO'!mg01s.KnownVar</vt:lpstr>
      <vt:lpstr>'RES_ru-RU'!mg01s.KnownVar</vt:lpstr>
      <vt:lpstr>'RES_sl-SI'!mg01s.KnownVar</vt:lpstr>
      <vt:lpstr>'RES_sv-SE'!mg01s.KnownVar</vt:lpstr>
      <vt:lpstr>'RES_tr-TR'!mg01s.KnownVar</vt:lpstr>
      <vt:lpstr>'RES_zh-CN'!mg01s.KnownVar</vt:lpstr>
      <vt:lpstr>'RES_zh-TW'!mg01s.KnownVar</vt:lpstr>
      <vt:lpstr>'RES_cs-CZ'!mg01s.Kurtosis</vt:lpstr>
      <vt:lpstr>'RES_da-DK'!mg01s.Kurtosis</vt:lpstr>
      <vt:lpstr>'RES_de-DE'!mg01s.Kurtosis</vt:lpstr>
      <vt:lpstr>'RES_el-GR'!mg01s.Kurtosis</vt:lpstr>
      <vt:lpstr>'RES_en-US'!mg01s.Kurtosis</vt:lpstr>
      <vt:lpstr>'RES_es-ES'!mg01s.Kurtosis</vt:lpstr>
      <vt:lpstr>'RES_fi-FI'!mg01s.Kurtosis</vt:lpstr>
      <vt:lpstr>'RES_fr-FR'!mg01s.Kurtosis</vt:lpstr>
      <vt:lpstr>'RES_hr-HR'!mg01s.Kurtosis</vt:lpstr>
      <vt:lpstr>'RES_hu-HU'!mg01s.Kurtosis</vt:lpstr>
      <vt:lpstr>'RES_it-IT'!mg01s.Kurtosis</vt:lpstr>
      <vt:lpstr>'RES_ja-JP'!mg01s.Kurtosis</vt:lpstr>
      <vt:lpstr>'RES_ko-KR'!mg01s.Kurtosis</vt:lpstr>
      <vt:lpstr>'RES_lv-LV'!mg01s.Kurtosis</vt:lpstr>
      <vt:lpstr>'RES_nb-NO'!mg01s.Kurtosis</vt:lpstr>
      <vt:lpstr>'RES_nl-NL'!mg01s.Kurtosis</vt:lpstr>
      <vt:lpstr>'RES_pl-PL'!mg01s.Kurtosis</vt:lpstr>
      <vt:lpstr>'RES_pt-BR'!mg01s.Kurtosis</vt:lpstr>
      <vt:lpstr>'RES_pt-PT'!mg01s.Kurtosis</vt:lpstr>
      <vt:lpstr>'RES_ro-RO'!mg01s.Kurtosis</vt:lpstr>
      <vt:lpstr>'RES_ru-RU'!mg01s.Kurtosis</vt:lpstr>
      <vt:lpstr>'RES_sl-SI'!mg01s.Kurtosis</vt:lpstr>
      <vt:lpstr>'RES_sv-SE'!mg01s.Kurtosis</vt:lpstr>
      <vt:lpstr>'RES_tr-TR'!mg01s.Kurtosis</vt:lpstr>
      <vt:lpstr>'RES_zh-CN'!mg01s.Kurtosis</vt:lpstr>
      <vt:lpstr>'RES_zh-TW'!mg01s.Kurtosis</vt:lpstr>
      <vt:lpstr>'RES_cs-CZ'!mg01s.Largest</vt:lpstr>
      <vt:lpstr>'RES_da-DK'!mg01s.Largest</vt:lpstr>
      <vt:lpstr>'RES_de-DE'!mg01s.Largest</vt:lpstr>
      <vt:lpstr>'RES_el-GR'!mg01s.Largest</vt:lpstr>
      <vt:lpstr>'RES_en-US'!mg01s.Largest</vt:lpstr>
      <vt:lpstr>'RES_es-ES'!mg01s.Largest</vt:lpstr>
      <vt:lpstr>'RES_fi-FI'!mg01s.Largest</vt:lpstr>
      <vt:lpstr>'RES_fr-FR'!mg01s.Largest</vt:lpstr>
      <vt:lpstr>'RES_hr-HR'!mg01s.Largest</vt:lpstr>
      <vt:lpstr>'RES_hu-HU'!mg01s.Largest</vt:lpstr>
      <vt:lpstr>'RES_it-IT'!mg01s.Largest</vt:lpstr>
      <vt:lpstr>'RES_ja-JP'!mg01s.Largest</vt:lpstr>
      <vt:lpstr>'RES_ko-KR'!mg01s.Largest</vt:lpstr>
      <vt:lpstr>'RES_lv-LV'!mg01s.Largest</vt:lpstr>
      <vt:lpstr>'RES_nb-NO'!mg01s.Largest</vt:lpstr>
      <vt:lpstr>'RES_nl-NL'!mg01s.Largest</vt:lpstr>
      <vt:lpstr>'RES_pl-PL'!mg01s.Largest</vt:lpstr>
      <vt:lpstr>'RES_pt-BR'!mg01s.Largest</vt:lpstr>
      <vt:lpstr>'RES_pt-PT'!mg01s.Largest</vt:lpstr>
      <vt:lpstr>'RES_ro-RO'!mg01s.Largest</vt:lpstr>
      <vt:lpstr>'RES_ru-RU'!mg01s.Largest</vt:lpstr>
      <vt:lpstr>'RES_sl-SI'!mg01s.Largest</vt:lpstr>
      <vt:lpstr>'RES_sv-SE'!mg01s.Largest</vt:lpstr>
      <vt:lpstr>'RES_tr-TR'!mg01s.Largest</vt:lpstr>
      <vt:lpstr>'RES_zh-CN'!mg01s.Largest</vt:lpstr>
      <vt:lpstr>'RES_zh-TW'!mg01s.Largest</vt:lpstr>
      <vt:lpstr>'RES_cs-CZ'!mg01s.LetterCol</vt:lpstr>
      <vt:lpstr>'RES_da-DK'!mg01s.LetterCol</vt:lpstr>
      <vt:lpstr>'RES_de-DE'!mg01s.LetterCol</vt:lpstr>
      <vt:lpstr>'RES_el-GR'!mg01s.LetterCol</vt:lpstr>
      <vt:lpstr>'RES_en-US'!mg01s.LetterCol</vt:lpstr>
      <vt:lpstr>'RES_es-ES'!mg01s.LetterCol</vt:lpstr>
      <vt:lpstr>'RES_fi-FI'!mg01s.LetterCol</vt:lpstr>
      <vt:lpstr>'RES_fr-FR'!mg01s.LetterCol</vt:lpstr>
      <vt:lpstr>'RES_hr-HR'!mg01s.LetterCol</vt:lpstr>
      <vt:lpstr>'RES_hu-HU'!mg01s.LetterCol</vt:lpstr>
      <vt:lpstr>'RES_it-IT'!mg01s.LetterCol</vt:lpstr>
      <vt:lpstr>'RES_ja-JP'!mg01s.LetterCol</vt:lpstr>
      <vt:lpstr>'RES_ko-KR'!mg01s.LetterCol</vt:lpstr>
      <vt:lpstr>'RES_lv-LV'!mg01s.LetterCol</vt:lpstr>
      <vt:lpstr>'RES_nb-NO'!mg01s.LetterCol</vt:lpstr>
      <vt:lpstr>'RES_nl-NL'!mg01s.LetterCol</vt:lpstr>
      <vt:lpstr>'RES_pl-PL'!mg01s.LetterCol</vt:lpstr>
      <vt:lpstr>'RES_pt-BR'!mg01s.LetterCol</vt:lpstr>
      <vt:lpstr>'RES_pt-PT'!mg01s.LetterCol</vt:lpstr>
      <vt:lpstr>'RES_ro-RO'!mg01s.LetterCol</vt:lpstr>
      <vt:lpstr>'RES_ru-RU'!mg01s.LetterCol</vt:lpstr>
      <vt:lpstr>'RES_sl-SI'!mg01s.LetterCol</vt:lpstr>
      <vt:lpstr>'RES_sv-SE'!mg01s.LetterCol</vt:lpstr>
      <vt:lpstr>'RES_tr-TR'!mg01s.LetterCol</vt:lpstr>
      <vt:lpstr>'RES_zh-CN'!mg01s.LetterCol</vt:lpstr>
      <vt:lpstr>'RES_zh-TW'!mg01s.LetterCol</vt:lpstr>
      <vt:lpstr>'RES_cs-CZ'!mg01s.LetterRow</vt:lpstr>
      <vt:lpstr>'RES_da-DK'!mg01s.LetterRow</vt:lpstr>
      <vt:lpstr>'RES_de-DE'!mg01s.LetterRow</vt:lpstr>
      <vt:lpstr>'RES_el-GR'!mg01s.LetterRow</vt:lpstr>
      <vt:lpstr>'RES_en-US'!mg01s.LetterRow</vt:lpstr>
      <vt:lpstr>'RES_es-ES'!mg01s.LetterRow</vt:lpstr>
      <vt:lpstr>'RES_fi-FI'!mg01s.LetterRow</vt:lpstr>
      <vt:lpstr>'RES_fr-FR'!mg01s.LetterRow</vt:lpstr>
      <vt:lpstr>'RES_hr-HR'!mg01s.LetterRow</vt:lpstr>
      <vt:lpstr>'RES_hu-HU'!mg01s.LetterRow</vt:lpstr>
      <vt:lpstr>'RES_it-IT'!mg01s.LetterRow</vt:lpstr>
      <vt:lpstr>'RES_ja-JP'!mg01s.LetterRow</vt:lpstr>
      <vt:lpstr>'RES_ko-KR'!mg01s.LetterRow</vt:lpstr>
      <vt:lpstr>'RES_lv-LV'!mg01s.LetterRow</vt:lpstr>
      <vt:lpstr>'RES_nb-NO'!mg01s.LetterRow</vt:lpstr>
      <vt:lpstr>'RES_nl-NL'!mg01s.LetterRow</vt:lpstr>
      <vt:lpstr>'RES_pl-PL'!mg01s.LetterRow</vt:lpstr>
      <vt:lpstr>'RES_pt-BR'!mg01s.LetterRow</vt:lpstr>
      <vt:lpstr>'RES_pt-PT'!mg01s.LetterRow</vt:lpstr>
      <vt:lpstr>'RES_ro-RO'!mg01s.LetterRow</vt:lpstr>
      <vt:lpstr>'RES_ru-RU'!mg01s.LetterRow</vt:lpstr>
      <vt:lpstr>'RES_sl-SI'!mg01s.LetterRow</vt:lpstr>
      <vt:lpstr>'RES_sv-SE'!mg01s.LetterRow</vt:lpstr>
      <vt:lpstr>'RES_tr-TR'!mg01s.LetterRow</vt:lpstr>
      <vt:lpstr>'RES_zh-CN'!mg01s.LetterRow</vt:lpstr>
      <vt:lpstr>'RES_zh-TW'!mg01s.LetterRow</vt:lpstr>
      <vt:lpstr>'RES_cs-CZ'!mg01s.LineFitChartTitle</vt:lpstr>
      <vt:lpstr>'RES_da-DK'!mg01s.LineFitChartTitle</vt:lpstr>
      <vt:lpstr>'RES_de-DE'!mg01s.LineFitChartTitle</vt:lpstr>
      <vt:lpstr>'RES_el-GR'!mg01s.LineFitChartTitle</vt:lpstr>
      <vt:lpstr>'RES_en-US'!mg01s.LineFitChartTitle</vt:lpstr>
      <vt:lpstr>'RES_es-ES'!mg01s.LineFitChartTitle</vt:lpstr>
      <vt:lpstr>'RES_fi-FI'!mg01s.LineFitChartTitle</vt:lpstr>
      <vt:lpstr>'RES_fr-FR'!mg01s.LineFitChartTitle</vt:lpstr>
      <vt:lpstr>'RES_hr-HR'!mg01s.LineFitChartTitle</vt:lpstr>
      <vt:lpstr>'RES_hu-HU'!mg01s.LineFitChartTitle</vt:lpstr>
      <vt:lpstr>'RES_it-IT'!mg01s.LineFitChartTitle</vt:lpstr>
      <vt:lpstr>'RES_ja-JP'!mg01s.LineFitChartTitle</vt:lpstr>
      <vt:lpstr>'RES_ko-KR'!mg01s.LineFitChartTitle</vt:lpstr>
      <vt:lpstr>'RES_lv-LV'!mg01s.LineFitChartTitle</vt:lpstr>
      <vt:lpstr>'RES_nb-NO'!mg01s.LineFitChartTitle</vt:lpstr>
      <vt:lpstr>'RES_nl-NL'!mg01s.LineFitChartTitle</vt:lpstr>
      <vt:lpstr>'RES_pl-PL'!mg01s.LineFitChartTitle</vt:lpstr>
      <vt:lpstr>'RES_pt-BR'!mg01s.LineFitChartTitle</vt:lpstr>
      <vt:lpstr>'RES_pt-PT'!mg01s.LineFitChartTitle</vt:lpstr>
      <vt:lpstr>'RES_ro-RO'!mg01s.LineFitChartTitle</vt:lpstr>
      <vt:lpstr>'RES_ru-RU'!mg01s.LineFitChartTitle</vt:lpstr>
      <vt:lpstr>'RES_sl-SI'!mg01s.LineFitChartTitle</vt:lpstr>
      <vt:lpstr>'RES_sv-SE'!mg01s.LineFitChartTitle</vt:lpstr>
      <vt:lpstr>'RES_tr-TR'!mg01s.LineFitChartTitle</vt:lpstr>
      <vt:lpstr>'RES_zh-CN'!mg01s.LineFitChartTitle</vt:lpstr>
      <vt:lpstr>'RES_zh-TW'!mg01s.LineFitChartTitle</vt:lpstr>
      <vt:lpstr>'RES_cs-CZ'!mg01s.Lower</vt:lpstr>
      <vt:lpstr>'RES_da-DK'!mg01s.Lower</vt:lpstr>
      <vt:lpstr>'RES_de-DE'!mg01s.Lower</vt:lpstr>
      <vt:lpstr>'RES_el-GR'!mg01s.Lower</vt:lpstr>
      <vt:lpstr>'RES_en-US'!mg01s.Lower</vt:lpstr>
      <vt:lpstr>'RES_es-ES'!mg01s.Lower</vt:lpstr>
      <vt:lpstr>'RES_fi-FI'!mg01s.Lower</vt:lpstr>
      <vt:lpstr>'RES_fr-FR'!mg01s.Lower</vt:lpstr>
      <vt:lpstr>'RES_hr-HR'!mg01s.Lower</vt:lpstr>
      <vt:lpstr>'RES_hu-HU'!mg01s.Lower</vt:lpstr>
      <vt:lpstr>'RES_it-IT'!mg01s.Lower</vt:lpstr>
      <vt:lpstr>'RES_ja-JP'!mg01s.Lower</vt:lpstr>
      <vt:lpstr>'RES_ko-KR'!mg01s.Lower</vt:lpstr>
      <vt:lpstr>'RES_lv-LV'!mg01s.Lower</vt:lpstr>
      <vt:lpstr>'RES_nb-NO'!mg01s.Lower</vt:lpstr>
      <vt:lpstr>'RES_nl-NL'!mg01s.Lower</vt:lpstr>
      <vt:lpstr>'RES_pl-PL'!mg01s.Lower</vt:lpstr>
      <vt:lpstr>'RES_pt-BR'!mg01s.Lower</vt:lpstr>
      <vt:lpstr>'RES_pt-PT'!mg01s.Lower</vt:lpstr>
      <vt:lpstr>'RES_ro-RO'!mg01s.Lower</vt:lpstr>
      <vt:lpstr>'RES_ru-RU'!mg01s.Lower</vt:lpstr>
      <vt:lpstr>'RES_sl-SI'!mg01s.Lower</vt:lpstr>
      <vt:lpstr>'RES_sv-SE'!mg01s.Lower</vt:lpstr>
      <vt:lpstr>'RES_tr-TR'!mg01s.Lower</vt:lpstr>
      <vt:lpstr>'RES_zh-CN'!mg01s.Lower</vt:lpstr>
      <vt:lpstr>'RES_zh-TW'!mg01s.Lower</vt:lpstr>
      <vt:lpstr>'RES_cs-CZ'!mg01s.Lower95</vt:lpstr>
      <vt:lpstr>'RES_da-DK'!mg01s.Lower95</vt:lpstr>
      <vt:lpstr>'RES_de-DE'!mg01s.Lower95</vt:lpstr>
      <vt:lpstr>'RES_el-GR'!mg01s.Lower95</vt:lpstr>
      <vt:lpstr>'RES_en-US'!mg01s.Lower95</vt:lpstr>
      <vt:lpstr>'RES_es-ES'!mg01s.Lower95</vt:lpstr>
      <vt:lpstr>'RES_fi-FI'!mg01s.Lower95</vt:lpstr>
      <vt:lpstr>'RES_fr-FR'!mg01s.Lower95</vt:lpstr>
      <vt:lpstr>'RES_hr-HR'!mg01s.Lower95</vt:lpstr>
      <vt:lpstr>'RES_hu-HU'!mg01s.Lower95</vt:lpstr>
      <vt:lpstr>'RES_it-IT'!mg01s.Lower95</vt:lpstr>
      <vt:lpstr>'RES_ja-JP'!mg01s.Lower95</vt:lpstr>
      <vt:lpstr>'RES_ko-KR'!mg01s.Lower95</vt:lpstr>
      <vt:lpstr>'RES_lv-LV'!mg01s.Lower95</vt:lpstr>
      <vt:lpstr>'RES_nb-NO'!mg01s.Lower95</vt:lpstr>
      <vt:lpstr>'RES_nl-NL'!mg01s.Lower95</vt:lpstr>
      <vt:lpstr>'RES_pl-PL'!mg01s.Lower95</vt:lpstr>
      <vt:lpstr>'RES_pt-BR'!mg01s.Lower95</vt:lpstr>
      <vt:lpstr>'RES_pt-PT'!mg01s.Lower95</vt:lpstr>
      <vt:lpstr>'RES_ro-RO'!mg01s.Lower95</vt:lpstr>
      <vt:lpstr>'RES_ru-RU'!mg01s.Lower95</vt:lpstr>
      <vt:lpstr>'RES_sl-SI'!mg01s.Lower95</vt:lpstr>
      <vt:lpstr>'RES_sv-SE'!mg01s.Lower95</vt:lpstr>
      <vt:lpstr>'RES_tr-TR'!mg01s.Lower95</vt:lpstr>
      <vt:lpstr>'RES_zh-CN'!mg01s.Lower95</vt:lpstr>
      <vt:lpstr>'RES_zh-TW'!mg01s.Lower95</vt:lpstr>
      <vt:lpstr>'RES_cs-CZ'!mg01s.Math</vt:lpstr>
      <vt:lpstr>'RES_da-DK'!mg01s.Math</vt:lpstr>
      <vt:lpstr>'RES_de-DE'!mg01s.Math</vt:lpstr>
      <vt:lpstr>'RES_el-GR'!mg01s.Math</vt:lpstr>
      <vt:lpstr>'RES_en-US'!mg01s.Math</vt:lpstr>
      <vt:lpstr>'RES_es-ES'!mg01s.Math</vt:lpstr>
      <vt:lpstr>'RES_fi-FI'!mg01s.Math</vt:lpstr>
      <vt:lpstr>'RES_fr-FR'!mg01s.Math</vt:lpstr>
      <vt:lpstr>'RES_hr-HR'!mg01s.Math</vt:lpstr>
      <vt:lpstr>'RES_hu-HU'!mg01s.Math</vt:lpstr>
      <vt:lpstr>'RES_it-IT'!mg01s.Math</vt:lpstr>
      <vt:lpstr>'RES_ja-JP'!mg01s.Math</vt:lpstr>
      <vt:lpstr>'RES_ko-KR'!mg01s.Math</vt:lpstr>
      <vt:lpstr>'RES_lv-LV'!mg01s.Math</vt:lpstr>
      <vt:lpstr>'RES_nb-NO'!mg01s.Math</vt:lpstr>
      <vt:lpstr>'RES_nl-NL'!mg01s.Math</vt:lpstr>
      <vt:lpstr>'RES_pl-PL'!mg01s.Math</vt:lpstr>
      <vt:lpstr>'RES_pt-BR'!mg01s.Math</vt:lpstr>
      <vt:lpstr>'RES_pt-PT'!mg01s.Math</vt:lpstr>
      <vt:lpstr>'RES_ro-RO'!mg01s.Math</vt:lpstr>
      <vt:lpstr>'RES_ru-RU'!mg01s.Math</vt:lpstr>
      <vt:lpstr>'RES_sl-SI'!mg01s.Math</vt:lpstr>
      <vt:lpstr>'RES_sv-SE'!mg01s.Math</vt:lpstr>
      <vt:lpstr>'RES_tr-TR'!mg01s.Math</vt:lpstr>
      <vt:lpstr>'RES_zh-CN'!mg01s.Math</vt:lpstr>
      <vt:lpstr>'RES_zh-TW'!mg01s.Math</vt:lpstr>
      <vt:lpstr>'RES_cs-CZ'!mg01s.Max</vt:lpstr>
      <vt:lpstr>'RES_da-DK'!mg01s.Max</vt:lpstr>
      <vt:lpstr>'RES_de-DE'!mg01s.Max</vt:lpstr>
      <vt:lpstr>'RES_el-GR'!mg01s.Max</vt:lpstr>
      <vt:lpstr>'RES_en-US'!mg01s.Max</vt:lpstr>
      <vt:lpstr>'RES_es-ES'!mg01s.Max</vt:lpstr>
      <vt:lpstr>'RES_fi-FI'!mg01s.Max</vt:lpstr>
      <vt:lpstr>'RES_fr-FR'!mg01s.Max</vt:lpstr>
      <vt:lpstr>'RES_hr-HR'!mg01s.Max</vt:lpstr>
      <vt:lpstr>'RES_hu-HU'!mg01s.Max</vt:lpstr>
      <vt:lpstr>'RES_it-IT'!mg01s.Max</vt:lpstr>
      <vt:lpstr>'RES_ja-JP'!mg01s.Max</vt:lpstr>
      <vt:lpstr>'RES_ko-KR'!mg01s.Max</vt:lpstr>
      <vt:lpstr>'RES_lv-LV'!mg01s.Max</vt:lpstr>
      <vt:lpstr>'RES_nb-NO'!mg01s.Max</vt:lpstr>
      <vt:lpstr>'RES_nl-NL'!mg01s.Max</vt:lpstr>
      <vt:lpstr>'RES_pl-PL'!mg01s.Max</vt:lpstr>
      <vt:lpstr>'RES_pt-BR'!mg01s.Max</vt:lpstr>
      <vt:lpstr>'RES_pt-PT'!mg01s.Max</vt:lpstr>
      <vt:lpstr>'RES_ro-RO'!mg01s.Max</vt:lpstr>
      <vt:lpstr>'RES_ru-RU'!mg01s.Max</vt:lpstr>
      <vt:lpstr>'RES_sl-SI'!mg01s.Max</vt:lpstr>
      <vt:lpstr>'RES_sv-SE'!mg01s.Max</vt:lpstr>
      <vt:lpstr>'RES_tr-TR'!mg01s.Max</vt:lpstr>
      <vt:lpstr>'RES_zh-CN'!mg01s.Max</vt:lpstr>
      <vt:lpstr>'RES_zh-TW'!mg01s.Max</vt:lpstr>
      <vt:lpstr>'RES_cs-CZ'!mg01s.Mean</vt:lpstr>
      <vt:lpstr>'RES_da-DK'!mg01s.Mean</vt:lpstr>
      <vt:lpstr>'RES_de-DE'!mg01s.Mean</vt:lpstr>
      <vt:lpstr>'RES_el-GR'!mg01s.Mean</vt:lpstr>
      <vt:lpstr>'RES_en-US'!mg01s.Mean</vt:lpstr>
      <vt:lpstr>'RES_es-ES'!mg01s.Mean</vt:lpstr>
      <vt:lpstr>'RES_fi-FI'!mg01s.Mean</vt:lpstr>
      <vt:lpstr>'RES_fr-FR'!mg01s.Mean</vt:lpstr>
      <vt:lpstr>'RES_hr-HR'!mg01s.Mean</vt:lpstr>
      <vt:lpstr>'RES_hu-HU'!mg01s.Mean</vt:lpstr>
      <vt:lpstr>'RES_it-IT'!mg01s.Mean</vt:lpstr>
      <vt:lpstr>'RES_ja-JP'!mg01s.Mean</vt:lpstr>
      <vt:lpstr>'RES_ko-KR'!mg01s.Mean</vt:lpstr>
      <vt:lpstr>'RES_lv-LV'!mg01s.Mean</vt:lpstr>
      <vt:lpstr>'RES_nb-NO'!mg01s.Mean</vt:lpstr>
      <vt:lpstr>'RES_nl-NL'!mg01s.Mean</vt:lpstr>
      <vt:lpstr>'RES_pl-PL'!mg01s.Mean</vt:lpstr>
      <vt:lpstr>'RES_pt-BR'!mg01s.Mean</vt:lpstr>
      <vt:lpstr>'RES_pt-PT'!mg01s.Mean</vt:lpstr>
      <vt:lpstr>'RES_ro-RO'!mg01s.Mean</vt:lpstr>
      <vt:lpstr>'RES_ru-RU'!mg01s.Mean</vt:lpstr>
      <vt:lpstr>'RES_sl-SI'!mg01s.Mean</vt:lpstr>
      <vt:lpstr>'RES_sv-SE'!mg01s.Mean</vt:lpstr>
      <vt:lpstr>'RES_tr-TR'!mg01s.Mean</vt:lpstr>
      <vt:lpstr>'RES_zh-CN'!mg01s.Mean</vt:lpstr>
      <vt:lpstr>'RES_zh-TW'!mg01s.Mean</vt:lpstr>
      <vt:lpstr>'RES_cs-CZ'!mg01s.MeanDif</vt:lpstr>
      <vt:lpstr>'RES_da-DK'!mg01s.MeanDif</vt:lpstr>
      <vt:lpstr>'RES_de-DE'!mg01s.MeanDif</vt:lpstr>
      <vt:lpstr>'RES_el-GR'!mg01s.MeanDif</vt:lpstr>
      <vt:lpstr>'RES_en-US'!mg01s.MeanDif</vt:lpstr>
      <vt:lpstr>'RES_es-ES'!mg01s.MeanDif</vt:lpstr>
      <vt:lpstr>'RES_fi-FI'!mg01s.MeanDif</vt:lpstr>
      <vt:lpstr>'RES_fr-FR'!mg01s.MeanDif</vt:lpstr>
      <vt:lpstr>'RES_hr-HR'!mg01s.MeanDif</vt:lpstr>
      <vt:lpstr>'RES_hu-HU'!mg01s.MeanDif</vt:lpstr>
      <vt:lpstr>'RES_it-IT'!mg01s.MeanDif</vt:lpstr>
      <vt:lpstr>'RES_ja-JP'!mg01s.MeanDif</vt:lpstr>
      <vt:lpstr>'RES_ko-KR'!mg01s.MeanDif</vt:lpstr>
      <vt:lpstr>'RES_lv-LV'!mg01s.MeanDif</vt:lpstr>
      <vt:lpstr>'RES_nb-NO'!mg01s.MeanDif</vt:lpstr>
      <vt:lpstr>'RES_nl-NL'!mg01s.MeanDif</vt:lpstr>
      <vt:lpstr>'RES_pl-PL'!mg01s.MeanDif</vt:lpstr>
      <vt:lpstr>'RES_pt-BR'!mg01s.MeanDif</vt:lpstr>
      <vt:lpstr>'RES_pt-PT'!mg01s.MeanDif</vt:lpstr>
      <vt:lpstr>'RES_ro-RO'!mg01s.MeanDif</vt:lpstr>
      <vt:lpstr>'RES_ru-RU'!mg01s.MeanDif</vt:lpstr>
      <vt:lpstr>'RES_sl-SI'!mg01s.MeanDif</vt:lpstr>
      <vt:lpstr>'RES_sv-SE'!mg01s.MeanDif</vt:lpstr>
      <vt:lpstr>'RES_tr-TR'!mg01s.MeanDif</vt:lpstr>
      <vt:lpstr>'RES_zh-CN'!mg01s.MeanDif</vt:lpstr>
      <vt:lpstr>'RES_zh-TW'!mg01s.MeanDif</vt:lpstr>
      <vt:lpstr>'RES_cs-CZ'!mg01s.Median</vt:lpstr>
      <vt:lpstr>'RES_da-DK'!mg01s.Median</vt:lpstr>
      <vt:lpstr>'RES_de-DE'!mg01s.Median</vt:lpstr>
      <vt:lpstr>'RES_el-GR'!mg01s.Median</vt:lpstr>
      <vt:lpstr>'RES_en-US'!mg01s.Median</vt:lpstr>
      <vt:lpstr>'RES_es-ES'!mg01s.Median</vt:lpstr>
      <vt:lpstr>'RES_fi-FI'!mg01s.Median</vt:lpstr>
      <vt:lpstr>'RES_fr-FR'!mg01s.Median</vt:lpstr>
      <vt:lpstr>'RES_hr-HR'!mg01s.Median</vt:lpstr>
      <vt:lpstr>'RES_hu-HU'!mg01s.Median</vt:lpstr>
      <vt:lpstr>'RES_it-IT'!mg01s.Median</vt:lpstr>
      <vt:lpstr>'RES_ja-JP'!mg01s.Median</vt:lpstr>
      <vt:lpstr>'RES_ko-KR'!mg01s.Median</vt:lpstr>
      <vt:lpstr>'RES_lv-LV'!mg01s.Median</vt:lpstr>
      <vt:lpstr>'RES_nb-NO'!mg01s.Median</vt:lpstr>
      <vt:lpstr>'RES_nl-NL'!mg01s.Median</vt:lpstr>
      <vt:lpstr>'RES_pl-PL'!mg01s.Median</vt:lpstr>
      <vt:lpstr>'RES_pt-BR'!mg01s.Median</vt:lpstr>
      <vt:lpstr>'RES_pt-PT'!mg01s.Median</vt:lpstr>
      <vt:lpstr>'RES_ro-RO'!mg01s.Median</vt:lpstr>
      <vt:lpstr>'RES_ru-RU'!mg01s.Median</vt:lpstr>
      <vt:lpstr>'RES_sl-SI'!mg01s.Median</vt:lpstr>
      <vt:lpstr>'RES_sv-SE'!mg01s.Median</vt:lpstr>
      <vt:lpstr>'RES_tr-TR'!mg01s.Median</vt:lpstr>
      <vt:lpstr>'RES_zh-CN'!mg01s.Median</vt:lpstr>
      <vt:lpstr>'RES_zh-TW'!mg01s.Median</vt:lpstr>
      <vt:lpstr>'RES_cs-CZ'!mg01s.Min</vt:lpstr>
      <vt:lpstr>'RES_da-DK'!mg01s.Min</vt:lpstr>
      <vt:lpstr>'RES_de-DE'!mg01s.Min</vt:lpstr>
      <vt:lpstr>'RES_el-GR'!mg01s.Min</vt:lpstr>
      <vt:lpstr>'RES_en-US'!mg01s.Min</vt:lpstr>
      <vt:lpstr>'RES_es-ES'!mg01s.Min</vt:lpstr>
      <vt:lpstr>'RES_fi-FI'!mg01s.Min</vt:lpstr>
      <vt:lpstr>'RES_fr-FR'!mg01s.Min</vt:lpstr>
      <vt:lpstr>'RES_hr-HR'!mg01s.Min</vt:lpstr>
      <vt:lpstr>'RES_hu-HU'!mg01s.Min</vt:lpstr>
      <vt:lpstr>'RES_it-IT'!mg01s.Min</vt:lpstr>
      <vt:lpstr>'RES_ja-JP'!mg01s.Min</vt:lpstr>
      <vt:lpstr>'RES_ko-KR'!mg01s.Min</vt:lpstr>
      <vt:lpstr>'RES_lv-LV'!mg01s.Min</vt:lpstr>
      <vt:lpstr>'RES_nb-NO'!mg01s.Min</vt:lpstr>
      <vt:lpstr>'RES_nl-NL'!mg01s.Min</vt:lpstr>
      <vt:lpstr>'RES_pl-PL'!mg01s.Min</vt:lpstr>
      <vt:lpstr>'RES_pt-BR'!mg01s.Min</vt:lpstr>
      <vt:lpstr>'RES_pt-PT'!mg01s.Min</vt:lpstr>
      <vt:lpstr>'RES_ro-RO'!mg01s.Min</vt:lpstr>
      <vt:lpstr>'RES_ru-RU'!mg01s.Min</vt:lpstr>
      <vt:lpstr>'RES_sl-SI'!mg01s.Min</vt:lpstr>
      <vt:lpstr>'RES_sv-SE'!mg01s.Min</vt:lpstr>
      <vt:lpstr>'RES_tr-TR'!mg01s.Min</vt:lpstr>
      <vt:lpstr>'RES_zh-CN'!mg01s.Min</vt:lpstr>
      <vt:lpstr>'RES_zh-TW'!mg01s.Min</vt:lpstr>
      <vt:lpstr>'RES_cs-CZ'!mg01s.Mode</vt:lpstr>
      <vt:lpstr>'RES_da-DK'!mg01s.Mode</vt:lpstr>
      <vt:lpstr>'RES_de-DE'!mg01s.Mode</vt:lpstr>
      <vt:lpstr>'RES_el-GR'!mg01s.Mode</vt:lpstr>
      <vt:lpstr>'RES_en-US'!mg01s.Mode</vt:lpstr>
      <vt:lpstr>'RES_es-ES'!mg01s.Mode</vt:lpstr>
      <vt:lpstr>'RES_fi-FI'!mg01s.Mode</vt:lpstr>
      <vt:lpstr>'RES_fr-FR'!mg01s.Mode</vt:lpstr>
      <vt:lpstr>'RES_hr-HR'!mg01s.Mode</vt:lpstr>
      <vt:lpstr>'RES_hu-HU'!mg01s.Mode</vt:lpstr>
      <vt:lpstr>'RES_it-IT'!mg01s.Mode</vt:lpstr>
      <vt:lpstr>'RES_ja-JP'!mg01s.Mode</vt:lpstr>
      <vt:lpstr>'RES_ko-KR'!mg01s.Mode</vt:lpstr>
      <vt:lpstr>'RES_lv-LV'!mg01s.Mode</vt:lpstr>
      <vt:lpstr>'RES_nb-NO'!mg01s.Mode</vt:lpstr>
      <vt:lpstr>'RES_nl-NL'!mg01s.Mode</vt:lpstr>
      <vt:lpstr>'RES_pl-PL'!mg01s.Mode</vt:lpstr>
      <vt:lpstr>'RES_pt-BR'!mg01s.Mode</vt:lpstr>
      <vt:lpstr>'RES_pt-PT'!mg01s.Mode</vt:lpstr>
      <vt:lpstr>'RES_ro-RO'!mg01s.Mode</vt:lpstr>
      <vt:lpstr>'RES_ru-RU'!mg01s.Mode</vt:lpstr>
      <vt:lpstr>'RES_sl-SI'!mg01s.Mode</vt:lpstr>
      <vt:lpstr>'RES_sv-SE'!mg01s.Mode</vt:lpstr>
      <vt:lpstr>'RES_tr-TR'!mg01s.Mode</vt:lpstr>
      <vt:lpstr>'RES_zh-CN'!mg01s.Mode</vt:lpstr>
      <vt:lpstr>'RES_zh-TW'!mg01s.Mode</vt:lpstr>
      <vt:lpstr>'RES_cs-CZ'!mg01s.More</vt:lpstr>
      <vt:lpstr>'RES_da-DK'!mg01s.More</vt:lpstr>
      <vt:lpstr>'RES_de-DE'!mg01s.More</vt:lpstr>
      <vt:lpstr>'RES_el-GR'!mg01s.More</vt:lpstr>
      <vt:lpstr>'RES_en-US'!mg01s.More</vt:lpstr>
      <vt:lpstr>'RES_es-ES'!mg01s.More</vt:lpstr>
      <vt:lpstr>'RES_fi-FI'!mg01s.More</vt:lpstr>
      <vt:lpstr>'RES_fr-FR'!mg01s.More</vt:lpstr>
      <vt:lpstr>'RES_hr-HR'!mg01s.More</vt:lpstr>
      <vt:lpstr>'RES_hu-HU'!mg01s.More</vt:lpstr>
      <vt:lpstr>'RES_it-IT'!mg01s.More</vt:lpstr>
      <vt:lpstr>'RES_ja-JP'!mg01s.More</vt:lpstr>
      <vt:lpstr>'RES_ko-KR'!mg01s.More</vt:lpstr>
      <vt:lpstr>'RES_lv-LV'!mg01s.More</vt:lpstr>
      <vt:lpstr>'RES_nb-NO'!mg01s.More</vt:lpstr>
      <vt:lpstr>'RES_nl-NL'!mg01s.More</vt:lpstr>
      <vt:lpstr>'RES_pl-PL'!mg01s.More</vt:lpstr>
      <vt:lpstr>'RES_pt-BR'!mg01s.More</vt:lpstr>
      <vt:lpstr>'RES_pt-PT'!mg01s.More</vt:lpstr>
      <vt:lpstr>'RES_ro-RO'!mg01s.More</vt:lpstr>
      <vt:lpstr>'RES_ru-RU'!mg01s.More</vt:lpstr>
      <vt:lpstr>'RES_sl-SI'!mg01s.More</vt:lpstr>
      <vt:lpstr>'RES_sv-SE'!mg01s.More</vt:lpstr>
      <vt:lpstr>'RES_tr-TR'!mg01s.More</vt:lpstr>
      <vt:lpstr>'RES_zh-CN'!mg01s.More</vt:lpstr>
      <vt:lpstr>'RES_zh-TW'!mg01s.More</vt:lpstr>
      <vt:lpstr>'RES_cs-CZ'!mg01s.MovAvg</vt:lpstr>
      <vt:lpstr>'RES_da-DK'!mg01s.MovAvg</vt:lpstr>
      <vt:lpstr>'RES_de-DE'!mg01s.MovAvg</vt:lpstr>
      <vt:lpstr>'RES_el-GR'!mg01s.MovAvg</vt:lpstr>
      <vt:lpstr>'RES_en-US'!mg01s.MovAvg</vt:lpstr>
      <vt:lpstr>'RES_es-ES'!mg01s.MovAvg</vt:lpstr>
      <vt:lpstr>'RES_fi-FI'!mg01s.MovAvg</vt:lpstr>
      <vt:lpstr>'RES_fr-FR'!mg01s.MovAvg</vt:lpstr>
      <vt:lpstr>'RES_hr-HR'!mg01s.MovAvg</vt:lpstr>
      <vt:lpstr>'RES_hu-HU'!mg01s.MovAvg</vt:lpstr>
      <vt:lpstr>'RES_it-IT'!mg01s.MovAvg</vt:lpstr>
      <vt:lpstr>'RES_ja-JP'!mg01s.MovAvg</vt:lpstr>
      <vt:lpstr>'RES_ko-KR'!mg01s.MovAvg</vt:lpstr>
      <vt:lpstr>'RES_lv-LV'!mg01s.MovAvg</vt:lpstr>
      <vt:lpstr>'RES_nb-NO'!mg01s.MovAvg</vt:lpstr>
      <vt:lpstr>'RES_nl-NL'!mg01s.MovAvg</vt:lpstr>
      <vt:lpstr>'RES_pl-PL'!mg01s.MovAvg</vt:lpstr>
      <vt:lpstr>'RES_pt-BR'!mg01s.MovAvg</vt:lpstr>
      <vt:lpstr>'RES_pt-PT'!mg01s.MovAvg</vt:lpstr>
      <vt:lpstr>'RES_ro-RO'!mg01s.MovAvg</vt:lpstr>
      <vt:lpstr>'RES_ru-RU'!mg01s.MovAvg</vt:lpstr>
      <vt:lpstr>'RES_sl-SI'!mg01s.MovAvg</vt:lpstr>
      <vt:lpstr>'RES_sv-SE'!mg01s.MovAvg</vt:lpstr>
      <vt:lpstr>'RES_tr-TR'!mg01s.MovAvg</vt:lpstr>
      <vt:lpstr>'RES_zh-CN'!mg01s.MovAvg</vt:lpstr>
      <vt:lpstr>'RES_zh-TW'!mg01s.MovAvg</vt:lpstr>
      <vt:lpstr>'RES_cs-CZ'!mg01s.MS</vt:lpstr>
      <vt:lpstr>'RES_da-DK'!mg01s.MS</vt:lpstr>
      <vt:lpstr>'RES_de-DE'!mg01s.MS</vt:lpstr>
      <vt:lpstr>'RES_el-GR'!mg01s.MS</vt:lpstr>
      <vt:lpstr>'RES_en-US'!mg01s.MS</vt:lpstr>
      <vt:lpstr>'RES_es-ES'!mg01s.MS</vt:lpstr>
      <vt:lpstr>'RES_fi-FI'!mg01s.MS</vt:lpstr>
      <vt:lpstr>'RES_fr-FR'!mg01s.MS</vt:lpstr>
      <vt:lpstr>'RES_hr-HR'!mg01s.MS</vt:lpstr>
      <vt:lpstr>'RES_hu-HU'!mg01s.MS</vt:lpstr>
      <vt:lpstr>'RES_it-IT'!mg01s.MS</vt:lpstr>
      <vt:lpstr>'RES_ja-JP'!mg01s.MS</vt:lpstr>
      <vt:lpstr>'RES_ko-KR'!mg01s.MS</vt:lpstr>
      <vt:lpstr>'RES_lv-LV'!mg01s.MS</vt:lpstr>
      <vt:lpstr>'RES_nb-NO'!mg01s.MS</vt:lpstr>
      <vt:lpstr>'RES_nl-NL'!mg01s.MS</vt:lpstr>
      <vt:lpstr>'RES_pl-PL'!mg01s.MS</vt:lpstr>
      <vt:lpstr>'RES_pt-BR'!mg01s.MS</vt:lpstr>
      <vt:lpstr>'RES_pt-PT'!mg01s.MS</vt:lpstr>
      <vt:lpstr>'RES_ro-RO'!mg01s.MS</vt:lpstr>
      <vt:lpstr>'RES_ru-RU'!mg01s.MS</vt:lpstr>
      <vt:lpstr>'RES_sl-SI'!mg01s.MS</vt:lpstr>
      <vt:lpstr>'RES_sv-SE'!mg01s.MS</vt:lpstr>
      <vt:lpstr>'RES_tr-TR'!mg01s.MS</vt:lpstr>
      <vt:lpstr>'RES_zh-CN'!mg01s.MS</vt:lpstr>
      <vt:lpstr>'RES_zh-TW'!mg01s.MS</vt:lpstr>
      <vt:lpstr>'RES_cs-CZ'!mg01s.MultipleR</vt:lpstr>
      <vt:lpstr>'RES_da-DK'!mg01s.MultipleR</vt:lpstr>
      <vt:lpstr>'RES_de-DE'!mg01s.MultipleR</vt:lpstr>
      <vt:lpstr>'RES_el-GR'!mg01s.MultipleR</vt:lpstr>
      <vt:lpstr>'RES_en-US'!mg01s.MultipleR</vt:lpstr>
      <vt:lpstr>'RES_es-ES'!mg01s.MultipleR</vt:lpstr>
      <vt:lpstr>'RES_fi-FI'!mg01s.MultipleR</vt:lpstr>
      <vt:lpstr>'RES_fr-FR'!mg01s.MultipleR</vt:lpstr>
      <vt:lpstr>'RES_hr-HR'!mg01s.MultipleR</vt:lpstr>
      <vt:lpstr>'RES_hu-HU'!mg01s.MultipleR</vt:lpstr>
      <vt:lpstr>'RES_it-IT'!mg01s.MultipleR</vt:lpstr>
      <vt:lpstr>'RES_ja-JP'!mg01s.MultipleR</vt:lpstr>
      <vt:lpstr>'RES_ko-KR'!mg01s.MultipleR</vt:lpstr>
      <vt:lpstr>'RES_lv-LV'!mg01s.MultipleR</vt:lpstr>
      <vt:lpstr>'RES_nb-NO'!mg01s.MultipleR</vt:lpstr>
      <vt:lpstr>'RES_nl-NL'!mg01s.MultipleR</vt:lpstr>
      <vt:lpstr>'RES_pl-PL'!mg01s.MultipleR</vt:lpstr>
      <vt:lpstr>'RES_pt-BR'!mg01s.MultipleR</vt:lpstr>
      <vt:lpstr>'RES_pt-PT'!mg01s.MultipleR</vt:lpstr>
      <vt:lpstr>'RES_ro-RO'!mg01s.MultipleR</vt:lpstr>
      <vt:lpstr>'RES_ru-RU'!mg01s.MultipleR</vt:lpstr>
      <vt:lpstr>'RES_sl-SI'!mg01s.MultipleR</vt:lpstr>
      <vt:lpstr>'RES_sv-SE'!mg01s.MultipleR</vt:lpstr>
      <vt:lpstr>'RES_tr-TR'!mg01s.MultipleR</vt:lpstr>
      <vt:lpstr>'RES_zh-CN'!mg01s.MultipleR</vt:lpstr>
      <vt:lpstr>'RES_zh-TW'!mg01s.MultipleR</vt:lpstr>
      <vt:lpstr>'RES_cs-CZ'!mg01s.Ob</vt:lpstr>
      <vt:lpstr>'RES_da-DK'!mg01s.Ob</vt:lpstr>
      <vt:lpstr>'RES_de-DE'!mg01s.Ob</vt:lpstr>
      <vt:lpstr>'RES_el-GR'!mg01s.Ob</vt:lpstr>
      <vt:lpstr>'RES_en-US'!mg01s.Ob</vt:lpstr>
      <vt:lpstr>'RES_es-ES'!mg01s.Ob</vt:lpstr>
      <vt:lpstr>'RES_fi-FI'!mg01s.Ob</vt:lpstr>
      <vt:lpstr>'RES_fr-FR'!mg01s.Ob</vt:lpstr>
      <vt:lpstr>'RES_hr-HR'!mg01s.Ob</vt:lpstr>
      <vt:lpstr>'RES_hu-HU'!mg01s.Ob</vt:lpstr>
      <vt:lpstr>'RES_it-IT'!mg01s.Ob</vt:lpstr>
      <vt:lpstr>'RES_ja-JP'!mg01s.Ob</vt:lpstr>
      <vt:lpstr>'RES_ko-KR'!mg01s.Ob</vt:lpstr>
      <vt:lpstr>'RES_lv-LV'!mg01s.Ob</vt:lpstr>
      <vt:lpstr>'RES_nb-NO'!mg01s.Ob</vt:lpstr>
      <vt:lpstr>'RES_nl-NL'!mg01s.Ob</vt:lpstr>
      <vt:lpstr>'RES_pl-PL'!mg01s.Ob</vt:lpstr>
      <vt:lpstr>'RES_pt-BR'!mg01s.Ob</vt:lpstr>
      <vt:lpstr>'RES_pt-PT'!mg01s.Ob</vt:lpstr>
      <vt:lpstr>'RES_ro-RO'!mg01s.Ob</vt:lpstr>
      <vt:lpstr>'RES_ru-RU'!mg01s.Ob</vt:lpstr>
      <vt:lpstr>'RES_sl-SI'!mg01s.Ob</vt:lpstr>
      <vt:lpstr>'RES_sv-SE'!mg01s.Ob</vt:lpstr>
      <vt:lpstr>'RES_tr-TR'!mg01s.Ob</vt:lpstr>
      <vt:lpstr>'RES_zh-CN'!mg01s.Ob</vt:lpstr>
      <vt:lpstr>'RES_zh-TW'!mg01s.Ob</vt:lpstr>
      <vt:lpstr>'RES_cs-CZ'!mg01s.Obs</vt:lpstr>
      <vt:lpstr>'RES_da-DK'!mg01s.Obs</vt:lpstr>
      <vt:lpstr>'RES_de-DE'!mg01s.Obs</vt:lpstr>
      <vt:lpstr>'RES_el-GR'!mg01s.Obs</vt:lpstr>
      <vt:lpstr>'RES_en-US'!mg01s.Obs</vt:lpstr>
      <vt:lpstr>'RES_es-ES'!mg01s.Obs</vt:lpstr>
      <vt:lpstr>'RES_fi-FI'!mg01s.Obs</vt:lpstr>
      <vt:lpstr>'RES_fr-FR'!mg01s.Obs</vt:lpstr>
      <vt:lpstr>'RES_hr-HR'!mg01s.Obs</vt:lpstr>
      <vt:lpstr>'RES_hu-HU'!mg01s.Obs</vt:lpstr>
      <vt:lpstr>'RES_it-IT'!mg01s.Obs</vt:lpstr>
      <vt:lpstr>'RES_ja-JP'!mg01s.Obs</vt:lpstr>
      <vt:lpstr>'RES_ko-KR'!mg01s.Obs</vt:lpstr>
      <vt:lpstr>'RES_lv-LV'!mg01s.Obs</vt:lpstr>
      <vt:lpstr>'RES_nb-NO'!mg01s.Obs</vt:lpstr>
      <vt:lpstr>'RES_nl-NL'!mg01s.Obs</vt:lpstr>
      <vt:lpstr>'RES_pl-PL'!mg01s.Obs</vt:lpstr>
      <vt:lpstr>'RES_pt-BR'!mg01s.Obs</vt:lpstr>
      <vt:lpstr>'RES_pt-PT'!mg01s.Obs</vt:lpstr>
      <vt:lpstr>'RES_ro-RO'!mg01s.Obs</vt:lpstr>
      <vt:lpstr>'RES_ru-RU'!mg01s.Obs</vt:lpstr>
      <vt:lpstr>'RES_sl-SI'!mg01s.Obs</vt:lpstr>
      <vt:lpstr>'RES_sv-SE'!mg01s.Obs</vt:lpstr>
      <vt:lpstr>'RES_tr-TR'!mg01s.Obs</vt:lpstr>
      <vt:lpstr>'RES_zh-CN'!mg01s.Obs</vt:lpstr>
      <vt:lpstr>'RES_zh-TW'!mg01s.Obs</vt:lpstr>
      <vt:lpstr>'RES_cs-CZ'!mg01s.PearCorrel</vt:lpstr>
      <vt:lpstr>'RES_da-DK'!mg01s.PearCorrel</vt:lpstr>
      <vt:lpstr>'RES_de-DE'!mg01s.PearCorrel</vt:lpstr>
      <vt:lpstr>'RES_el-GR'!mg01s.PearCorrel</vt:lpstr>
      <vt:lpstr>'RES_en-US'!mg01s.PearCorrel</vt:lpstr>
      <vt:lpstr>'RES_es-ES'!mg01s.PearCorrel</vt:lpstr>
      <vt:lpstr>'RES_fi-FI'!mg01s.PearCorrel</vt:lpstr>
      <vt:lpstr>'RES_fr-FR'!mg01s.PearCorrel</vt:lpstr>
      <vt:lpstr>'RES_hr-HR'!mg01s.PearCorrel</vt:lpstr>
      <vt:lpstr>'RES_hu-HU'!mg01s.PearCorrel</vt:lpstr>
      <vt:lpstr>'RES_it-IT'!mg01s.PearCorrel</vt:lpstr>
      <vt:lpstr>'RES_ja-JP'!mg01s.PearCorrel</vt:lpstr>
      <vt:lpstr>'RES_ko-KR'!mg01s.PearCorrel</vt:lpstr>
      <vt:lpstr>'RES_lv-LV'!mg01s.PearCorrel</vt:lpstr>
      <vt:lpstr>'RES_nb-NO'!mg01s.PearCorrel</vt:lpstr>
      <vt:lpstr>'RES_nl-NL'!mg01s.PearCorrel</vt:lpstr>
      <vt:lpstr>'RES_pl-PL'!mg01s.PearCorrel</vt:lpstr>
      <vt:lpstr>'RES_pt-BR'!mg01s.PearCorrel</vt:lpstr>
      <vt:lpstr>'RES_pt-PT'!mg01s.PearCorrel</vt:lpstr>
      <vt:lpstr>'RES_ro-RO'!mg01s.PearCorrel</vt:lpstr>
      <vt:lpstr>'RES_ru-RU'!mg01s.PearCorrel</vt:lpstr>
      <vt:lpstr>'RES_sl-SI'!mg01s.PearCorrel</vt:lpstr>
      <vt:lpstr>'RES_sv-SE'!mg01s.PearCorrel</vt:lpstr>
      <vt:lpstr>'RES_tr-TR'!mg01s.PearCorrel</vt:lpstr>
      <vt:lpstr>'RES_zh-CN'!mg01s.PearCorrel</vt:lpstr>
      <vt:lpstr>'RES_zh-TW'!mg01s.PearCorrel</vt:lpstr>
      <vt:lpstr>'RES_cs-CZ'!mg01s.Percent</vt:lpstr>
      <vt:lpstr>'RES_da-DK'!mg01s.Percent</vt:lpstr>
      <vt:lpstr>'RES_de-DE'!mg01s.Percent</vt:lpstr>
      <vt:lpstr>'RES_el-GR'!mg01s.Percent</vt:lpstr>
      <vt:lpstr>'RES_en-US'!mg01s.Percent</vt:lpstr>
      <vt:lpstr>'RES_es-ES'!mg01s.Percent</vt:lpstr>
      <vt:lpstr>'RES_fi-FI'!mg01s.Percent</vt:lpstr>
      <vt:lpstr>'RES_fr-FR'!mg01s.Percent</vt:lpstr>
      <vt:lpstr>'RES_hr-HR'!mg01s.Percent</vt:lpstr>
      <vt:lpstr>'RES_hu-HU'!mg01s.Percent</vt:lpstr>
      <vt:lpstr>'RES_it-IT'!mg01s.Percent</vt:lpstr>
      <vt:lpstr>'RES_ja-JP'!mg01s.Percent</vt:lpstr>
      <vt:lpstr>'RES_ko-KR'!mg01s.Percent</vt:lpstr>
      <vt:lpstr>'RES_lv-LV'!mg01s.Percent</vt:lpstr>
      <vt:lpstr>'RES_nb-NO'!mg01s.Percent</vt:lpstr>
      <vt:lpstr>'RES_nl-NL'!mg01s.Percent</vt:lpstr>
      <vt:lpstr>'RES_pl-PL'!mg01s.Percent</vt:lpstr>
      <vt:lpstr>'RES_pt-BR'!mg01s.Percent</vt:lpstr>
      <vt:lpstr>'RES_pt-PT'!mg01s.Percent</vt:lpstr>
      <vt:lpstr>'RES_ro-RO'!mg01s.Percent</vt:lpstr>
      <vt:lpstr>'RES_ru-RU'!mg01s.Percent</vt:lpstr>
      <vt:lpstr>'RES_sl-SI'!mg01s.Percent</vt:lpstr>
      <vt:lpstr>'RES_sv-SE'!mg01s.Percent</vt:lpstr>
      <vt:lpstr>'RES_tr-TR'!mg01s.Percent</vt:lpstr>
      <vt:lpstr>'RES_zh-CN'!mg01s.Percent</vt:lpstr>
      <vt:lpstr>'RES_zh-TW'!mg01s.Percent</vt:lpstr>
      <vt:lpstr>'RES_cs-CZ'!mg01s.Percentile</vt:lpstr>
      <vt:lpstr>'RES_da-DK'!mg01s.Percentile</vt:lpstr>
      <vt:lpstr>'RES_de-DE'!mg01s.Percentile</vt:lpstr>
      <vt:lpstr>'RES_el-GR'!mg01s.Percentile</vt:lpstr>
      <vt:lpstr>'RES_en-US'!mg01s.Percentile</vt:lpstr>
      <vt:lpstr>'RES_es-ES'!mg01s.Percentile</vt:lpstr>
      <vt:lpstr>'RES_fi-FI'!mg01s.Percentile</vt:lpstr>
      <vt:lpstr>'RES_fr-FR'!mg01s.Percentile</vt:lpstr>
      <vt:lpstr>'RES_hr-HR'!mg01s.Percentile</vt:lpstr>
      <vt:lpstr>'RES_hu-HU'!mg01s.Percentile</vt:lpstr>
      <vt:lpstr>'RES_it-IT'!mg01s.Percentile</vt:lpstr>
      <vt:lpstr>'RES_ja-JP'!mg01s.Percentile</vt:lpstr>
      <vt:lpstr>'RES_ko-KR'!mg01s.Percentile</vt:lpstr>
      <vt:lpstr>'RES_lv-LV'!mg01s.Percentile</vt:lpstr>
      <vt:lpstr>'RES_nb-NO'!mg01s.Percentile</vt:lpstr>
      <vt:lpstr>'RES_nl-NL'!mg01s.Percentile</vt:lpstr>
      <vt:lpstr>'RES_pl-PL'!mg01s.Percentile</vt:lpstr>
      <vt:lpstr>'RES_pt-BR'!mg01s.Percentile</vt:lpstr>
      <vt:lpstr>'RES_pt-PT'!mg01s.Percentile</vt:lpstr>
      <vt:lpstr>'RES_ro-RO'!mg01s.Percentile</vt:lpstr>
      <vt:lpstr>'RES_ru-RU'!mg01s.Percentile</vt:lpstr>
      <vt:lpstr>'RES_sl-SI'!mg01s.Percentile</vt:lpstr>
      <vt:lpstr>'RES_sv-SE'!mg01s.Percentile</vt:lpstr>
      <vt:lpstr>'RES_tr-TR'!mg01s.Percentile</vt:lpstr>
      <vt:lpstr>'RES_zh-CN'!mg01s.Percentile</vt:lpstr>
      <vt:lpstr>'RES_zh-TW'!mg01s.Percentile</vt:lpstr>
      <vt:lpstr>'RES_cs-CZ'!mg01s.Point</vt:lpstr>
      <vt:lpstr>'RES_da-DK'!mg01s.Point</vt:lpstr>
      <vt:lpstr>'RES_de-DE'!mg01s.Point</vt:lpstr>
      <vt:lpstr>'RES_el-GR'!mg01s.Point</vt:lpstr>
      <vt:lpstr>'RES_en-US'!mg01s.Point</vt:lpstr>
      <vt:lpstr>'RES_es-ES'!mg01s.Point</vt:lpstr>
      <vt:lpstr>'RES_fi-FI'!mg01s.Point</vt:lpstr>
      <vt:lpstr>'RES_fr-FR'!mg01s.Point</vt:lpstr>
      <vt:lpstr>'RES_hr-HR'!mg01s.Point</vt:lpstr>
      <vt:lpstr>'RES_hu-HU'!mg01s.Point</vt:lpstr>
      <vt:lpstr>'RES_it-IT'!mg01s.Point</vt:lpstr>
      <vt:lpstr>'RES_ja-JP'!mg01s.Point</vt:lpstr>
      <vt:lpstr>'RES_ko-KR'!mg01s.Point</vt:lpstr>
      <vt:lpstr>'RES_lv-LV'!mg01s.Point</vt:lpstr>
      <vt:lpstr>'RES_nb-NO'!mg01s.Point</vt:lpstr>
      <vt:lpstr>'RES_nl-NL'!mg01s.Point</vt:lpstr>
      <vt:lpstr>'RES_pl-PL'!mg01s.Point</vt:lpstr>
      <vt:lpstr>'RES_pt-BR'!mg01s.Point</vt:lpstr>
      <vt:lpstr>'RES_pt-PT'!mg01s.Point</vt:lpstr>
      <vt:lpstr>'RES_ro-RO'!mg01s.Point</vt:lpstr>
      <vt:lpstr>'RES_ru-RU'!mg01s.Point</vt:lpstr>
      <vt:lpstr>'RES_sl-SI'!mg01s.Point</vt:lpstr>
      <vt:lpstr>'RES_sv-SE'!mg01s.Point</vt:lpstr>
      <vt:lpstr>'RES_tr-TR'!mg01s.Point</vt:lpstr>
      <vt:lpstr>'RES_zh-CN'!mg01s.Point</vt:lpstr>
      <vt:lpstr>'RES_zh-TW'!mg01s.Point</vt:lpstr>
      <vt:lpstr>'RES_cs-CZ'!mg01s.PoolVar</vt:lpstr>
      <vt:lpstr>'RES_da-DK'!mg01s.PoolVar</vt:lpstr>
      <vt:lpstr>'RES_de-DE'!mg01s.PoolVar</vt:lpstr>
      <vt:lpstr>'RES_el-GR'!mg01s.PoolVar</vt:lpstr>
      <vt:lpstr>'RES_en-US'!mg01s.PoolVar</vt:lpstr>
      <vt:lpstr>'RES_es-ES'!mg01s.PoolVar</vt:lpstr>
      <vt:lpstr>'RES_fi-FI'!mg01s.PoolVar</vt:lpstr>
      <vt:lpstr>'RES_fr-FR'!mg01s.PoolVar</vt:lpstr>
      <vt:lpstr>'RES_hr-HR'!mg01s.PoolVar</vt:lpstr>
      <vt:lpstr>'RES_hu-HU'!mg01s.PoolVar</vt:lpstr>
      <vt:lpstr>'RES_it-IT'!mg01s.PoolVar</vt:lpstr>
      <vt:lpstr>'RES_ja-JP'!mg01s.PoolVar</vt:lpstr>
      <vt:lpstr>'RES_ko-KR'!mg01s.PoolVar</vt:lpstr>
      <vt:lpstr>'RES_lv-LV'!mg01s.PoolVar</vt:lpstr>
      <vt:lpstr>'RES_nb-NO'!mg01s.PoolVar</vt:lpstr>
      <vt:lpstr>'RES_nl-NL'!mg01s.PoolVar</vt:lpstr>
      <vt:lpstr>'RES_pl-PL'!mg01s.PoolVar</vt:lpstr>
      <vt:lpstr>'RES_pt-BR'!mg01s.PoolVar</vt:lpstr>
      <vt:lpstr>'RES_pt-PT'!mg01s.PoolVar</vt:lpstr>
      <vt:lpstr>'RES_ro-RO'!mg01s.PoolVar</vt:lpstr>
      <vt:lpstr>'RES_ru-RU'!mg01s.PoolVar</vt:lpstr>
      <vt:lpstr>'RES_sl-SI'!mg01s.PoolVar</vt:lpstr>
      <vt:lpstr>'RES_sv-SE'!mg01s.PoolVar</vt:lpstr>
      <vt:lpstr>'RES_tr-TR'!mg01s.PoolVar</vt:lpstr>
      <vt:lpstr>'RES_zh-CN'!mg01s.PoolVar</vt:lpstr>
      <vt:lpstr>'RES_zh-TW'!mg01s.PoolVar</vt:lpstr>
      <vt:lpstr>'RES_cs-CZ'!mg01s.Predicted</vt:lpstr>
      <vt:lpstr>'RES_da-DK'!mg01s.Predicted</vt:lpstr>
      <vt:lpstr>'RES_de-DE'!mg01s.Predicted</vt:lpstr>
      <vt:lpstr>'RES_el-GR'!mg01s.Predicted</vt:lpstr>
      <vt:lpstr>'RES_en-US'!mg01s.Predicted</vt:lpstr>
      <vt:lpstr>'RES_es-ES'!mg01s.Predicted</vt:lpstr>
      <vt:lpstr>'RES_fi-FI'!mg01s.Predicted</vt:lpstr>
      <vt:lpstr>'RES_fr-FR'!mg01s.Predicted</vt:lpstr>
      <vt:lpstr>'RES_hr-HR'!mg01s.Predicted</vt:lpstr>
      <vt:lpstr>'RES_hu-HU'!mg01s.Predicted</vt:lpstr>
      <vt:lpstr>'RES_it-IT'!mg01s.Predicted</vt:lpstr>
      <vt:lpstr>'RES_ja-JP'!mg01s.Predicted</vt:lpstr>
      <vt:lpstr>'RES_ko-KR'!mg01s.Predicted</vt:lpstr>
      <vt:lpstr>'RES_lv-LV'!mg01s.Predicted</vt:lpstr>
      <vt:lpstr>'RES_nb-NO'!mg01s.Predicted</vt:lpstr>
      <vt:lpstr>'RES_nl-NL'!mg01s.Predicted</vt:lpstr>
      <vt:lpstr>'RES_pl-PL'!mg01s.Predicted</vt:lpstr>
      <vt:lpstr>'RES_pt-BR'!mg01s.Predicted</vt:lpstr>
      <vt:lpstr>'RES_pt-PT'!mg01s.Predicted</vt:lpstr>
      <vt:lpstr>'RES_ro-RO'!mg01s.Predicted</vt:lpstr>
      <vt:lpstr>'RES_ru-RU'!mg01s.Predicted</vt:lpstr>
      <vt:lpstr>'RES_sl-SI'!mg01s.Predicted</vt:lpstr>
      <vt:lpstr>'RES_sv-SE'!mg01s.Predicted</vt:lpstr>
      <vt:lpstr>'RES_tr-TR'!mg01s.Predicted</vt:lpstr>
      <vt:lpstr>'RES_zh-CN'!mg01s.Predicted</vt:lpstr>
      <vt:lpstr>'RES_zh-TW'!mg01s.Predicted</vt:lpstr>
      <vt:lpstr>'RES_cs-CZ'!mg01s.PredictedY</vt:lpstr>
      <vt:lpstr>'RES_da-DK'!mg01s.PredictedY</vt:lpstr>
      <vt:lpstr>'RES_de-DE'!mg01s.PredictedY</vt:lpstr>
      <vt:lpstr>'RES_el-GR'!mg01s.PredictedY</vt:lpstr>
      <vt:lpstr>'RES_en-US'!mg01s.PredictedY</vt:lpstr>
      <vt:lpstr>'RES_es-ES'!mg01s.PredictedY</vt:lpstr>
      <vt:lpstr>'RES_fi-FI'!mg01s.PredictedY</vt:lpstr>
      <vt:lpstr>'RES_fr-FR'!mg01s.PredictedY</vt:lpstr>
      <vt:lpstr>'RES_hr-HR'!mg01s.PredictedY</vt:lpstr>
      <vt:lpstr>'RES_hu-HU'!mg01s.PredictedY</vt:lpstr>
      <vt:lpstr>'RES_it-IT'!mg01s.PredictedY</vt:lpstr>
      <vt:lpstr>'RES_ja-JP'!mg01s.PredictedY</vt:lpstr>
      <vt:lpstr>'RES_ko-KR'!mg01s.PredictedY</vt:lpstr>
      <vt:lpstr>'RES_lv-LV'!mg01s.PredictedY</vt:lpstr>
      <vt:lpstr>'RES_nb-NO'!mg01s.PredictedY</vt:lpstr>
      <vt:lpstr>'RES_nl-NL'!mg01s.PredictedY</vt:lpstr>
      <vt:lpstr>'RES_pl-PL'!mg01s.PredictedY</vt:lpstr>
      <vt:lpstr>'RES_pt-BR'!mg01s.PredictedY</vt:lpstr>
      <vt:lpstr>'RES_pt-PT'!mg01s.PredictedY</vt:lpstr>
      <vt:lpstr>'RES_ro-RO'!mg01s.PredictedY</vt:lpstr>
      <vt:lpstr>'RES_ru-RU'!mg01s.PredictedY</vt:lpstr>
      <vt:lpstr>'RES_sl-SI'!mg01s.PredictedY</vt:lpstr>
      <vt:lpstr>'RES_sv-SE'!mg01s.PredictedY</vt:lpstr>
      <vt:lpstr>'RES_tr-TR'!mg01s.PredictedY</vt:lpstr>
      <vt:lpstr>'RES_zh-CN'!mg01s.PredictedY</vt:lpstr>
      <vt:lpstr>'RES_zh-TW'!mg01s.PredictedY</vt:lpstr>
      <vt:lpstr>'RES_cs-CZ'!mg01s.ProbChartTitle</vt:lpstr>
      <vt:lpstr>'RES_da-DK'!mg01s.ProbChartTitle</vt:lpstr>
      <vt:lpstr>'RES_de-DE'!mg01s.ProbChartTitle</vt:lpstr>
      <vt:lpstr>'RES_el-GR'!mg01s.ProbChartTitle</vt:lpstr>
      <vt:lpstr>'RES_en-US'!mg01s.ProbChartTitle</vt:lpstr>
      <vt:lpstr>'RES_es-ES'!mg01s.ProbChartTitle</vt:lpstr>
      <vt:lpstr>'RES_fi-FI'!mg01s.ProbChartTitle</vt:lpstr>
      <vt:lpstr>'RES_fr-FR'!mg01s.ProbChartTitle</vt:lpstr>
      <vt:lpstr>'RES_hr-HR'!mg01s.ProbChartTitle</vt:lpstr>
      <vt:lpstr>'RES_hu-HU'!mg01s.ProbChartTitle</vt:lpstr>
      <vt:lpstr>'RES_it-IT'!mg01s.ProbChartTitle</vt:lpstr>
      <vt:lpstr>'RES_ja-JP'!mg01s.ProbChartTitle</vt:lpstr>
      <vt:lpstr>'RES_ko-KR'!mg01s.ProbChartTitle</vt:lpstr>
      <vt:lpstr>'RES_lv-LV'!mg01s.ProbChartTitle</vt:lpstr>
      <vt:lpstr>'RES_nb-NO'!mg01s.ProbChartTitle</vt:lpstr>
      <vt:lpstr>'RES_nl-NL'!mg01s.ProbChartTitle</vt:lpstr>
      <vt:lpstr>'RES_pl-PL'!mg01s.ProbChartTitle</vt:lpstr>
      <vt:lpstr>'RES_pt-BR'!mg01s.ProbChartTitle</vt:lpstr>
      <vt:lpstr>'RES_pt-PT'!mg01s.ProbChartTitle</vt:lpstr>
      <vt:lpstr>'RES_ro-RO'!mg01s.ProbChartTitle</vt:lpstr>
      <vt:lpstr>'RES_ru-RU'!mg01s.ProbChartTitle</vt:lpstr>
      <vt:lpstr>'RES_sl-SI'!mg01s.ProbChartTitle</vt:lpstr>
      <vt:lpstr>'RES_sv-SE'!mg01s.ProbChartTitle</vt:lpstr>
      <vt:lpstr>'RES_tr-TR'!mg01s.ProbChartTitle</vt:lpstr>
      <vt:lpstr>'RES_zh-CN'!mg01s.ProbChartTitle</vt:lpstr>
      <vt:lpstr>'RES_zh-TW'!mg01s.ProbChartTitle</vt:lpstr>
      <vt:lpstr>'RES_cs-CZ'!mg01s.ProbOut</vt:lpstr>
      <vt:lpstr>'RES_da-DK'!mg01s.ProbOut</vt:lpstr>
      <vt:lpstr>'RES_de-DE'!mg01s.ProbOut</vt:lpstr>
      <vt:lpstr>'RES_el-GR'!mg01s.ProbOut</vt:lpstr>
      <vt:lpstr>'RES_en-US'!mg01s.ProbOut</vt:lpstr>
      <vt:lpstr>'RES_es-ES'!mg01s.ProbOut</vt:lpstr>
      <vt:lpstr>'RES_fi-FI'!mg01s.ProbOut</vt:lpstr>
      <vt:lpstr>'RES_fr-FR'!mg01s.ProbOut</vt:lpstr>
      <vt:lpstr>'RES_hr-HR'!mg01s.ProbOut</vt:lpstr>
      <vt:lpstr>'RES_hu-HU'!mg01s.ProbOut</vt:lpstr>
      <vt:lpstr>'RES_it-IT'!mg01s.ProbOut</vt:lpstr>
      <vt:lpstr>'RES_ja-JP'!mg01s.ProbOut</vt:lpstr>
      <vt:lpstr>'RES_ko-KR'!mg01s.ProbOut</vt:lpstr>
      <vt:lpstr>'RES_lv-LV'!mg01s.ProbOut</vt:lpstr>
      <vt:lpstr>'RES_nb-NO'!mg01s.ProbOut</vt:lpstr>
      <vt:lpstr>'RES_nl-NL'!mg01s.ProbOut</vt:lpstr>
      <vt:lpstr>'RES_pl-PL'!mg01s.ProbOut</vt:lpstr>
      <vt:lpstr>'RES_pt-BR'!mg01s.ProbOut</vt:lpstr>
      <vt:lpstr>'RES_pt-PT'!mg01s.ProbOut</vt:lpstr>
      <vt:lpstr>'RES_ro-RO'!mg01s.ProbOut</vt:lpstr>
      <vt:lpstr>'RES_ru-RU'!mg01s.ProbOut</vt:lpstr>
      <vt:lpstr>'RES_sl-SI'!mg01s.ProbOut</vt:lpstr>
      <vt:lpstr>'RES_sv-SE'!mg01s.ProbOut</vt:lpstr>
      <vt:lpstr>'RES_tr-TR'!mg01s.ProbOut</vt:lpstr>
      <vt:lpstr>'RES_zh-CN'!mg01s.ProbOut</vt:lpstr>
      <vt:lpstr>'RES_zh-TW'!mg01s.ProbOut</vt:lpstr>
      <vt:lpstr>'RES_cs-CZ'!mg01s.PT1Tail</vt:lpstr>
      <vt:lpstr>'RES_da-DK'!mg01s.PT1Tail</vt:lpstr>
      <vt:lpstr>'RES_de-DE'!mg01s.PT1Tail</vt:lpstr>
      <vt:lpstr>'RES_el-GR'!mg01s.PT1Tail</vt:lpstr>
      <vt:lpstr>'RES_en-US'!mg01s.PT1Tail</vt:lpstr>
      <vt:lpstr>'RES_es-ES'!mg01s.PT1Tail</vt:lpstr>
      <vt:lpstr>'RES_fi-FI'!mg01s.PT1Tail</vt:lpstr>
      <vt:lpstr>'RES_fr-FR'!mg01s.PT1Tail</vt:lpstr>
      <vt:lpstr>'RES_hr-HR'!mg01s.PT1Tail</vt:lpstr>
      <vt:lpstr>'RES_hu-HU'!mg01s.PT1Tail</vt:lpstr>
      <vt:lpstr>'RES_it-IT'!mg01s.PT1Tail</vt:lpstr>
      <vt:lpstr>'RES_ja-JP'!mg01s.PT1Tail</vt:lpstr>
      <vt:lpstr>'RES_ko-KR'!mg01s.PT1Tail</vt:lpstr>
      <vt:lpstr>'RES_lv-LV'!mg01s.PT1Tail</vt:lpstr>
      <vt:lpstr>'RES_nb-NO'!mg01s.PT1Tail</vt:lpstr>
      <vt:lpstr>'RES_nl-NL'!mg01s.PT1Tail</vt:lpstr>
      <vt:lpstr>'RES_pl-PL'!mg01s.PT1Tail</vt:lpstr>
      <vt:lpstr>'RES_pt-BR'!mg01s.PT1Tail</vt:lpstr>
      <vt:lpstr>'RES_pt-PT'!mg01s.PT1Tail</vt:lpstr>
      <vt:lpstr>'RES_ro-RO'!mg01s.PT1Tail</vt:lpstr>
      <vt:lpstr>'RES_ru-RU'!mg01s.PT1Tail</vt:lpstr>
      <vt:lpstr>'RES_sl-SI'!mg01s.PT1Tail</vt:lpstr>
      <vt:lpstr>'RES_sv-SE'!mg01s.PT1Tail</vt:lpstr>
      <vt:lpstr>'RES_tr-TR'!mg01s.PT1Tail</vt:lpstr>
      <vt:lpstr>'RES_zh-CN'!mg01s.PT1Tail</vt:lpstr>
      <vt:lpstr>'RES_zh-TW'!mg01s.PT1Tail</vt:lpstr>
      <vt:lpstr>'RES_cs-CZ'!mg01s.PT2Tail</vt:lpstr>
      <vt:lpstr>'RES_da-DK'!mg01s.PT2Tail</vt:lpstr>
      <vt:lpstr>'RES_de-DE'!mg01s.PT2Tail</vt:lpstr>
      <vt:lpstr>'RES_el-GR'!mg01s.PT2Tail</vt:lpstr>
      <vt:lpstr>'RES_en-US'!mg01s.PT2Tail</vt:lpstr>
      <vt:lpstr>'RES_es-ES'!mg01s.PT2Tail</vt:lpstr>
      <vt:lpstr>'RES_fi-FI'!mg01s.PT2Tail</vt:lpstr>
      <vt:lpstr>'RES_fr-FR'!mg01s.PT2Tail</vt:lpstr>
      <vt:lpstr>'RES_hr-HR'!mg01s.PT2Tail</vt:lpstr>
      <vt:lpstr>'RES_hu-HU'!mg01s.PT2Tail</vt:lpstr>
      <vt:lpstr>'RES_it-IT'!mg01s.PT2Tail</vt:lpstr>
      <vt:lpstr>'RES_ja-JP'!mg01s.PT2Tail</vt:lpstr>
      <vt:lpstr>'RES_ko-KR'!mg01s.PT2Tail</vt:lpstr>
      <vt:lpstr>'RES_lv-LV'!mg01s.PT2Tail</vt:lpstr>
      <vt:lpstr>'RES_nb-NO'!mg01s.PT2Tail</vt:lpstr>
      <vt:lpstr>'RES_nl-NL'!mg01s.PT2Tail</vt:lpstr>
      <vt:lpstr>'RES_pl-PL'!mg01s.PT2Tail</vt:lpstr>
      <vt:lpstr>'RES_pt-BR'!mg01s.PT2Tail</vt:lpstr>
      <vt:lpstr>'RES_pt-PT'!mg01s.PT2Tail</vt:lpstr>
      <vt:lpstr>'RES_ro-RO'!mg01s.PT2Tail</vt:lpstr>
      <vt:lpstr>'RES_ru-RU'!mg01s.PT2Tail</vt:lpstr>
      <vt:lpstr>'RES_sl-SI'!mg01s.PT2Tail</vt:lpstr>
      <vt:lpstr>'RES_sv-SE'!mg01s.PT2Tail</vt:lpstr>
      <vt:lpstr>'RES_tr-TR'!mg01s.PT2Tail</vt:lpstr>
      <vt:lpstr>'RES_zh-CN'!mg01s.PT2Tail</vt:lpstr>
      <vt:lpstr>'RES_zh-TW'!mg01s.PT2Tail</vt:lpstr>
      <vt:lpstr>'RES_cs-CZ'!mg01s.PVal</vt:lpstr>
      <vt:lpstr>'RES_da-DK'!mg01s.PVal</vt:lpstr>
      <vt:lpstr>'RES_de-DE'!mg01s.PVal</vt:lpstr>
      <vt:lpstr>'RES_el-GR'!mg01s.PVal</vt:lpstr>
      <vt:lpstr>'RES_en-US'!mg01s.PVal</vt:lpstr>
      <vt:lpstr>'RES_es-ES'!mg01s.PVal</vt:lpstr>
      <vt:lpstr>'RES_fi-FI'!mg01s.PVal</vt:lpstr>
      <vt:lpstr>'RES_fr-FR'!mg01s.PVal</vt:lpstr>
      <vt:lpstr>'RES_hr-HR'!mg01s.PVal</vt:lpstr>
      <vt:lpstr>'RES_hu-HU'!mg01s.PVal</vt:lpstr>
      <vt:lpstr>'RES_it-IT'!mg01s.PVal</vt:lpstr>
      <vt:lpstr>'RES_ja-JP'!mg01s.PVal</vt:lpstr>
      <vt:lpstr>'RES_ko-KR'!mg01s.PVal</vt:lpstr>
      <vt:lpstr>'RES_lv-LV'!mg01s.PVal</vt:lpstr>
      <vt:lpstr>'RES_nb-NO'!mg01s.PVal</vt:lpstr>
      <vt:lpstr>'RES_nl-NL'!mg01s.PVal</vt:lpstr>
      <vt:lpstr>'RES_pl-PL'!mg01s.PVal</vt:lpstr>
      <vt:lpstr>'RES_pt-BR'!mg01s.PVal</vt:lpstr>
      <vt:lpstr>'RES_pt-PT'!mg01s.PVal</vt:lpstr>
      <vt:lpstr>'RES_ro-RO'!mg01s.PVal</vt:lpstr>
      <vt:lpstr>'RES_ru-RU'!mg01s.PVal</vt:lpstr>
      <vt:lpstr>'RES_sl-SI'!mg01s.PVal</vt:lpstr>
      <vt:lpstr>'RES_sv-SE'!mg01s.PVal</vt:lpstr>
      <vt:lpstr>'RES_tr-TR'!mg01s.PVal</vt:lpstr>
      <vt:lpstr>'RES_zh-CN'!mg01s.PVal</vt:lpstr>
      <vt:lpstr>'RES_zh-TW'!mg01s.PVal</vt:lpstr>
      <vt:lpstr>'RES_cs-CZ'!mg01s.RandBernoulli</vt:lpstr>
      <vt:lpstr>'RES_da-DK'!mg01s.RandBernoulli</vt:lpstr>
      <vt:lpstr>'RES_de-DE'!mg01s.RandBernoulli</vt:lpstr>
      <vt:lpstr>'RES_el-GR'!mg01s.RandBernoulli</vt:lpstr>
      <vt:lpstr>'RES_en-US'!mg01s.RandBernoulli</vt:lpstr>
      <vt:lpstr>'RES_es-ES'!mg01s.RandBernoulli</vt:lpstr>
      <vt:lpstr>'RES_fi-FI'!mg01s.RandBernoulli</vt:lpstr>
      <vt:lpstr>'RES_fr-FR'!mg01s.RandBernoulli</vt:lpstr>
      <vt:lpstr>'RES_hr-HR'!mg01s.RandBernoulli</vt:lpstr>
      <vt:lpstr>'RES_hu-HU'!mg01s.RandBernoulli</vt:lpstr>
      <vt:lpstr>'RES_it-IT'!mg01s.RandBernoulli</vt:lpstr>
      <vt:lpstr>'RES_ja-JP'!mg01s.RandBernoulli</vt:lpstr>
      <vt:lpstr>'RES_ko-KR'!mg01s.RandBernoulli</vt:lpstr>
      <vt:lpstr>'RES_lv-LV'!mg01s.RandBernoulli</vt:lpstr>
      <vt:lpstr>'RES_nb-NO'!mg01s.RandBernoulli</vt:lpstr>
      <vt:lpstr>'RES_nl-NL'!mg01s.RandBernoulli</vt:lpstr>
      <vt:lpstr>'RES_pl-PL'!mg01s.RandBernoulli</vt:lpstr>
      <vt:lpstr>'RES_pt-BR'!mg01s.RandBernoulli</vt:lpstr>
      <vt:lpstr>'RES_pt-PT'!mg01s.RandBernoulli</vt:lpstr>
      <vt:lpstr>'RES_ro-RO'!mg01s.RandBernoulli</vt:lpstr>
      <vt:lpstr>'RES_ru-RU'!mg01s.RandBernoulli</vt:lpstr>
      <vt:lpstr>'RES_sl-SI'!mg01s.RandBernoulli</vt:lpstr>
      <vt:lpstr>'RES_sv-SE'!mg01s.RandBernoulli</vt:lpstr>
      <vt:lpstr>'RES_tr-TR'!mg01s.RandBernoulli</vt:lpstr>
      <vt:lpstr>'RES_zh-CN'!mg01s.RandBernoulli</vt:lpstr>
      <vt:lpstr>'RES_zh-TW'!mg01s.RandBernoulli</vt:lpstr>
      <vt:lpstr>'RES_cs-CZ'!mg01s.RandBinomial</vt:lpstr>
      <vt:lpstr>'RES_da-DK'!mg01s.RandBinomial</vt:lpstr>
      <vt:lpstr>'RES_de-DE'!mg01s.RandBinomial</vt:lpstr>
      <vt:lpstr>'RES_el-GR'!mg01s.RandBinomial</vt:lpstr>
      <vt:lpstr>'RES_en-US'!mg01s.RandBinomial</vt:lpstr>
      <vt:lpstr>'RES_es-ES'!mg01s.RandBinomial</vt:lpstr>
      <vt:lpstr>'RES_fi-FI'!mg01s.RandBinomial</vt:lpstr>
      <vt:lpstr>'RES_fr-FR'!mg01s.RandBinomial</vt:lpstr>
      <vt:lpstr>'RES_hr-HR'!mg01s.RandBinomial</vt:lpstr>
      <vt:lpstr>'RES_hu-HU'!mg01s.RandBinomial</vt:lpstr>
      <vt:lpstr>'RES_it-IT'!mg01s.RandBinomial</vt:lpstr>
      <vt:lpstr>'RES_ja-JP'!mg01s.RandBinomial</vt:lpstr>
      <vt:lpstr>'RES_ko-KR'!mg01s.RandBinomial</vt:lpstr>
      <vt:lpstr>'RES_lv-LV'!mg01s.RandBinomial</vt:lpstr>
      <vt:lpstr>'RES_nb-NO'!mg01s.RandBinomial</vt:lpstr>
      <vt:lpstr>'RES_nl-NL'!mg01s.RandBinomial</vt:lpstr>
      <vt:lpstr>'RES_pl-PL'!mg01s.RandBinomial</vt:lpstr>
      <vt:lpstr>'RES_pt-BR'!mg01s.RandBinomial</vt:lpstr>
      <vt:lpstr>'RES_pt-PT'!mg01s.RandBinomial</vt:lpstr>
      <vt:lpstr>'RES_ro-RO'!mg01s.RandBinomial</vt:lpstr>
      <vt:lpstr>'RES_ru-RU'!mg01s.RandBinomial</vt:lpstr>
      <vt:lpstr>'RES_sl-SI'!mg01s.RandBinomial</vt:lpstr>
      <vt:lpstr>'RES_sv-SE'!mg01s.RandBinomial</vt:lpstr>
      <vt:lpstr>'RES_tr-TR'!mg01s.RandBinomial</vt:lpstr>
      <vt:lpstr>'RES_zh-CN'!mg01s.RandBinomial</vt:lpstr>
      <vt:lpstr>'RES_zh-TW'!mg01s.RandBinomial</vt:lpstr>
      <vt:lpstr>'RES_cs-CZ'!mg01s.RandDiscrete</vt:lpstr>
      <vt:lpstr>'RES_da-DK'!mg01s.RandDiscrete</vt:lpstr>
      <vt:lpstr>'RES_de-DE'!mg01s.RandDiscrete</vt:lpstr>
      <vt:lpstr>'RES_el-GR'!mg01s.RandDiscrete</vt:lpstr>
      <vt:lpstr>'RES_en-US'!mg01s.RandDiscrete</vt:lpstr>
      <vt:lpstr>'RES_es-ES'!mg01s.RandDiscrete</vt:lpstr>
      <vt:lpstr>'RES_fi-FI'!mg01s.RandDiscrete</vt:lpstr>
      <vt:lpstr>'RES_fr-FR'!mg01s.RandDiscrete</vt:lpstr>
      <vt:lpstr>'RES_hr-HR'!mg01s.RandDiscrete</vt:lpstr>
      <vt:lpstr>'RES_hu-HU'!mg01s.RandDiscrete</vt:lpstr>
      <vt:lpstr>'RES_it-IT'!mg01s.RandDiscrete</vt:lpstr>
      <vt:lpstr>'RES_ja-JP'!mg01s.RandDiscrete</vt:lpstr>
      <vt:lpstr>'RES_ko-KR'!mg01s.RandDiscrete</vt:lpstr>
      <vt:lpstr>'RES_lv-LV'!mg01s.RandDiscrete</vt:lpstr>
      <vt:lpstr>'RES_nb-NO'!mg01s.RandDiscrete</vt:lpstr>
      <vt:lpstr>'RES_nl-NL'!mg01s.RandDiscrete</vt:lpstr>
      <vt:lpstr>'RES_pl-PL'!mg01s.RandDiscrete</vt:lpstr>
      <vt:lpstr>'RES_pt-BR'!mg01s.RandDiscrete</vt:lpstr>
      <vt:lpstr>'RES_pt-PT'!mg01s.RandDiscrete</vt:lpstr>
      <vt:lpstr>'RES_ro-RO'!mg01s.RandDiscrete</vt:lpstr>
      <vt:lpstr>'RES_ru-RU'!mg01s.RandDiscrete</vt:lpstr>
      <vt:lpstr>'RES_sl-SI'!mg01s.RandDiscrete</vt:lpstr>
      <vt:lpstr>'RES_sv-SE'!mg01s.RandDiscrete</vt:lpstr>
      <vt:lpstr>'RES_tr-TR'!mg01s.RandDiscrete</vt:lpstr>
      <vt:lpstr>'RES_zh-CN'!mg01s.RandDiscrete</vt:lpstr>
      <vt:lpstr>'RES_zh-TW'!mg01s.RandDiscrete</vt:lpstr>
      <vt:lpstr>'RES_cs-CZ'!mg01s.RandNormal</vt:lpstr>
      <vt:lpstr>'RES_da-DK'!mg01s.RandNormal</vt:lpstr>
      <vt:lpstr>'RES_de-DE'!mg01s.RandNormal</vt:lpstr>
      <vt:lpstr>'RES_el-GR'!mg01s.RandNormal</vt:lpstr>
      <vt:lpstr>'RES_en-US'!mg01s.RandNormal</vt:lpstr>
      <vt:lpstr>'RES_es-ES'!mg01s.RandNormal</vt:lpstr>
      <vt:lpstr>'RES_fi-FI'!mg01s.RandNormal</vt:lpstr>
      <vt:lpstr>'RES_fr-FR'!mg01s.RandNormal</vt:lpstr>
      <vt:lpstr>'RES_hr-HR'!mg01s.RandNormal</vt:lpstr>
      <vt:lpstr>'RES_hu-HU'!mg01s.RandNormal</vt:lpstr>
      <vt:lpstr>'RES_it-IT'!mg01s.RandNormal</vt:lpstr>
      <vt:lpstr>'RES_ja-JP'!mg01s.RandNormal</vt:lpstr>
      <vt:lpstr>'RES_ko-KR'!mg01s.RandNormal</vt:lpstr>
      <vt:lpstr>'RES_lv-LV'!mg01s.RandNormal</vt:lpstr>
      <vt:lpstr>'RES_nb-NO'!mg01s.RandNormal</vt:lpstr>
      <vt:lpstr>'RES_nl-NL'!mg01s.RandNormal</vt:lpstr>
      <vt:lpstr>'RES_pl-PL'!mg01s.RandNormal</vt:lpstr>
      <vt:lpstr>'RES_pt-BR'!mg01s.RandNormal</vt:lpstr>
      <vt:lpstr>'RES_pt-PT'!mg01s.RandNormal</vt:lpstr>
      <vt:lpstr>'RES_ro-RO'!mg01s.RandNormal</vt:lpstr>
      <vt:lpstr>'RES_ru-RU'!mg01s.RandNormal</vt:lpstr>
      <vt:lpstr>'RES_sl-SI'!mg01s.RandNormal</vt:lpstr>
      <vt:lpstr>'RES_sv-SE'!mg01s.RandNormal</vt:lpstr>
      <vt:lpstr>'RES_tr-TR'!mg01s.RandNormal</vt:lpstr>
      <vt:lpstr>'RES_zh-CN'!mg01s.RandNormal</vt:lpstr>
      <vt:lpstr>'RES_zh-TW'!mg01s.RandNormal</vt:lpstr>
      <vt:lpstr>'RES_cs-CZ'!mg01s.RandNum</vt:lpstr>
      <vt:lpstr>'RES_da-DK'!mg01s.RandNum</vt:lpstr>
      <vt:lpstr>'RES_de-DE'!mg01s.RandNum</vt:lpstr>
      <vt:lpstr>'RES_el-GR'!mg01s.RandNum</vt:lpstr>
      <vt:lpstr>'RES_en-US'!mg01s.RandNum</vt:lpstr>
      <vt:lpstr>'RES_es-ES'!mg01s.RandNum</vt:lpstr>
      <vt:lpstr>'RES_fi-FI'!mg01s.RandNum</vt:lpstr>
      <vt:lpstr>'RES_fr-FR'!mg01s.RandNum</vt:lpstr>
      <vt:lpstr>'RES_hr-HR'!mg01s.RandNum</vt:lpstr>
      <vt:lpstr>'RES_hu-HU'!mg01s.RandNum</vt:lpstr>
      <vt:lpstr>'RES_it-IT'!mg01s.RandNum</vt:lpstr>
      <vt:lpstr>'RES_ja-JP'!mg01s.RandNum</vt:lpstr>
      <vt:lpstr>'RES_ko-KR'!mg01s.RandNum</vt:lpstr>
      <vt:lpstr>'RES_lv-LV'!mg01s.RandNum</vt:lpstr>
      <vt:lpstr>'RES_nb-NO'!mg01s.RandNum</vt:lpstr>
      <vt:lpstr>'RES_nl-NL'!mg01s.RandNum</vt:lpstr>
      <vt:lpstr>'RES_pl-PL'!mg01s.RandNum</vt:lpstr>
      <vt:lpstr>'RES_pt-BR'!mg01s.RandNum</vt:lpstr>
      <vt:lpstr>'RES_pt-PT'!mg01s.RandNum</vt:lpstr>
      <vt:lpstr>'RES_ro-RO'!mg01s.RandNum</vt:lpstr>
      <vt:lpstr>'RES_ru-RU'!mg01s.RandNum</vt:lpstr>
      <vt:lpstr>'RES_sl-SI'!mg01s.RandNum</vt:lpstr>
      <vt:lpstr>'RES_sv-SE'!mg01s.RandNum</vt:lpstr>
      <vt:lpstr>'RES_tr-TR'!mg01s.RandNum</vt:lpstr>
      <vt:lpstr>'RES_zh-CN'!mg01s.RandNum</vt:lpstr>
      <vt:lpstr>'RES_zh-TW'!mg01s.RandNum</vt:lpstr>
      <vt:lpstr>'RES_cs-CZ'!mg01s.RandPatterned</vt:lpstr>
      <vt:lpstr>'RES_da-DK'!mg01s.RandPatterned</vt:lpstr>
      <vt:lpstr>'RES_de-DE'!mg01s.RandPatterned</vt:lpstr>
      <vt:lpstr>'RES_el-GR'!mg01s.RandPatterned</vt:lpstr>
      <vt:lpstr>'RES_en-US'!mg01s.RandPatterned</vt:lpstr>
      <vt:lpstr>'RES_es-ES'!mg01s.RandPatterned</vt:lpstr>
      <vt:lpstr>'RES_fi-FI'!mg01s.RandPatterned</vt:lpstr>
      <vt:lpstr>'RES_fr-FR'!mg01s.RandPatterned</vt:lpstr>
      <vt:lpstr>'RES_hr-HR'!mg01s.RandPatterned</vt:lpstr>
      <vt:lpstr>'RES_hu-HU'!mg01s.RandPatterned</vt:lpstr>
      <vt:lpstr>'RES_it-IT'!mg01s.RandPatterned</vt:lpstr>
      <vt:lpstr>'RES_ja-JP'!mg01s.RandPatterned</vt:lpstr>
      <vt:lpstr>'RES_ko-KR'!mg01s.RandPatterned</vt:lpstr>
      <vt:lpstr>'RES_lv-LV'!mg01s.RandPatterned</vt:lpstr>
      <vt:lpstr>'RES_nb-NO'!mg01s.RandPatterned</vt:lpstr>
      <vt:lpstr>'RES_nl-NL'!mg01s.RandPatterned</vt:lpstr>
      <vt:lpstr>'RES_pl-PL'!mg01s.RandPatterned</vt:lpstr>
      <vt:lpstr>'RES_pt-BR'!mg01s.RandPatterned</vt:lpstr>
      <vt:lpstr>'RES_pt-PT'!mg01s.RandPatterned</vt:lpstr>
      <vt:lpstr>'RES_ro-RO'!mg01s.RandPatterned</vt:lpstr>
      <vt:lpstr>'RES_ru-RU'!mg01s.RandPatterned</vt:lpstr>
      <vt:lpstr>'RES_sl-SI'!mg01s.RandPatterned</vt:lpstr>
      <vt:lpstr>'RES_sv-SE'!mg01s.RandPatterned</vt:lpstr>
      <vt:lpstr>'RES_tr-TR'!mg01s.RandPatterned</vt:lpstr>
      <vt:lpstr>'RES_zh-CN'!mg01s.RandPatterned</vt:lpstr>
      <vt:lpstr>'RES_zh-TW'!mg01s.RandPatterned</vt:lpstr>
      <vt:lpstr>'RES_cs-CZ'!mg01s.RandPoisson</vt:lpstr>
      <vt:lpstr>'RES_da-DK'!mg01s.RandPoisson</vt:lpstr>
      <vt:lpstr>'RES_de-DE'!mg01s.RandPoisson</vt:lpstr>
      <vt:lpstr>'RES_el-GR'!mg01s.RandPoisson</vt:lpstr>
      <vt:lpstr>'RES_en-US'!mg01s.RandPoisson</vt:lpstr>
      <vt:lpstr>'RES_es-ES'!mg01s.RandPoisson</vt:lpstr>
      <vt:lpstr>'RES_fi-FI'!mg01s.RandPoisson</vt:lpstr>
      <vt:lpstr>'RES_fr-FR'!mg01s.RandPoisson</vt:lpstr>
      <vt:lpstr>'RES_hr-HR'!mg01s.RandPoisson</vt:lpstr>
      <vt:lpstr>'RES_hu-HU'!mg01s.RandPoisson</vt:lpstr>
      <vt:lpstr>'RES_it-IT'!mg01s.RandPoisson</vt:lpstr>
      <vt:lpstr>'RES_ja-JP'!mg01s.RandPoisson</vt:lpstr>
      <vt:lpstr>'RES_ko-KR'!mg01s.RandPoisson</vt:lpstr>
      <vt:lpstr>'RES_lv-LV'!mg01s.RandPoisson</vt:lpstr>
      <vt:lpstr>'RES_nb-NO'!mg01s.RandPoisson</vt:lpstr>
      <vt:lpstr>'RES_nl-NL'!mg01s.RandPoisson</vt:lpstr>
      <vt:lpstr>'RES_pl-PL'!mg01s.RandPoisson</vt:lpstr>
      <vt:lpstr>'RES_pt-BR'!mg01s.RandPoisson</vt:lpstr>
      <vt:lpstr>'RES_pt-PT'!mg01s.RandPoisson</vt:lpstr>
      <vt:lpstr>'RES_ro-RO'!mg01s.RandPoisson</vt:lpstr>
      <vt:lpstr>'RES_ru-RU'!mg01s.RandPoisson</vt:lpstr>
      <vt:lpstr>'RES_sl-SI'!mg01s.RandPoisson</vt:lpstr>
      <vt:lpstr>'RES_sv-SE'!mg01s.RandPoisson</vt:lpstr>
      <vt:lpstr>'RES_tr-TR'!mg01s.RandPoisson</vt:lpstr>
      <vt:lpstr>'RES_zh-CN'!mg01s.RandPoisson</vt:lpstr>
      <vt:lpstr>'RES_zh-TW'!mg01s.RandPoisson</vt:lpstr>
      <vt:lpstr>'RES_cs-CZ'!mg01s.RandUniform</vt:lpstr>
      <vt:lpstr>'RES_da-DK'!mg01s.RandUniform</vt:lpstr>
      <vt:lpstr>'RES_de-DE'!mg01s.RandUniform</vt:lpstr>
      <vt:lpstr>'RES_el-GR'!mg01s.RandUniform</vt:lpstr>
      <vt:lpstr>'RES_en-US'!mg01s.RandUniform</vt:lpstr>
      <vt:lpstr>'RES_es-ES'!mg01s.RandUniform</vt:lpstr>
      <vt:lpstr>'RES_fi-FI'!mg01s.RandUniform</vt:lpstr>
      <vt:lpstr>'RES_fr-FR'!mg01s.RandUniform</vt:lpstr>
      <vt:lpstr>'RES_hr-HR'!mg01s.RandUniform</vt:lpstr>
      <vt:lpstr>'RES_hu-HU'!mg01s.RandUniform</vt:lpstr>
      <vt:lpstr>'RES_it-IT'!mg01s.RandUniform</vt:lpstr>
      <vt:lpstr>'RES_ja-JP'!mg01s.RandUniform</vt:lpstr>
      <vt:lpstr>'RES_ko-KR'!mg01s.RandUniform</vt:lpstr>
      <vt:lpstr>'RES_lv-LV'!mg01s.RandUniform</vt:lpstr>
      <vt:lpstr>'RES_nb-NO'!mg01s.RandUniform</vt:lpstr>
      <vt:lpstr>'RES_nl-NL'!mg01s.RandUniform</vt:lpstr>
      <vt:lpstr>'RES_pl-PL'!mg01s.RandUniform</vt:lpstr>
      <vt:lpstr>'RES_pt-BR'!mg01s.RandUniform</vt:lpstr>
      <vt:lpstr>'RES_pt-PT'!mg01s.RandUniform</vt:lpstr>
      <vt:lpstr>'RES_ro-RO'!mg01s.RandUniform</vt:lpstr>
      <vt:lpstr>'RES_ru-RU'!mg01s.RandUniform</vt:lpstr>
      <vt:lpstr>'RES_sl-SI'!mg01s.RandUniform</vt:lpstr>
      <vt:lpstr>'RES_sv-SE'!mg01s.RandUniform</vt:lpstr>
      <vt:lpstr>'RES_tr-TR'!mg01s.RandUniform</vt:lpstr>
      <vt:lpstr>'RES_zh-CN'!mg01s.RandUniform</vt:lpstr>
      <vt:lpstr>'RES_zh-TW'!mg01s.RandUniform</vt:lpstr>
      <vt:lpstr>'RES_cs-CZ'!mg01s.Range</vt:lpstr>
      <vt:lpstr>'RES_da-DK'!mg01s.Range</vt:lpstr>
      <vt:lpstr>'RES_de-DE'!mg01s.Range</vt:lpstr>
      <vt:lpstr>'RES_el-GR'!mg01s.Range</vt:lpstr>
      <vt:lpstr>'RES_en-US'!mg01s.Range</vt:lpstr>
      <vt:lpstr>'RES_es-ES'!mg01s.Range</vt:lpstr>
      <vt:lpstr>'RES_fi-FI'!mg01s.Range</vt:lpstr>
      <vt:lpstr>'RES_fr-FR'!mg01s.Range</vt:lpstr>
      <vt:lpstr>'RES_hr-HR'!mg01s.Range</vt:lpstr>
      <vt:lpstr>'RES_hu-HU'!mg01s.Range</vt:lpstr>
      <vt:lpstr>'RES_it-IT'!mg01s.Range</vt:lpstr>
      <vt:lpstr>'RES_ja-JP'!mg01s.Range</vt:lpstr>
      <vt:lpstr>'RES_ko-KR'!mg01s.Range</vt:lpstr>
      <vt:lpstr>'RES_lv-LV'!mg01s.Range</vt:lpstr>
      <vt:lpstr>'RES_nb-NO'!mg01s.Range</vt:lpstr>
      <vt:lpstr>'RES_nl-NL'!mg01s.Range</vt:lpstr>
      <vt:lpstr>'RES_pl-PL'!mg01s.Range</vt:lpstr>
      <vt:lpstr>'RES_pt-BR'!mg01s.Range</vt:lpstr>
      <vt:lpstr>'RES_pt-PT'!mg01s.Range</vt:lpstr>
      <vt:lpstr>'RES_ro-RO'!mg01s.Range</vt:lpstr>
      <vt:lpstr>'RES_ru-RU'!mg01s.Range</vt:lpstr>
      <vt:lpstr>'RES_sl-SI'!mg01s.Range</vt:lpstr>
      <vt:lpstr>'RES_sv-SE'!mg01s.Range</vt:lpstr>
      <vt:lpstr>'RES_tr-TR'!mg01s.Range</vt:lpstr>
      <vt:lpstr>'RES_zh-CN'!mg01s.Range</vt:lpstr>
      <vt:lpstr>'RES_zh-TW'!mg01s.Range</vt:lpstr>
      <vt:lpstr>'RES_cs-CZ'!mg01s.Rank</vt:lpstr>
      <vt:lpstr>'RES_da-DK'!mg01s.Rank</vt:lpstr>
      <vt:lpstr>'RES_de-DE'!mg01s.Rank</vt:lpstr>
      <vt:lpstr>'RES_el-GR'!mg01s.Rank</vt:lpstr>
      <vt:lpstr>'RES_en-US'!mg01s.Rank</vt:lpstr>
      <vt:lpstr>'RES_es-ES'!mg01s.Rank</vt:lpstr>
      <vt:lpstr>'RES_fi-FI'!mg01s.Rank</vt:lpstr>
      <vt:lpstr>'RES_fr-FR'!mg01s.Rank</vt:lpstr>
      <vt:lpstr>'RES_hr-HR'!mg01s.Rank</vt:lpstr>
      <vt:lpstr>'RES_hu-HU'!mg01s.Rank</vt:lpstr>
      <vt:lpstr>'RES_it-IT'!mg01s.Rank</vt:lpstr>
      <vt:lpstr>'RES_ja-JP'!mg01s.Rank</vt:lpstr>
      <vt:lpstr>'RES_ko-KR'!mg01s.Rank</vt:lpstr>
      <vt:lpstr>'RES_lv-LV'!mg01s.Rank</vt:lpstr>
      <vt:lpstr>'RES_nb-NO'!mg01s.Rank</vt:lpstr>
      <vt:lpstr>'RES_nl-NL'!mg01s.Rank</vt:lpstr>
      <vt:lpstr>'RES_pl-PL'!mg01s.Rank</vt:lpstr>
      <vt:lpstr>'RES_pt-BR'!mg01s.Rank</vt:lpstr>
      <vt:lpstr>'RES_pt-PT'!mg01s.Rank</vt:lpstr>
      <vt:lpstr>'RES_ro-RO'!mg01s.Rank</vt:lpstr>
      <vt:lpstr>'RES_ru-RU'!mg01s.Rank</vt:lpstr>
      <vt:lpstr>'RES_sl-SI'!mg01s.Rank</vt:lpstr>
      <vt:lpstr>'RES_sv-SE'!mg01s.Rank</vt:lpstr>
      <vt:lpstr>'RES_tr-TR'!mg01s.Rank</vt:lpstr>
      <vt:lpstr>'RES_zh-CN'!mg01s.Rank</vt:lpstr>
      <vt:lpstr>'RES_zh-TW'!mg01s.Rank</vt:lpstr>
      <vt:lpstr>'RES_cs-CZ'!mg01s.RankPer</vt:lpstr>
      <vt:lpstr>'RES_da-DK'!mg01s.RankPer</vt:lpstr>
      <vt:lpstr>'RES_de-DE'!mg01s.RankPer</vt:lpstr>
      <vt:lpstr>'RES_el-GR'!mg01s.RankPer</vt:lpstr>
      <vt:lpstr>'RES_en-US'!mg01s.RankPer</vt:lpstr>
      <vt:lpstr>'RES_es-ES'!mg01s.RankPer</vt:lpstr>
      <vt:lpstr>'RES_fi-FI'!mg01s.RankPer</vt:lpstr>
      <vt:lpstr>'RES_fr-FR'!mg01s.RankPer</vt:lpstr>
      <vt:lpstr>'RES_hr-HR'!mg01s.RankPer</vt:lpstr>
      <vt:lpstr>'RES_hu-HU'!mg01s.RankPer</vt:lpstr>
      <vt:lpstr>'RES_it-IT'!mg01s.RankPer</vt:lpstr>
      <vt:lpstr>'RES_ja-JP'!mg01s.RankPer</vt:lpstr>
      <vt:lpstr>'RES_ko-KR'!mg01s.RankPer</vt:lpstr>
      <vt:lpstr>'RES_lv-LV'!mg01s.RankPer</vt:lpstr>
      <vt:lpstr>'RES_nb-NO'!mg01s.RankPer</vt:lpstr>
      <vt:lpstr>'RES_nl-NL'!mg01s.RankPer</vt:lpstr>
      <vt:lpstr>'RES_pl-PL'!mg01s.RankPer</vt:lpstr>
      <vt:lpstr>'RES_pt-BR'!mg01s.RankPer</vt:lpstr>
      <vt:lpstr>'RES_pt-PT'!mg01s.RankPer</vt:lpstr>
      <vt:lpstr>'RES_ro-RO'!mg01s.RankPer</vt:lpstr>
      <vt:lpstr>'RES_ru-RU'!mg01s.RankPer</vt:lpstr>
      <vt:lpstr>'RES_sl-SI'!mg01s.RankPer</vt:lpstr>
      <vt:lpstr>'RES_sv-SE'!mg01s.RankPer</vt:lpstr>
      <vt:lpstr>'RES_tr-TR'!mg01s.RankPer</vt:lpstr>
      <vt:lpstr>'RES_zh-CN'!mg01s.RankPer</vt:lpstr>
      <vt:lpstr>'RES_zh-TW'!mg01s.RankPer</vt:lpstr>
      <vt:lpstr>'RES_cs-CZ'!mg01s.Regression</vt:lpstr>
      <vt:lpstr>'RES_da-DK'!mg01s.Regression</vt:lpstr>
      <vt:lpstr>'RES_de-DE'!mg01s.Regression</vt:lpstr>
      <vt:lpstr>'RES_el-GR'!mg01s.Regression</vt:lpstr>
      <vt:lpstr>'RES_en-US'!mg01s.Regression</vt:lpstr>
      <vt:lpstr>'RES_es-ES'!mg01s.Regression</vt:lpstr>
      <vt:lpstr>'RES_fi-FI'!mg01s.Regression</vt:lpstr>
      <vt:lpstr>'RES_fr-FR'!mg01s.Regression</vt:lpstr>
      <vt:lpstr>'RES_hr-HR'!mg01s.Regression</vt:lpstr>
      <vt:lpstr>'RES_hu-HU'!mg01s.Regression</vt:lpstr>
      <vt:lpstr>'RES_it-IT'!mg01s.Regression</vt:lpstr>
      <vt:lpstr>'RES_ja-JP'!mg01s.Regression</vt:lpstr>
      <vt:lpstr>'RES_ko-KR'!mg01s.Regression</vt:lpstr>
      <vt:lpstr>'RES_lv-LV'!mg01s.Regression</vt:lpstr>
      <vt:lpstr>'RES_nb-NO'!mg01s.Regression</vt:lpstr>
      <vt:lpstr>'RES_nl-NL'!mg01s.Regression</vt:lpstr>
      <vt:lpstr>'RES_pl-PL'!mg01s.Regression</vt:lpstr>
      <vt:lpstr>'RES_pt-BR'!mg01s.Regression</vt:lpstr>
      <vt:lpstr>'RES_pt-PT'!mg01s.Regression</vt:lpstr>
      <vt:lpstr>'RES_ro-RO'!mg01s.Regression</vt:lpstr>
      <vt:lpstr>'RES_ru-RU'!mg01s.Regression</vt:lpstr>
      <vt:lpstr>'RES_sl-SI'!mg01s.Regression</vt:lpstr>
      <vt:lpstr>'RES_sv-SE'!mg01s.Regression</vt:lpstr>
      <vt:lpstr>'RES_tr-TR'!mg01s.Regression</vt:lpstr>
      <vt:lpstr>'RES_zh-CN'!mg01s.Regression</vt:lpstr>
      <vt:lpstr>'RES_zh-TW'!mg01s.Regression</vt:lpstr>
      <vt:lpstr>'RES_cs-CZ'!mg01s.RegressStat</vt:lpstr>
      <vt:lpstr>'RES_da-DK'!mg01s.RegressStat</vt:lpstr>
      <vt:lpstr>'RES_de-DE'!mg01s.RegressStat</vt:lpstr>
      <vt:lpstr>'RES_el-GR'!mg01s.RegressStat</vt:lpstr>
      <vt:lpstr>'RES_en-US'!mg01s.RegressStat</vt:lpstr>
      <vt:lpstr>'RES_es-ES'!mg01s.RegressStat</vt:lpstr>
      <vt:lpstr>'RES_fi-FI'!mg01s.RegressStat</vt:lpstr>
      <vt:lpstr>'RES_fr-FR'!mg01s.RegressStat</vt:lpstr>
      <vt:lpstr>'RES_hr-HR'!mg01s.RegressStat</vt:lpstr>
      <vt:lpstr>'RES_hu-HU'!mg01s.RegressStat</vt:lpstr>
      <vt:lpstr>'RES_it-IT'!mg01s.RegressStat</vt:lpstr>
      <vt:lpstr>'RES_ja-JP'!mg01s.RegressStat</vt:lpstr>
      <vt:lpstr>'RES_ko-KR'!mg01s.RegressStat</vt:lpstr>
      <vt:lpstr>'RES_lv-LV'!mg01s.RegressStat</vt:lpstr>
      <vt:lpstr>'RES_nb-NO'!mg01s.RegressStat</vt:lpstr>
      <vt:lpstr>'RES_nl-NL'!mg01s.RegressStat</vt:lpstr>
      <vt:lpstr>'RES_pl-PL'!mg01s.RegressStat</vt:lpstr>
      <vt:lpstr>'RES_pt-BR'!mg01s.RegressStat</vt:lpstr>
      <vt:lpstr>'RES_pt-PT'!mg01s.RegressStat</vt:lpstr>
      <vt:lpstr>'RES_ro-RO'!mg01s.RegressStat</vt:lpstr>
      <vt:lpstr>'RES_ru-RU'!mg01s.RegressStat</vt:lpstr>
      <vt:lpstr>'RES_sl-SI'!mg01s.RegressStat</vt:lpstr>
      <vt:lpstr>'RES_sv-SE'!mg01s.RegressStat</vt:lpstr>
      <vt:lpstr>'RES_tr-TR'!mg01s.RegressStat</vt:lpstr>
      <vt:lpstr>'RES_zh-CN'!mg01s.RegressStat</vt:lpstr>
      <vt:lpstr>'RES_zh-TW'!mg01s.RegressStat</vt:lpstr>
      <vt:lpstr>'RES_cs-CZ'!mg01s.Resid</vt:lpstr>
      <vt:lpstr>'RES_da-DK'!mg01s.Resid</vt:lpstr>
      <vt:lpstr>'RES_de-DE'!mg01s.Resid</vt:lpstr>
      <vt:lpstr>'RES_el-GR'!mg01s.Resid</vt:lpstr>
      <vt:lpstr>'RES_en-US'!mg01s.Resid</vt:lpstr>
      <vt:lpstr>'RES_es-ES'!mg01s.Resid</vt:lpstr>
      <vt:lpstr>'RES_fi-FI'!mg01s.Resid</vt:lpstr>
      <vt:lpstr>'RES_fr-FR'!mg01s.Resid</vt:lpstr>
      <vt:lpstr>'RES_hr-HR'!mg01s.Resid</vt:lpstr>
      <vt:lpstr>'RES_hu-HU'!mg01s.Resid</vt:lpstr>
      <vt:lpstr>'RES_it-IT'!mg01s.Resid</vt:lpstr>
      <vt:lpstr>'RES_ja-JP'!mg01s.Resid</vt:lpstr>
      <vt:lpstr>'RES_ko-KR'!mg01s.Resid</vt:lpstr>
      <vt:lpstr>'RES_lv-LV'!mg01s.Resid</vt:lpstr>
      <vt:lpstr>'RES_nb-NO'!mg01s.Resid</vt:lpstr>
      <vt:lpstr>'RES_nl-NL'!mg01s.Resid</vt:lpstr>
      <vt:lpstr>'RES_pl-PL'!mg01s.Resid</vt:lpstr>
      <vt:lpstr>'RES_pt-BR'!mg01s.Resid</vt:lpstr>
      <vt:lpstr>'RES_pt-PT'!mg01s.Resid</vt:lpstr>
      <vt:lpstr>'RES_ro-RO'!mg01s.Resid</vt:lpstr>
      <vt:lpstr>'RES_ru-RU'!mg01s.Resid</vt:lpstr>
      <vt:lpstr>'RES_sl-SI'!mg01s.Resid</vt:lpstr>
      <vt:lpstr>'RES_sv-SE'!mg01s.Resid</vt:lpstr>
      <vt:lpstr>'RES_tr-TR'!mg01s.Resid</vt:lpstr>
      <vt:lpstr>'RES_zh-CN'!mg01s.Resid</vt:lpstr>
      <vt:lpstr>'RES_zh-TW'!mg01s.Resid</vt:lpstr>
      <vt:lpstr>'RES_cs-CZ'!mg01s.ResidChartTitle</vt:lpstr>
      <vt:lpstr>'RES_da-DK'!mg01s.ResidChartTitle</vt:lpstr>
      <vt:lpstr>'RES_de-DE'!mg01s.ResidChartTitle</vt:lpstr>
      <vt:lpstr>'RES_el-GR'!mg01s.ResidChartTitle</vt:lpstr>
      <vt:lpstr>'RES_en-US'!mg01s.ResidChartTitle</vt:lpstr>
      <vt:lpstr>'RES_es-ES'!mg01s.ResidChartTitle</vt:lpstr>
      <vt:lpstr>'RES_fi-FI'!mg01s.ResidChartTitle</vt:lpstr>
      <vt:lpstr>'RES_fr-FR'!mg01s.ResidChartTitle</vt:lpstr>
      <vt:lpstr>'RES_hr-HR'!mg01s.ResidChartTitle</vt:lpstr>
      <vt:lpstr>'RES_hu-HU'!mg01s.ResidChartTitle</vt:lpstr>
      <vt:lpstr>'RES_it-IT'!mg01s.ResidChartTitle</vt:lpstr>
      <vt:lpstr>'RES_ja-JP'!mg01s.ResidChartTitle</vt:lpstr>
      <vt:lpstr>'RES_ko-KR'!mg01s.ResidChartTitle</vt:lpstr>
      <vt:lpstr>'RES_lv-LV'!mg01s.ResidChartTitle</vt:lpstr>
      <vt:lpstr>'RES_nb-NO'!mg01s.ResidChartTitle</vt:lpstr>
      <vt:lpstr>'RES_nl-NL'!mg01s.ResidChartTitle</vt:lpstr>
      <vt:lpstr>'RES_pl-PL'!mg01s.ResidChartTitle</vt:lpstr>
      <vt:lpstr>'RES_pt-BR'!mg01s.ResidChartTitle</vt:lpstr>
      <vt:lpstr>'RES_pt-PT'!mg01s.ResidChartTitle</vt:lpstr>
      <vt:lpstr>'RES_ro-RO'!mg01s.ResidChartTitle</vt:lpstr>
      <vt:lpstr>'RES_ru-RU'!mg01s.ResidChartTitle</vt:lpstr>
      <vt:lpstr>'RES_sl-SI'!mg01s.ResidChartTitle</vt:lpstr>
      <vt:lpstr>'RES_sv-SE'!mg01s.ResidChartTitle</vt:lpstr>
      <vt:lpstr>'RES_tr-TR'!mg01s.ResidChartTitle</vt:lpstr>
      <vt:lpstr>'RES_zh-CN'!mg01s.ResidChartTitle</vt:lpstr>
      <vt:lpstr>'RES_zh-TW'!mg01s.ResidChartTitle</vt:lpstr>
      <vt:lpstr>'RES_cs-CZ'!mg01s.ResiOut</vt:lpstr>
      <vt:lpstr>'RES_da-DK'!mg01s.ResiOut</vt:lpstr>
      <vt:lpstr>'RES_de-DE'!mg01s.ResiOut</vt:lpstr>
      <vt:lpstr>'RES_el-GR'!mg01s.ResiOut</vt:lpstr>
      <vt:lpstr>'RES_en-US'!mg01s.ResiOut</vt:lpstr>
      <vt:lpstr>'RES_es-ES'!mg01s.ResiOut</vt:lpstr>
      <vt:lpstr>'RES_fi-FI'!mg01s.ResiOut</vt:lpstr>
      <vt:lpstr>'RES_fr-FR'!mg01s.ResiOut</vt:lpstr>
      <vt:lpstr>'RES_hr-HR'!mg01s.ResiOut</vt:lpstr>
      <vt:lpstr>'RES_hu-HU'!mg01s.ResiOut</vt:lpstr>
      <vt:lpstr>'RES_it-IT'!mg01s.ResiOut</vt:lpstr>
      <vt:lpstr>'RES_ja-JP'!mg01s.ResiOut</vt:lpstr>
      <vt:lpstr>'RES_ko-KR'!mg01s.ResiOut</vt:lpstr>
      <vt:lpstr>'RES_lv-LV'!mg01s.ResiOut</vt:lpstr>
      <vt:lpstr>'RES_nb-NO'!mg01s.ResiOut</vt:lpstr>
      <vt:lpstr>'RES_nl-NL'!mg01s.ResiOut</vt:lpstr>
      <vt:lpstr>'RES_pl-PL'!mg01s.ResiOut</vt:lpstr>
      <vt:lpstr>'RES_pt-BR'!mg01s.ResiOut</vt:lpstr>
      <vt:lpstr>'RES_pt-PT'!mg01s.ResiOut</vt:lpstr>
      <vt:lpstr>'RES_ro-RO'!mg01s.ResiOut</vt:lpstr>
      <vt:lpstr>'RES_ru-RU'!mg01s.ResiOut</vt:lpstr>
      <vt:lpstr>'RES_sl-SI'!mg01s.ResiOut</vt:lpstr>
      <vt:lpstr>'RES_sv-SE'!mg01s.ResiOut</vt:lpstr>
      <vt:lpstr>'RES_tr-TR'!mg01s.ResiOut</vt:lpstr>
      <vt:lpstr>'RES_zh-CN'!mg01s.ResiOut</vt:lpstr>
      <vt:lpstr>'RES_zh-TW'!mg01s.ResiOut</vt:lpstr>
      <vt:lpstr>'RES_cs-CZ'!mg01s.Row</vt:lpstr>
      <vt:lpstr>'RES_da-DK'!mg01s.Row</vt:lpstr>
      <vt:lpstr>'RES_de-DE'!mg01s.Row</vt:lpstr>
      <vt:lpstr>'RES_el-GR'!mg01s.Row</vt:lpstr>
      <vt:lpstr>'RES_en-US'!mg01s.Row</vt:lpstr>
      <vt:lpstr>'RES_es-ES'!mg01s.Row</vt:lpstr>
      <vt:lpstr>'RES_fi-FI'!mg01s.Row</vt:lpstr>
      <vt:lpstr>'RES_fr-FR'!mg01s.Row</vt:lpstr>
      <vt:lpstr>'RES_hr-HR'!mg01s.Row</vt:lpstr>
      <vt:lpstr>'RES_hu-HU'!mg01s.Row</vt:lpstr>
      <vt:lpstr>'RES_it-IT'!mg01s.Row</vt:lpstr>
      <vt:lpstr>'RES_ja-JP'!mg01s.Row</vt:lpstr>
      <vt:lpstr>'RES_ko-KR'!mg01s.Row</vt:lpstr>
      <vt:lpstr>'RES_lv-LV'!mg01s.Row</vt:lpstr>
      <vt:lpstr>'RES_nb-NO'!mg01s.Row</vt:lpstr>
      <vt:lpstr>'RES_nl-NL'!mg01s.Row</vt:lpstr>
      <vt:lpstr>'RES_pl-PL'!mg01s.Row</vt:lpstr>
      <vt:lpstr>'RES_pt-BR'!mg01s.Row</vt:lpstr>
      <vt:lpstr>'RES_pt-PT'!mg01s.Row</vt:lpstr>
      <vt:lpstr>'RES_ro-RO'!mg01s.Row</vt:lpstr>
      <vt:lpstr>'RES_ru-RU'!mg01s.Row</vt:lpstr>
      <vt:lpstr>'RES_sl-SI'!mg01s.Row</vt:lpstr>
      <vt:lpstr>'RES_sv-SE'!mg01s.Row</vt:lpstr>
      <vt:lpstr>'RES_tr-TR'!mg01s.Row</vt:lpstr>
      <vt:lpstr>'RES_zh-CN'!mg01s.Row</vt:lpstr>
      <vt:lpstr>'RES_zh-TW'!mg01s.Row</vt:lpstr>
      <vt:lpstr>'RES_cs-CZ'!mg01s.Rows</vt:lpstr>
      <vt:lpstr>'RES_da-DK'!mg01s.Rows</vt:lpstr>
      <vt:lpstr>'RES_de-DE'!mg01s.Rows</vt:lpstr>
      <vt:lpstr>'RES_el-GR'!mg01s.Rows</vt:lpstr>
      <vt:lpstr>'RES_en-US'!mg01s.Rows</vt:lpstr>
      <vt:lpstr>'RES_es-ES'!mg01s.Rows</vt:lpstr>
      <vt:lpstr>'RES_fi-FI'!mg01s.Rows</vt:lpstr>
      <vt:lpstr>'RES_fr-FR'!mg01s.Rows</vt:lpstr>
      <vt:lpstr>'RES_hr-HR'!mg01s.Rows</vt:lpstr>
      <vt:lpstr>'RES_hu-HU'!mg01s.Rows</vt:lpstr>
      <vt:lpstr>'RES_it-IT'!mg01s.Rows</vt:lpstr>
      <vt:lpstr>'RES_ja-JP'!mg01s.Rows</vt:lpstr>
      <vt:lpstr>'RES_ko-KR'!mg01s.Rows</vt:lpstr>
      <vt:lpstr>'RES_lv-LV'!mg01s.Rows</vt:lpstr>
      <vt:lpstr>'RES_nb-NO'!mg01s.Rows</vt:lpstr>
      <vt:lpstr>'RES_nl-NL'!mg01s.Rows</vt:lpstr>
      <vt:lpstr>'RES_pl-PL'!mg01s.Rows</vt:lpstr>
      <vt:lpstr>'RES_pt-BR'!mg01s.Rows</vt:lpstr>
      <vt:lpstr>'RES_pt-PT'!mg01s.Rows</vt:lpstr>
      <vt:lpstr>'RES_ro-RO'!mg01s.Rows</vt:lpstr>
      <vt:lpstr>'RES_ru-RU'!mg01s.Rows</vt:lpstr>
      <vt:lpstr>'RES_sl-SI'!mg01s.Rows</vt:lpstr>
      <vt:lpstr>'RES_sv-SE'!mg01s.Rows</vt:lpstr>
      <vt:lpstr>'RES_tr-TR'!mg01s.Rows</vt:lpstr>
      <vt:lpstr>'RES_zh-CN'!mg01s.Rows</vt:lpstr>
      <vt:lpstr>'RES_zh-TW'!mg01s.Rows</vt:lpstr>
      <vt:lpstr>'RES_cs-CZ'!mg01s.RSquare</vt:lpstr>
      <vt:lpstr>'RES_da-DK'!mg01s.RSquare</vt:lpstr>
      <vt:lpstr>'RES_de-DE'!mg01s.RSquare</vt:lpstr>
      <vt:lpstr>'RES_el-GR'!mg01s.RSquare</vt:lpstr>
      <vt:lpstr>'RES_en-US'!mg01s.RSquare</vt:lpstr>
      <vt:lpstr>'RES_es-ES'!mg01s.RSquare</vt:lpstr>
      <vt:lpstr>'RES_fi-FI'!mg01s.RSquare</vt:lpstr>
      <vt:lpstr>'RES_fr-FR'!mg01s.RSquare</vt:lpstr>
      <vt:lpstr>'RES_hr-HR'!mg01s.RSquare</vt:lpstr>
      <vt:lpstr>'RES_hu-HU'!mg01s.RSquare</vt:lpstr>
      <vt:lpstr>'RES_it-IT'!mg01s.RSquare</vt:lpstr>
      <vt:lpstr>'RES_ja-JP'!mg01s.RSquare</vt:lpstr>
      <vt:lpstr>'RES_ko-KR'!mg01s.RSquare</vt:lpstr>
      <vt:lpstr>'RES_lv-LV'!mg01s.RSquare</vt:lpstr>
      <vt:lpstr>'RES_nb-NO'!mg01s.RSquare</vt:lpstr>
      <vt:lpstr>'RES_nl-NL'!mg01s.RSquare</vt:lpstr>
      <vt:lpstr>'RES_pl-PL'!mg01s.RSquare</vt:lpstr>
      <vt:lpstr>'RES_pt-BR'!mg01s.RSquare</vt:lpstr>
      <vt:lpstr>'RES_pt-PT'!mg01s.RSquare</vt:lpstr>
      <vt:lpstr>'RES_ro-RO'!mg01s.RSquare</vt:lpstr>
      <vt:lpstr>'RES_ru-RU'!mg01s.RSquare</vt:lpstr>
      <vt:lpstr>'RES_sl-SI'!mg01s.RSquare</vt:lpstr>
      <vt:lpstr>'RES_sv-SE'!mg01s.RSquare</vt:lpstr>
      <vt:lpstr>'RES_tr-TR'!mg01s.RSquare</vt:lpstr>
      <vt:lpstr>'RES_zh-CN'!mg01s.RSquare</vt:lpstr>
      <vt:lpstr>'RES_zh-TW'!mg01s.RSquare</vt:lpstr>
      <vt:lpstr>'RES_cs-CZ'!mg01s.Sample</vt:lpstr>
      <vt:lpstr>'RES_da-DK'!mg01s.Sample</vt:lpstr>
      <vt:lpstr>'RES_de-DE'!mg01s.Sample</vt:lpstr>
      <vt:lpstr>'RES_el-GR'!mg01s.Sample</vt:lpstr>
      <vt:lpstr>'RES_en-US'!mg01s.Sample</vt:lpstr>
      <vt:lpstr>'RES_es-ES'!mg01s.Sample</vt:lpstr>
      <vt:lpstr>'RES_fi-FI'!mg01s.Sample</vt:lpstr>
      <vt:lpstr>'RES_fr-FR'!mg01s.Sample</vt:lpstr>
      <vt:lpstr>'RES_hr-HR'!mg01s.Sample</vt:lpstr>
      <vt:lpstr>'RES_hu-HU'!mg01s.Sample</vt:lpstr>
      <vt:lpstr>'RES_it-IT'!mg01s.Sample</vt:lpstr>
      <vt:lpstr>'RES_ja-JP'!mg01s.Sample</vt:lpstr>
      <vt:lpstr>'RES_ko-KR'!mg01s.Sample</vt:lpstr>
      <vt:lpstr>'RES_lv-LV'!mg01s.Sample</vt:lpstr>
      <vt:lpstr>'RES_nb-NO'!mg01s.Sample</vt:lpstr>
      <vt:lpstr>'RES_nl-NL'!mg01s.Sample</vt:lpstr>
      <vt:lpstr>'RES_pl-PL'!mg01s.Sample</vt:lpstr>
      <vt:lpstr>'RES_pt-BR'!mg01s.Sample</vt:lpstr>
      <vt:lpstr>'RES_pt-PT'!mg01s.Sample</vt:lpstr>
      <vt:lpstr>'RES_ro-RO'!mg01s.Sample</vt:lpstr>
      <vt:lpstr>'RES_ru-RU'!mg01s.Sample</vt:lpstr>
      <vt:lpstr>'RES_sl-SI'!mg01s.Sample</vt:lpstr>
      <vt:lpstr>'RES_sv-SE'!mg01s.Sample</vt:lpstr>
      <vt:lpstr>'RES_tr-TR'!mg01s.Sample</vt:lpstr>
      <vt:lpstr>'RES_zh-CN'!mg01s.Sample</vt:lpstr>
      <vt:lpstr>'RES_zh-TW'!mg01s.Sample</vt:lpstr>
      <vt:lpstr>'RES_cs-CZ'!mg01s.SampleVar</vt:lpstr>
      <vt:lpstr>'RES_da-DK'!mg01s.SampleVar</vt:lpstr>
      <vt:lpstr>'RES_de-DE'!mg01s.SampleVar</vt:lpstr>
      <vt:lpstr>'RES_el-GR'!mg01s.SampleVar</vt:lpstr>
      <vt:lpstr>'RES_en-US'!mg01s.SampleVar</vt:lpstr>
      <vt:lpstr>'RES_es-ES'!mg01s.SampleVar</vt:lpstr>
      <vt:lpstr>'RES_fi-FI'!mg01s.SampleVar</vt:lpstr>
      <vt:lpstr>'RES_fr-FR'!mg01s.SampleVar</vt:lpstr>
      <vt:lpstr>'RES_hr-HR'!mg01s.SampleVar</vt:lpstr>
      <vt:lpstr>'RES_hu-HU'!mg01s.SampleVar</vt:lpstr>
      <vt:lpstr>'RES_it-IT'!mg01s.SampleVar</vt:lpstr>
      <vt:lpstr>'RES_ja-JP'!mg01s.SampleVar</vt:lpstr>
      <vt:lpstr>'RES_ko-KR'!mg01s.SampleVar</vt:lpstr>
      <vt:lpstr>'RES_lv-LV'!mg01s.SampleVar</vt:lpstr>
      <vt:lpstr>'RES_nb-NO'!mg01s.SampleVar</vt:lpstr>
      <vt:lpstr>'RES_nl-NL'!mg01s.SampleVar</vt:lpstr>
      <vt:lpstr>'RES_pl-PL'!mg01s.SampleVar</vt:lpstr>
      <vt:lpstr>'RES_pt-BR'!mg01s.SampleVar</vt:lpstr>
      <vt:lpstr>'RES_pt-PT'!mg01s.SampleVar</vt:lpstr>
      <vt:lpstr>'RES_ro-RO'!mg01s.SampleVar</vt:lpstr>
      <vt:lpstr>'RES_ru-RU'!mg01s.SampleVar</vt:lpstr>
      <vt:lpstr>'RES_sl-SI'!mg01s.SampleVar</vt:lpstr>
      <vt:lpstr>'RES_sv-SE'!mg01s.SampleVar</vt:lpstr>
      <vt:lpstr>'RES_tr-TR'!mg01s.SampleVar</vt:lpstr>
      <vt:lpstr>'RES_zh-CN'!mg01s.SampleVar</vt:lpstr>
      <vt:lpstr>'RES_zh-TW'!mg01s.SampleVar</vt:lpstr>
      <vt:lpstr>'RES_cs-CZ'!mg01s.Sampling</vt:lpstr>
      <vt:lpstr>'RES_da-DK'!mg01s.Sampling</vt:lpstr>
      <vt:lpstr>'RES_de-DE'!mg01s.Sampling</vt:lpstr>
      <vt:lpstr>'RES_el-GR'!mg01s.Sampling</vt:lpstr>
      <vt:lpstr>'RES_en-US'!mg01s.Sampling</vt:lpstr>
      <vt:lpstr>'RES_es-ES'!mg01s.Sampling</vt:lpstr>
      <vt:lpstr>'RES_fi-FI'!mg01s.Sampling</vt:lpstr>
      <vt:lpstr>'RES_fr-FR'!mg01s.Sampling</vt:lpstr>
      <vt:lpstr>'RES_hr-HR'!mg01s.Sampling</vt:lpstr>
      <vt:lpstr>'RES_hu-HU'!mg01s.Sampling</vt:lpstr>
      <vt:lpstr>'RES_it-IT'!mg01s.Sampling</vt:lpstr>
      <vt:lpstr>'RES_ja-JP'!mg01s.Sampling</vt:lpstr>
      <vt:lpstr>'RES_ko-KR'!mg01s.Sampling</vt:lpstr>
      <vt:lpstr>'RES_lv-LV'!mg01s.Sampling</vt:lpstr>
      <vt:lpstr>'RES_nb-NO'!mg01s.Sampling</vt:lpstr>
      <vt:lpstr>'RES_nl-NL'!mg01s.Sampling</vt:lpstr>
      <vt:lpstr>'RES_pl-PL'!mg01s.Sampling</vt:lpstr>
      <vt:lpstr>'RES_pt-BR'!mg01s.Sampling</vt:lpstr>
      <vt:lpstr>'RES_pt-PT'!mg01s.Sampling</vt:lpstr>
      <vt:lpstr>'RES_ro-RO'!mg01s.Sampling</vt:lpstr>
      <vt:lpstr>'RES_ru-RU'!mg01s.Sampling</vt:lpstr>
      <vt:lpstr>'RES_sl-SI'!mg01s.Sampling</vt:lpstr>
      <vt:lpstr>'RES_sv-SE'!mg01s.Sampling</vt:lpstr>
      <vt:lpstr>'RES_tr-TR'!mg01s.Sampling</vt:lpstr>
      <vt:lpstr>'RES_zh-CN'!mg01s.Sampling</vt:lpstr>
      <vt:lpstr>'RES_zh-TW'!mg01s.Sampling</vt:lpstr>
      <vt:lpstr>'RES_cs-CZ'!mg01s.SampP</vt:lpstr>
      <vt:lpstr>'RES_da-DK'!mg01s.SampP</vt:lpstr>
      <vt:lpstr>'RES_de-DE'!mg01s.SampP</vt:lpstr>
      <vt:lpstr>'RES_el-GR'!mg01s.SampP</vt:lpstr>
      <vt:lpstr>'RES_en-US'!mg01s.SampP</vt:lpstr>
      <vt:lpstr>'RES_es-ES'!mg01s.SampP</vt:lpstr>
      <vt:lpstr>'RES_fi-FI'!mg01s.SampP</vt:lpstr>
      <vt:lpstr>'RES_fr-FR'!mg01s.SampP</vt:lpstr>
      <vt:lpstr>'RES_hr-HR'!mg01s.SampP</vt:lpstr>
      <vt:lpstr>'RES_hu-HU'!mg01s.SampP</vt:lpstr>
      <vt:lpstr>'RES_it-IT'!mg01s.SampP</vt:lpstr>
      <vt:lpstr>'RES_ja-JP'!mg01s.SampP</vt:lpstr>
      <vt:lpstr>'RES_ko-KR'!mg01s.SampP</vt:lpstr>
      <vt:lpstr>'RES_lv-LV'!mg01s.SampP</vt:lpstr>
      <vt:lpstr>'RES_nb-NO'!mg01s.SampP</vt:lpstr>
      <vt:lpstr>'RES_nl-NL'!mg01s.SampP</vt:lpstr>
      <vt:lpstr>'RES_pl-PL'!mg01s.SampP</vt:lpstr>
      <vt:lpstr>'RES_pt-BR'!mg01s.SampP</vt:lpstr>
      <vt:lpstr>'RES_pt-PT'!mg01s.SampP</vt:lpstr>
      <vt:lpstr>'RES_ro-RO'!mg01s.SampP</vt:lpstr>
      <vt:lpstr>'RES_ru-RU'!mg01s.SampP</vt:lpstr>
      <vt:lpstr>'RES_sl-SI'!mg01s.SampP</vt:lpstr>
      <vt:lpstr>'RES_sv-SE'!mg01s.SampP</vt:lpstr>
      <vt:lpstr>'RES_tr-TR'!mg01s.SampP</vt:lpstr>
      <vt:lpstr>'RES_zh-CN'!mg01s.SampP</vt:lpstr>
      <vt:lpstr>'RES_zh-TW'!mg01s.SampP</vt:lpstr>
      <vt:lpstr>'RES_cs-CZ'!mg01s.SampPercentile</vt:lpstr>
      <vt:lpstr>'RES_da-DK'!mg01s.SampPercentile</vt:lpstr>
      <vt:lpstr>'RES_de-DE'!mg01s.SampPercentile</vt:lpstr>
      <vt:lpstr>'RES_el-GR'!mg01s.SampPercentile</vt:lpstr>
      <vt:lpstr>'RES_en-US'!mg01s.SampPercentile</vt:lpstr>
      <vt:lpstr>'RES_es-ES'!mg01s.SampPercentile</vt:lpstr>
      <vt:lpstr>'RES_fi-FI'!mg01s.SampPercentile</vt:lpstr>
      <vt:lpstr>'RES_fr-FR'!mg01s.SampPercentile</vt:lpstr>
      <vt:lpstr>'RES_hr-HR'!mg01s.SampPercentile</vt:lpstr>
      <vt:lpstr>'RES_hu-HU'!mg01s.SampPercentile</vt:lpstr>
      <vt:lpstr>'RES_it-IT'!mg01s.SampPercentile</vt:lpstr>
      <vt:lpstr>'RES_ja-JP'!mg01s.SampPercentile</vt:lpstr>
      <vt:lpstr>'RES_ko-KR'!mg01s.SampPercentile</vt:lpstr>
      <vt:lpstr>'RES_lv-LV'!mg01s.SampPercentile</vt:lpstr>
      <vt:lpstr>'RES_nb-NO'!mg01s.SampPercentile</vt:lpstr>
      <vt:lpstr>'RES_nl-NL'!mg01s.SampPercentile</vt:lpstr>
      <vt:lpstr>'RES_pl-PL'!mg01s.SampPercentile</vt:lpstr>
      <vt:lpstr>'RES_pt-BR'!mg01s.SampPercentile</vt:lpstr>
      <vt:lpstr>'RES_pt-PT'!mg01s.SampPercentile</vt:lpstr>
      <vt:lpstr>'RES_ro-RO'!mg01s.SampPercentile</vt:lpstr>
      <vt:lpstr>'RES_ru-RU'!mg01s.SampPercentile</vt:lpstr>
      <vt:lpstr>'RES_sl-SI'!mg01s.SampPercentile</vt:lpstr>
      <vt:lpstr>'RES_sv-SE'!mg01s.SampPercentile</vt:lpstr>
      <vt:lpstr>'RES_tr-TR'!mg01s.SampPercentile</vt:lpstr>
      <vt:lpstr>'RES_zh-CN'!mg01s.SampPercentile</vt:lpstr>
      <vt:lpstr>'RES_zh-TW'!mg01s.SampPercentile</vt:lpstr>
      <vt:lpstr>'RES_cs-CZ'!mg01s.SampR</vt:lpstr>
      <vt:lpstr>'RES_da-DK'!mg01s.SampR</vt:lpstr>
      <vt:lpstr>'RES_de-DE'!mg01s.SampR</vt:lpstr>
      <vt:lpstr>'RES_el-GR'!mg01s.SampR</vt:lpstr>
      <vt:lpstr>'RES_en-US'!mg01s.SampR</vt:lpstr>
      <vt:lpstr>'RES_es-ES'!mg01s.SampR</vt:lpstr>
      <vt:lpstr>'RES_fi-FI'!mg01s.SampR</vt:lpstr>
      <vt:lpstr>'RES_fr-FR'!mg01s.SampR</vt:lpstr>
      <vt:lpstr>'RES_hr-HR'!mg01s.SampR</vt:lpstr>
      <vt:lpstr>'RES_hu-HU'!mg01s.SampR</vt:lpstr>
      <vt:lpstr>'RES_it-IT'!mg01s.SampR</vt:lpstr>
      <vt:lpstr>'RES_ja-JP'!mg01s.SampR</vt:lpstr>
      <vt:lpstr>'RES_ko-KR'!mg01s.SampR</vt:lpstr>
      <vt:lpstr>'RES_lv-LV'!mg01s.SampR</vt:lpstr>
      <vt:lpstr>'RES_nb-NO'!mg01s.SampR</vt:lpstr>
      <vt:lpstr>'RES_nl-NL'!mg01s.SampR</vt:lpstr>
      <vt:lpstr>'RES_pl-PL'!mg01s.SampR</vt:lpstr>
      <vt:lpstr>'RES_pt-BR'!mg01s.SampR</vt:lpstr>
      <vt:lpstr>'RES_pt-PT'!mg01s.SampR</vt:lpstr>
      <vt:lpstr>'RES_ro-RO'!mg01s.SampR</vt:lpstr>
      <vt:lpstr>'RES_ru-RU'!mg01s.SampR</vt:lpstr>
      <vt:lpstr>'RES_sl-SI'!mg01s.SampR</vt:lpstr>
      <vt:lpstr>'RES_sv-SE'!mg01s.SampR</vt:lpstr>
      <vt:lpstr>'RES_tr-TR'!mg01s.SampR</vt:lpstr>
      <vt:lpstr>'RES_zh-CN'!mg01s.SampR</vt:lpstr>
      <vt:lpstr>'RES_zh-TW'!mg01s.SampR</vt:lpstr>
      <vt:lpstr>'RES_cs-CZ'!mg01s.SigniF</vt:lpstr>
      <vt:lpstr>'RES_da-DK'!mg01s.SigniF</vt:lpstr>
      <vt:lpstr>'RES_de-DE'!mg01s.SigniF</vt:lpstr>
      <vt:lpstr>'RES_el-GR'!mg01s.SigniF</vt:lpstr>
      <vt:lpstr>'RES_en-US'!mg01s.SigniF</vt:lpstr>
      <vt:lpstr>'RES_es-ES'!mg01s.SigniF</vt:lpstr>
      <vt:lpstr>'RES_fi-FI'!mg01s.SigniF</vt:lpstr>
      <vt:lpstr>'RES_fr-FR'!mg01s.SigniF</vt:lpstr>
      <vt:lpstr>'RES_hr-HR'!mg01s.SigniF</vt:lpstr>
      <vt:lpstr>'RES_hu-HU'!mg01s.SigniF</vt:lpstr>
      <vt:lpstr>'RES_it-IT'!mg01s.SigniF</vt:lpstr>
      <vt:lpstr>'RES_ja-JP'!mg01s.SigniF</vt:lpstr>
      <vt:lpstr>'RES_ko-KR'!mg01s.SigniF</vt:lpstr>
      <vt:lpstr>'RES_lv-LV'!mg01s.SigniF</vt:lpstr>
      <vt:lpstr>'RES_nb-NO'!mg01s.SigniF</vt:lpstr>
      <vt:lpstr>'RES_nl-NL'!mg01s.SigniF</vt:lpstr>
      <vt:lpstr>'RES_pl-PL'!mg01s.SigniF</vt:lpstr>
      <vt:lpstr>'RES_pt-BR'!mg01s.SigniF</vt:lpstr>
      <vt:lpstr>'RES_pt-PT'!mg01s.SigniF</vt:lpstr>
      <vt:lpstr>'RES_ro-RO'!mg01s.SigniF</vt:lpstr>
      <vt:lpstr>'RES_ru-RU'!mg01s.SigniF</vt:lpstr>
      <vt:lpstr>'RES_sl-SI'!mg01s.SigniF</vt:lpstr>
      <vt:lpstr>'RES_sv-SE'!mg01s.SigniF</vt:lpstr>
      <vt:lpstr>'RES_tr-TR'!mg01s.SigniF</vt:lpstr>
      <vt:lpstr>'RES_zh-CN'!mg01s.SigniF</vt:lpstr>
      <vt:lpstr>'RES_zh-TW'!mg01s.SigniF</vt:lpstr>
      <vt:lpstr>'RES_cs-CZ'!mg01s.Skewness</vt:lpstr>
      <vt:lpstr>'RES_da-DK'!mg01s.Skewness</vt:lpstr>
      <vt:lpstr>'RES_de-DE'!mg01s.Skewness</vt:lpstr>
      <vt:lpstr>'RES_el-GR'!mg01s.Skewness</vt:lpstr>
      <vt:lpstr>'RES_en-US'!mg01s.Skewness</vt:lpstr>
      <vt:lpstr>'RES_es-ES'!mg01s.Skewness</vt:lpstr>
      <vt:lpstr>'RES_fi-FI'!mg01s.Skewness</vt:lpstr>
      <vt:lpstr>'RES_fr-FR'!mg01s.Skewness</vt:lpstr>
      <vt:lpstr>'RES_hr-HR'!mg01s.Skewness</vt:lpstr>
      <vt:lpstr>'RES_hu-HU'!mg01s.Skewness</vt:lpstr>
      <vt:lpstr>'RES_it-IT'!mg01s.Skewness</vt:lpstr>
      <vt:lpstr>'RES_ja-JP'!mg01s.Skewness</vt:lpstr>
      <vt:lpstr>'RES_ko-KR'!mg01s.Skewness</vt:lpstr>
      <vt:lpstr>'RES_lv-LV'!mg01s.Skewness</vt:lpstr>
      <vt:lpstr>'RES_nb-NO'!mg01s.Skewness</vt:lpstr>
      <vt:lpstr>'RES_nl-NL'!mg01s.Skewness</vt:lpstr>
      <vt:lpstr>'RES_pl-PL'!mg01s.Skewness</vt:lpstr>
      <vt:lpstr>'RES_pt-BR'!mg01s.Skewness</vt:lpstr>
      <vt:lpstr>'RES_pt-PT'!mg01s.Skewness</vt:lpstr>
      <vt:lpstr>'RES_ro-RO'!mg01s.Skewness</vt:lpstr>
      <vt:lpstr>'RES_ru-RU'!mg01s.Skewness</vt:lpstr>
      <vt:lpstr>'RES_sl-SI'!mg01s.Skewness</vt:lpstr>
      <vt:lpstr>'RES_sv-SE'!mg01s.Skewness</vt:lpstr>
      <vt:lpstr>'RES_tr-TR'!mg01s.Skewness</vt:lpstr>
      <vt:lpstr>'RES_zh-CN'!mg01s.Skewness</vt:lpstr>
      <vt:lpstr>'RES_zh-TW'!mg01s.Skewness</vt:lpstr>
      <vt:lpstr>'RES_cs-CZ'!mg01s.Smallest</vt:lpstr>
      <vt:lpstr>'RES_da-DK'!mg01s.Smallest</vt:lpstr>
      <vt:lpstr>'RES_de-DE'!mg01s.Smallest</vt:lpstr>
      <vt:lpstr>'RES_el-GR'!mg01s.Smallest</vt:lpstr>
      <vt:lpstr>'RES_en-US'!mg01s.Smallest</vt:lpstr>
      <vt:lpstr>'RES_es-ES'!mg01s.Smallest</vt:lpstr>
      <vt:lpstr>'RES_fi-FI'!mg01s.Smallest</vt:lpstr>
      <vt:lpstr>'RES_fr-FR'!mg01s.Smallest</vt:lpstr>
      <vt:lpstr>'RES_hr-HR'!mg01s.Smallest</vt:lpstr>
      <vt:lpstr>'RES_hu-HU'!mg01s.Smallest</vt:lpstr>
      <vt:lpstr>'RES_it-IT'!mg01s.Smallest</vt:lpstr>
      <vt:lpstr>'RES_ja-JP'!mg01s.Smallest</vt:lpstr>
      <vt:lpstr>'RES_ko-KR'!mg01s.Smallest</vt:lpstr>
      <vt:lpstr>'RES_lv-LV'!mg01s.Smallest</vt:lpstr>
      <vt:lpstr>'RES_nb-NO'!mg01s.Smallest</vt:lpstr>
      <vt:lpstr>'RES_nl-NL'!mg01s.Smallest</vt:lpstr>
      <vt:lpstr>'RES_pl-PL'!mg01s.Smallest</vt:lpstr>
      <vt:lpstr>'RES_pt-BR'!mg01s.Smallest</vt:lpstr>
      <vt:lpstr>'RES_pt-PT'!mg01s.Smallest</vt:lpstr>
      <vt:lpstr>'RES_ro-RO'!mg01s.Smallest</vt:lpstr>
      <vt:lpstr>'RES_ru-RU'!mg01s.Smallest</vt:lpstr>
      <vt:lpstr>'RES_sl-SI'!mg01s.Smallest</vt:lpstr>
      <vt:lpstr>'RES_sv-SE'!mg01s.Smallest</vt:lpstr>
      <vt:lpstr>'RES_tr-TR'!mg01s.Smallest</vt:lpstr>
      <vt:lpstr>'RES_zh-CN'!mg01s.Smallest</vt:lpstr>
      <vt:lpstr>'RES_zh-TW'!mg01s.Smallest</vt:lpstr>
      <vt:lpstr>'RES_cs-CZ'!mg01s.SrcVar</vt:lpstr>
      <vt:lpstr>'RES_da-DK'!mg01s.SrcVar</vt:lpstr>
      <vt:lpstr>'RES_de-DE'!mg01s.SrcVar</vt:lpstr>
      <vt:lpstr>'RES_el-GR'!mg01s.SrcVar</vt:lpstr>
      <vt:lpstr>'RES_en-US'!mg01s.SrcVar</vt:lpstr>
      <vt:lpstr>'RES_es-ES'!mg01s.SrcVar</vt:lpstr>
      <vt:lpstr>'RES_fi-FI'!mg01s.SrcVar</vt:lpstr>
      <vt:lpstr>'RES_fr-FR'!mg01s.SrcVar</vt:lpstr>
      <vt:lpstr>'RES_hr-HR'!mg01s.SrcVar</vt:lpstr>
      <vt:lpstr>'RES_hu-HU'!mg01s.SrcVar</vt:lpstr>
      <vt:lpstr>'RES_it-IT'!mg01s.SrcVar</vt:lpstr>
      <vt:lpstr>'RES_ja-JP'!mg01s.SrcVar</vt:lpstr>
      <vt:lpstr>'RES_ko-KR'!mg01s.SrcVar</vt:lpstr>
      <vt:lpstr>'RES_lv-LV'!mg01s.SrcVar</vt:lpstr>
      <vt:lpstr>'RES_nb-NO'!mg01s.SrcVar</vt:lpstr>
      <vt:lpstr>'RES_nl-NL'!mg01s.SrcVar</vt:lpstr>
      <vt:lpstr>'RES_pl-PL'!mg01s.SrcVar</vt:lpstr>
      <vt:lpstr>'RES_pt-BR'!mg01s.SrcVar</vt:lpstr>
      <vt:lpstr>'RES_pt-PT'!mg01s.SrcVar</vt:lpstr>
      <vt:lpstr>'RES_ro-RO'!mg01s.SrcVar</vt:lpstr>
      <vt:lpstr>'RES_ru-RU'!mg01s.SrcVar</vt:lpstr>
      <vt:lpstr>'RES_sl-SI'!mg01s.SrcVar</vt:lpstr>
      <vt:lpstr>'RES_sv-SE'!mg01s.SrcVar</vt:lpstr>
      <vt:lpstr>'RES_tr-TR'!mg01s.SrcVar</vt:lpstr>
      <vt:lpstr>'RES_zh-CN'!mg01s.SrcVar</vt:lpstr>
      <vt:lpstr>'RES_zh-TW'!mg01s.SrcVar</vt:lpstr>
      <vt:lpstr>'RES_cs-CZ'!mg01s.SS</vt:lpstr>
      <vt:lpstr>'RES_da-DK'!mg01s.SS</vt:lpstr>
      <vt:lpstr>'RES_de-DE'!mg01s.SS</vt:lpstr>
      <vt:lpstr>'RES_el-GR'!mg01s.SS</vt:lpstr>
      <vt:lpstr>'RES_en-US'!mg01s.SS</vt:lpstr>
      <vt:lpstr>'RES_es-ES'!mg01s.SS</vt:lpstr>
      <vt:lpstr>'RES_fi-FI'!mg01s.SS</vt:lpstr>
      <vt:lpstr>'RES_fr-FR'!mg01s.SS</vt:lpstr>
      <vt:lpstr>'RES_hr-HR'!mg01s.SS</vt:lpstr>
      <vt:lpstr>'RES_hu-HU'!mg01s.SS</vt:lpstr>
      <vt:lpstr>'RES_it-IT'!mg01s.SS</vt:lpstr>
      <vt:lpstr>'RES_ja-JP'!mg01s.SS</vt:lpstr>
      <vt:lpstr>'RES_ko-KR'!mg01s.SS</vt:lpstr>
      <vt:lpstr>'RES_lv-LV'!mg01s.SS</vt:lpstr>
      <vt:lpstr>'RES_nb-NO'!mg01s.SS</vt:lpstr>
      <vt:lpstr>'RES_nl-NL'!mg01s.SS</vt:lpstr>
      <vt:lpstr>'RES_pl-PL'!mg01s.SS</vt:lpstr>
      <vt:lpstr>'RES_pt-BR'!mg01s.SS</vt:lpstr>
      <vt:lpstr>'RES_pt-PT'!mg01s.SS</vt:lpstr>
      <vt:lpstr>'RES_ro-RO'!mg01s.SS</vt:lpstr>
      <vt:lpstr>'RES_ru-RU'!mg01s.SS</vt:lpstr>
      <vt:lpstr>'RES_sl-SI'!mg01s.SS</vt:lpstr>
      <vt:lpstr>'RES_sv-SE'!mg01s.SS</vt:lpstr>
      <vt:lpstr>'RES_tr-TR'!mg01s.SS</vt:lpstr>
      <vt:lpstr>'RES_zh-CN'!mg01s.SS</vt:lpstr>
      <vt:lpstr>'RES_zh-TW'!mg01s.SS</vt:lpstr>
      <vt:lpstr>'RES_cs-CZ'!mg01s.Stat</vt:lpstr>
      <vt:lpstr>'RES_da-DK'!mg01s.Stat</vt:lpstr>
      <vt:lpstr>'RES_de-DE'!mg01s.Stat</vt:lpstr>
      <vt:lpstr>'RES_el-GR'!mg01s.Stat</vt:lpstr>
      <vt:lpstr>'RES_en-US'!mg01s.Stat</vt:lpstr>
      <vt:lpstr>'RES_es-ES'!mg01s.Stat</vt:lpstr>
      <vt:lpstr>'RES_fi-FI'!mg01s.Stat</vt:lpstr>
      <vt:lpstr>'RES_fr-FR'!mg01s.Stat</vt:lpstr>
      <vt:lpstr>'RES_hr-HR'!mg01s.Stat</vt:lpstr>
      <vt:lpstr>'RES_hu-HU'!mg01s.Stat</vt:lpstr>
      <vt:lpstr>'RES_it-IT'!mg01s.Stat</vt:lpstr>
      <vt:lpstr>'RES_ja-JP'!mg01s.Stat</vt:lpstr>
      <vt:lpstr>'RES_ko-KR'!mg01s.Stat</vt:lpstr>
      <vt:lpstr>'RES_lv-LV'!mg01s.Stat</vt:lpstr>
      <vt:lpstr>'RES_nb-NO'!mg01s.Stat</vt:lpstr>
      <vt:lpstr>'RES_nl-NL'!mg01s.Stat</vt:lpstr>
      <vt:lpstr>'RES_pl-PL'!mg01s.Stat</vt:lpstr>
      <vt:lpstr>'RES_pt-BR'!mg01s.Stat</vt:lpstr>
      <vt:lpstr>'RES_pt-PT'!mg01s.Stat</vt:lpstr>
      <vt:lpstr>'RES_ro-RO'!mg01s.Stat</vt:lpstr>
      <vt:lpstr>'RES_ru-RU'!mg01s.Stat</vt:lpstr>
      <vt:lpstr>'RES_sl-SI'!mg01s.Stat</vt:lpstr>
      <vt:lpstr>'RES_sv-SE'!mg01s.Stat</vt:lpstr>
      <vt:lpstr>'RES_tr-TR'!mg01s.Stat</vt:lpstr>
      <vt:lpstr>'RES_zh-CN'!mg01s.Stat</vt:lpstr>
      <vt:lpstr>'RES_zh-TW'!mg01s.Stat</vt:lpstr>
      <vt:lpstr>'RES_cs-CZ'!mg01s.StdDev</vt:lpstr>
      <vt:lpstr>'RES_da-DK'!mg01s.StdDev</vt:lpstr>
      <vt:lpstr>'RES_de-DE'!mg01s.StdDev</vt:lpstr>
      <vt:lpstr>'RES_el-GR'!mg01s.StdDev</vt:lpstr>
      <vt:lpstr>'RES_en-US'!mg01s.StdDev</vt:lpstr>
      <vt:lpstr>'RES_es-ES'!mg01s.StdDev</vt:lpstr>
      <vt:lpstr>'RES_fi-FI'!mg01s.StdDev</vt:lpstr>
      <vt:lpstr>'RES_fr-FR'!mg01s.StdDev</vt:lpstr>
      <vt:lpstr>'RES_hr-HR'!mg01s.StdDev</vt:lpstr>
      <vt:lpstr>'RES_hu-HU'!mg01s.StdDev</vt:lpstr>
      <vt:lpstr>'RES_it-IT'!mg01s.StdDev</vt:lpstr>
      <vt:lpstr>'RES_ja-JP'!mg01s.StdDev</vt:lpstr>
      <vt:lpstr>'RES_ko-KR'!mg01s.StdDev</vt:lpstr>
      <vt:lpstr>'RES_lv-LV'!mg01s.StdDev</vt:lpstr>
      <vt:lpstr>'RES_nb-NO'!mg01s.StdDev</vt:lpstr>
      <vt:lpstr>'RES_nl-NL'!mg01s.StdDev</vt:lpstr>
      <vt:lpstr>'RES_pl-PL'!mg01s.StdDev</vt:lpstr>
      <vt:lpstr>'RES_pt-BR'!mg01s.StdDev</vt:lpstr>
      <vt:lpstr>'RES_pt-PT'!mg01s.StdDev</vt:lpstr>
      <vt:lpstr>'RES_ro-RO'!mg01s.StdDev</vt:lpstr>
      <vt:lpstr>'RES_ru-RU'!mg01s.StdDev</vt:lpstr>
      <vt:lpstr>'RES_sl-SI'!mg01s.StdDev</vt:lpstr>
      <vt:lpstr>'RES_sv-SE'!mg01s.StdDev</vt:lpstr>
      <vt:lpstr>'RES_tr-TR'!mg01s.StdDev</vt:lpstr>
      <vt:lpstr>'RES_zh-CN'!mg01s.StdDev</vt:lpstr>
      <vt:lpstr>'RES_zh-TW'!mg01s.StdDev</vt:lpstr>
      <vt:lpstr>'RES_cs-CZ'!mg01s.StdErr</vt:lpstr>
      <vt:lpstr>'RES_da-DK'!mg01s.StdErr</vt:lpstr>
      <vt:lpstr>'RES_de-DE'!mg01s.StdErr</vt:lpstr>
      <vt:lpstr>'RES_el-GR'!mg01s.StdErr</vt:lpstr>
      <vt:lpstr>'RES_en-US'!mg01s.StdErr</vt:lpstr>
      <vt:lpstr>'RES_es-ES'!mg01s.StdErr</vt:lpstr>
      <vt:lpstr>'RES_fi-FI'!mg01s.StdErr</vt:lpstr>
      <vt:lpstr>'RES_fr-FR'!mg01s.StdErr</vt:lpstr>
      <vt:lpstr>'RES_hr-HR'!mg01s.StdErr</vt:lpstr>
      <vt:lpstr>'RES_hu-HU'!mg01s.StdErr</vt:lpstr>
      <vt:lpstr>'RES_it-IT'!mg01s.StdErr</vt:lpstr>
      <vt:lpstr>'RES_ja-JP'!mg01s.StdErr</vt:lpstr>
      <vt:lpstr>'RES_ko-KR'!mg01s.StdErr</vt:lpstr>
      <vt:lpstr>'RES_lv-LV'!mg01s.StdErr</vt:lpstr>
      <vt:lpstr>'RES_nb-NO'!mg01s.StdErr</vt:lpstr>
      <vt:lpstr>'RES_nl-NL'!mg01s.StdErr</vt:lpstr>
      <vt:lpstr>'RES_pl-PL'!mg01s.StdErr</vt:lpstr>
      <vt:lpstr>'RES_pt-BR'!mg01s.StdErr</vt:lpstr>
      <vt:lpstr>'RES_pt-PT'!mg01s.StdErr</vt:lpstr>
      <vt:lpstr>'RES_ro-RO'!mg01s.StdErr</vt:lpstr>
      <vt:lpstr>'RES_ru-RU'!mg01s.StdErr</vt:lpstr>
      <vt:lpstr>'RES_sl-SI'!mg01s.StdErr</vt:lpstr>
      <vt:lpstr>'RES_sv-SE'!mg01s.StdErr</vt:lpstr>
      <vt:lpstr>'RES_tr-TR'!mg01s.StdErr</vt:lpstr>
      <vt:lpstr>'RES_zh-CN'!mg01s.StdErr</vt:lpstr>
      <vt:lpstr>'RES_zh-TW'!mg01s.StdErr</vt:lpstr>
      <vt:lpstr>'RES_cs-CZ'!mg01s.StdResid</vt:lpstr>
      <vt:lpstr>'RES_da-DK'!mg01s.StdResid</vt:lpstr>
      <vt:lpstr>'RES_de-DE'!mg01s.StdResid</vt:lpstr>
      <vt:lpstr>'RES_el-GR'!mg01s.StdResid</vt:lpstr>
      <vt:lpstr>'RES_en-US'!mg01s.StdResid</vt:lpstr>
      <vt:lpstr>'RES_es-ES'!mg01s.StdResid</vt:lpstr>
      <vt:lpstr>'RES_fi-FI'!mg01s.StdResid</vt:lpstr>
      <vt:lpstr>'RES_fr-FR'!mg01s.StdResid</vt:lpstr>
      <vt:lpstr>'RES_hr-HR'!mg01s.StdResid</vt:lpstr>
      <vt:lpstr>'RES_hu-HU'!mg01s.StdResid</vt:lpstr>
      <vt:lpstr>'RES_it-IT'!mg01s.StdResid</vt:lpstr>
      <vt:lpstr>'RES_ja-JP'!mg01s.StdResid</vt:lpstr>
      <vt:lpstr>'RES_ko-KR'!mg01s.StdResid</vt:lpstr>
      <vt:lpstr>'RES_lv-LV'!mg01s.StdResid</vt:lpstr>
      <vt:lpstr>'RES_nb-NO'!mg01s.StdResid</vt:lpstr>
      <vt:lpstr>'RES_nl-NL'!mg01s.StdResid</vt:lpstr>
      <vt:lpstr>'RES_pl-PL'!mg01s.StdResid</vt:lpstr>
      <vt:lpstr>'RES_pt-BR'!mg01s.StdResid</vt:lpstr>
      <vt:lpstr>'RES_pt-PT'!mg01s.StdResid</vt:lpstr>
      <vt:lpstr>'RES_ro-RO'!mg01s.StdResid</vt:lpstr>
      <vt:lpstr>'RES_ru-RU'!mg01s.StdResid</vt:lpstr>
      <vt:lpstr>'RES_sl-SI'!mg01s.StdResid</vt:lpstr>
      <vt:lpstr>'RES_sv-SE'!mg01s.StdResid</vt:lpstr>
      <vt:lpstr>'RES_tr-TR'!mg01s.StdResid</vt:lpstr>
      <vt:lpstr>'RES_zh-CN'!mg01s.StdResid</vt:lpstr>
      <vt:lpstr>'RES_zh-TW'!mg01s.StdResid</vt:lpstr>
      <vt:lpstr>'RES_cs-CZ'!mg01s.Sum</vt:lpstr>
      <vt:lpstr>'RES_da-DK'!mg01s.Sum</vt:lpstr>
      <vt:lpstr>'RES_de-DE'!mg01s.Sum</vt:lpstr>
      <vt:lpstr>'RES_el-GR'!mg01s.Sum</vt:lpstr>
      <vt:lpstr>'RES_en-US'!mg01s.Sum</vt:lpstr>
      <vt:lpstr>'RES_es-ES'!mg01s.Sum</vt:lpstr>
      <vt:lpstr>'RES_fi-FI'!mg01s.Sum</vt:lpstr>
      <vt:lpstr>'RES_fr-FR'!mg01s.Sum</vt:lpstr>
      <vt:lpstr>'RES_hr-HR'!mg01s.Sum</vt:lpstr>
      <vt:lpstr>'RES_hu-HU'!mg01s.Sum</vt:lpstr>
      <vt:lpstr>'RES_it-IT'!mg01s.Sum</vt:lpstr>
      <vt:lpstr>'RES_ja-JP'!mg01s.Sum</vt:lpstr>
      <vt:lpstr>'RES_ko-KR'!mg01s.Sum</vt:lpstr>
      <vt:lpstr>'RES_lv-LV'!mg01s.Sum</vt:lpstr>
      <vt:lpstr>'RES_nb-NO'!mg01s.Sum</vt:lpstr>
      <vt:lpstr>'RES_nl-NL'!mg01s.Sum</vt:lpstr>
      <vt:lpstr>'RES_pl-PL'!mg01s.Sum</vt:lpstr>
      <vt:lpstr>'RES_pt-BR'!mg01s.Sum</vt:lpstr>
      <vt:lpstr>'RES_pt-PT'!mg01s.Sum</vt:lpstr>
      <vt:lpstr>'RES_ro-RO'!mg01s.Sum</vt:lpstr>
      <vt:lpstr>'RES_ru-RU'!mg01s.Sum</vt:lpstr>
      <vt:lpstr>'RES_sl-SI'!mg01s.Sum</vt:lpstr>
      <vt:lpstr>'RES_sv-SE'!mg01s.Sum</vt:lpstr>
      <vt:lpstr>'RES_tr-TR'!mg01s.Sum</vt:lpstr>
      <vt:lpstr>'RES_zh-CN'!mg01s.Sum</vt:lpstr>
      <vt:lpstr>'RES_zh-TW'!mg01s.Sum</vt:lpstr>
      <vt:lpstr>'RES_cs-CZ'!mg01s.Summary</vt:lpstr>
      <vt:lpstr>'RES_da-DK'!mg01s.Summary</vt:lpstr>
      <vt:lpstr>'RES_de-DE'!mg01s.Summary</vt:lpstr>
      <vt:lpstr>'RES_el-GR'!mg01s.Summary</vt:lpstr>
      <vt:lpstr>'RES_en-US'!mg01s.Summary</vt:lpstr>
      <vt:lpstr>'RES_es-ES'!mg01s.Summary</vt:lpstr>
      <vt:lpstr>'RES_fi-FI'!mg01s.Summary</vt:lpstr>
      <vt:lpstr>'RES_fr-FR'!mg01s.Summary</vt:lpstr>
      <vt:lpstr>'RES_hr-HR'!mg01s.Summary</vt:lpstr>
      <vt:lpstr>'RES_hu-HU'!mg01s.Summary</vt:lpstr>
      <vt:lpstr>'RES_it-IT'!mg01s.Summary</vt:lpstr>
      <vt:lpstr>'RES_ja-JP'!mg01s.Summary</vt:lpstr>
      <vt:lpstr>'RES_ko-KR'!mg01s.Summary</vt:lpstr>
      <vt:lpstr>'RES_lv-LV'!mg01s.Summary</vt:lpstr>
      <vt:lpstr>'RES_nb-NO'!mg01s.Summary</vt:lpstr>
      <vt:lpstr>'RES_nl-NL'!mg01s.Summary</vt:lpstr>
      <vt:lpstr>'RES_pl-PL'!mg01s.Summary</vt:lpstr>
      <vt:lpstr>'RES_pt-BR'!mg01s.Summary</vt:lpstr>
      <vt:lpstr>'RES_pt-PT'!mg01s.Summary</vt:lpstr>
      <vt:lpstr>'RES_ro-RO'!mg01s.Summary</vt:lpstr>
      <vt:lpstr>'RES_ru-RU'!mg01s.Summary</vt:lpstr>
      <vt:lpstr>'RES_sl-SI'!mg01s.Summary</vt:lpstr>
      <vt:lpstr>'RES_sv-SE'!mg01s.Summary</vt:lpstr>
      <vt:lpstr>'RES_tr-TR'!mg01s.Summary</vt:lpstr>
      <vt:lpstr>'RES_zh-CN'!mg01s.Summary</vt:lpstr>
      <vt:lpstr>'RES_zh-TW'!mg01s.Summary</vt:lpstr>
      <vt:lpstr>'RES_cs-CZ'!mg01s.SumOut</vt:lpstr>
      <vt:lpstr>'RES_da-DK'!mg01s.SumOut</vt:lpstr>
      <vt:lpstr>'RES_de-DE'!mg01s.SumOut</vt:lpstr>
      <vt:lpstr>'RES_el-GR'!mg01s.SumOut</vt:lpstr>
      <vt:lpstr>'RES_en-US'!mg01s.SumOut</vt:lpstr>
      <vt:lpstr>'RES_es-ES'!mg01s.SumOut</vt:lpstr>
      <vt:lpstr>'RES_fi-FI'!mg01s.SumOut</vt:lpstr>
      <vt:lpstr>'RES_fr-FR'!mg01s.SumOut</vt:lpstr>
      <vt:lpstr>'RES_hr-HR'!mg01s.SumOut</vt:lpstr>
      <vt:lpstr>'RES_hu-HU'!mg01s.SumOut</vt:lpstr>
      <vt:lpstr>'RES_it-IT'!mg01s.SumOut</vt:lpstr>
      <vt:lpstr>'RES_ja-JP'!mg01s.SumOut</vt:lpstr>
      <vt:lpstr>'RES_ko-KR'!mg01s.SumOut</vt:lpstr>
      <vt:lpstr>'RES_lv-LV'!mg01s.SumOut</vt:lpstr>
      <vt:lpstr>'RES_nb-NO'!mg01s.SumOut</vt:lpstr>
      <vt:lpstr>'RES_nl-NL'!mg01s.SumOut</vt:lpstr>
      <vt:lpstr>'RES_pl-PL'!mg01s.SumOut</vt:lpstr>
      <vt:lpstr>'RES_pt-BR'!mg01s.SumOut</vt:lpstr>
      <vt:lpstr>'RES_pt-PT'!mg01s.SumOut</vt:lpstr>
      <vt:lpstr>'RES_ro-RO'!mg01s.SumOut</vt:lpstr>
      <vt:lpstr>'RES_ru-RU'!mg01s.SumOut</vt:lpstr>
      <vt:lpstr>'RES_sl-SI'!mg01s.SumOut</vt:lpstr>
      <vt:lpstr>'RES_sv-SE'!mg01s.SumOut</vt:lpstr>
      <vt:lpstr>'RES_tr-TR'!mg01s.SumOut</vt:lpstr>
      <vt:lpstr>'RES_zh-CN'!mg01s.SumOut</vt:lpstr>
      <vt:lpstr>'RES_zh-TW'!mg01s.SumOut</vt:lpstr>
      <vt:lpstr>'RES_cs-CZ'!mg01s.TCrit1</vt:lpstr>
      <vt:lpstr>'RES_da-DK'!mg01s.TCrit1</vt:lpstr>
      <vt:lpstr>'RES_de-DE'!mg01s.TCrit1</vt:lpstr>
      <vt:lpstr>'RES_el-GR'!mg01s.TCrit1</vt:lpstr>
      <vt:lpstr>'RES_en-US'!mg01s.TCrit1</vt:lpstr>
      <vt:lpstr>'RES_es-ES'!mg01s.TCrit1</vt:lpstr>
      <vt:lpstr>'RES_fi-FI'!mg01s.TCrit1</vt:lpstr>
      <vt:lpstr>'RES_fr-FR'!mg01s.TCrit1</vt:lpstr>
      <vt:lpstr>'RES_hr-HR'!mg01s.TCrit1</vt:lpstr>
      <vt:lpstr>'RES_hu-HU'!mg01s.TCrit1</vt:lpstr>
      <vt:lpstr>'RES_it-IT'!mg01s.TCrit1</vt:lpstr>
      <vt:lpstr>'RES_ja-JP'!mg01s.TCrit1</vt:lpstr>
      <vt:lpstr>'RES_ko-KR'!mg01s.TCrit1</vt:lpstr>
      <vt:lpstr>'RES_lv-LV'!mg01s.TCrit1</vt:lpstr>
      <vt:lpstr>'RES_nb-NO'!mg01s.TCrit1</vt:lpstr>
      <vt:lpstr>'RES_nl-NL'!mg01s.TCrit1</vt:lpstr>
      <vt:lpstr>'RES_pl-PL'!mg01s.TCrit1</vt:lpstr>
      <vt:lpstr>'RES_pt-BR'!mg01s.TCrit1</vt:lpstr>
      <vt:lpstr>'RES_pt-PT'!mg01s.TCrit1</vt:lpstr>
      <vt:lpstr>'RES_ro-RO'!mg01s.TCrit1</vt:lpstr>
      <vt:lpstr>'RES_ru-RU'!mg01s.TCrit1</vt:lpstr>
      <vt:lpstr>'RES_sl-SI'!mg01s.TCrit1</vt:lpstr>
      <vt:lpstr>'RES_sv-SE'!mg01s.TCrit1</vt:lpstr>
      <vt:lpstr>'RES_tr-TR'!mg01s.TCrit1</vt:lpstr>
      <vt:lpstr>'RES_zh-CN'!mg01s.TCrit1</vt:lpstr>
      <vt:lpstr>'RES_zh-TW'!mg01s.TCrit1</vt:lpstr>
      <vt:lpstr>'RES_cs-CZ'!mg01s.TCrit2</vt:lpstr>
      <vt:lpstr>'RES_da-DK'!mg01s.TCrit2</vt:lpstr>
      <vt:lpstr>'RES_de-DE'!mg01s.TCrit2</vt:lpstr>
      <vt:lpstr>'RES_el-GR'!mg01s.TCrit2</vt:lpstr>
      <vt:lpstr>'RES_en-US'!mg01s.TCrit2</vt:lpstr>
      <vt:lpstr>'RES_es-ES'!mg01s.TCrit2</vt:lpstr>
      <vt:lpstr>'RES_fi-FI'!mg01s.TCrit2</vt:lpstr>
      <vt:lpstr>'RES_fr-FR'!mg01s.TCrit2</vt:lpstr>
      <vt:lpstr>'RES_hr-HR'!mg01s.TCrit2</vt:lpstr>
      <vt:lpstr>'RES_hu-HU'!mg01s.TCrit2</vt:lpstr>
      <vt:lpstr>'RES_it-IT'!mg01s.TCrit2</vt:lpstr>
      <vt:lpstr>'RES_ja-JP'!mg01s.TCrit2</vt:lpstr>
      <vt:lpstr>'RES_ko-KR'!mg01s.TCrit2</vt:lpstr>
      <vt:lpstr>'RES_lv-LV'!mg01s.TCrit2</vt:lpstr>
      <vt:lpstr>'RES_nb-NO'!mg01s.TCrit2</vt:lpstr>
      <vt:lpstr>'RES_nl-NL'!mg01s.TCrit2</vt:lpstr>
      <vt:lpstr>'RES_pl-PL'!mg01s.TCrit2</vt:lpstr>
      <vt:lpstr>'RES_pt-BR'!mg01s.TCrit2</vt:lpstr>
      <vt:lpstr>'RES_pt-PT'!mg01s.TCrit2</vt:lpstr>
      <vt:lpstr>'RES_ro-RO'!mg01s.TCrit2</vt:lpstr>
      <vt:lpstr>'RES_ru-RU'!mg01s.TCrit2</vt:lpstr>
      <vt:lpstr>'RES_sl-SI'!mg01s.TCrit2</vt:lpstr>
      <vt:lpstr>'RES_sv-SE'!mg01s.TCrit2</vt:lpstr>
      <vt:lpstr>'RES_tr-TR'!mg01s.TCrit2</vt:lpstr>
      <vt:lpstr>'RES_zh-CN'!mg01s.TCrit2</vt:lpstr>
      <vt:lpstr>'RES_zh-TW'!mg01s.TCrit2</vt:lpstr>
      <vt:lpstr>'RES_cs-CZ'!mg01s.Total</vt:lpstr>
      <vt:lpstr>'RES_da-DK'!mg01s.Total</vt:lpstr>
      <vt:lpstr>'RES_de-DE'!mg01s.Total</vt:lpstr>
      <vt:lpstr>'RES_el-GR'!mg01s.Total</vt:lpstr>
      <vt:lpstr>'RES_en-US'!mg01s.Total</vt:lpstr>
      <vt:lpstr>'RES_es-ES'!mg01s.Total</vt:lpstr>
      <vt:lpstr>'RES_fi-FI'!mg01s.Total</vt:lpstr>
      <vt:lpstr>'RES_fr-FR'!mg01s.Total</vt:lpstr>
      <vt:lpstr>'RES_hr-HR'!mg01s.Total</vt:lpstr>
      <vt:lpstr>'RES_hu-HU'!mg01s.Total</vt:lpstr>
      <vt:lpstr>'RES_it-IT'!mg01s.Total</vt:lpstr>
      <vt:lpstr>'RES_ja-JP'!mg01s.Total</vt:lpstr>
      <vt:lpstr>'RES_ko-KR'!mg01s.Total</vt:lpstr>
      <vt:lpstr>'RES_lv-LV'!mg01s.Total</vt:lpstr>
      <vt:lpstr>'RES_nb-NO'!mg01s.Total</vt:lpstr>
      <vt:lpstr>'RES_nl-NL'!mg01s.Total</vt:lpstr>
      <vt:lpstr>'RES_pl-PL'!mg01s.Total</vt:lpstr>
      <vt:lpstr>'RES_pt-BR'!mg01s.Total</vt:lpstr>
      <vt:lpstr>'RES_pt-PT'!mg01s.Total</vt:lpstr>
      <vt:lpstr>'RES_ro-RO'!mg01s.Total</vt:lpstr>
      <vt:lpstr>'RES_ru-RU'!mg01s.Total</vt:lpstr>
      <vt:lpstr>'RES_sl-SI'!mg01s.Total</vt:lpstr>
      <vt:lpstr>'RES_sv-SE'!mg01s.Total</vt:lpstr>
      <vt:lpstr>'RES_tr-TR'!mg01s.Total</vt:lpstr>
      <vt:lpstr>'RES_zh-CN'!mg01s.Total</vt:lpstr>
      <vt:lpstr>'RES_zh-TW'!mg01s.Total</vt:lpstr>
      <vt:lpstr>'RES_cs-CZ'!mg01s.tStat</vt:lpstr>
      <vt:lpstr>'RES_da-DK'!mg01s.tStat</vt:lpstr>
      <vt:lpstr>'RES_de-DE'!mg01s.tStat</vt:lpstr>
      <vt:lpstr>'RES_el-GR'!mg01s.tStat</vt:lpstr>
      <vt:lpstr>'RES_en-US'!mg01s.tStat</vt:lpstr>
      <vt:lpstr>'RES_es-ES'!mg01s.tStat</vt:lpstr>
      <vt:lpstr>'RES_fi-FI'!mg01s.tStat</vt:lpstr>
      <vt:lpstr>'RES_fr-FR'!mg01s.tStat</vt:lpstr>
      <vt:lpstr>'RES_hr-HR'!mg01s.tStat</vt:lpstr>
      <vt:lpstr>'RES_hu-HU'!mg01s.tStat</vt:lpstr>
      <vt:lpstr>'RES_it-IT'!mg01s.tStat</vt:lpstr>
      <vt:lpstr>'RES_ja-JP'!mg01s.tStat</vt:lpstr>
      <vt:lpstr>'RES_ko-KR'!mg01s.tStat</vt:lpstr>
      <vt:lpstr>'RES_lv-LV'!mg01s.tStat</vt:lpstr>
      <vt:lpstr>'RES_nb-NO'!mg01s.tStat</vt:lpstr>
      <vt:lpstr>'RES_nl-NL'!mg01s.tStat</vt:lpstr>
      <vt:lpstr>'RES_pl-PL'!mg01s.tStat</vt:lpstr>
      <vt:lpstr>'RES_pt-BR'!mg01s.tStat</vt:lpstr>
      <vt:lpstr>'RES_pt-PT'!mg01s.tStat</vt:lpstr>
      <vt:lpstr>'RES_ro-RO'!mg01s.tStat</vt:lpstr>
      <vt:lpstr>'RES_ru-RU'!mg01s.tStat</vt:lpstr>
      <vt:lpstr>'RES_sl-SI'!mg01s.tStat</vt:lpstr>
      <vt:lpstr>'RES_sv-SE'!mg01s.tStat</vt:lpstr>
      <vt:lpstr>'RES_tr-TR'!mg01s.tStat</vt:lpstr>
      <vt:lpstr>'RES_zh-CN'!mg01s.tStat</vt:lpstr>
      <vt:lpstr>'RES_zh-TW'!mg01s.tStat</vt:lpstr>
      <vt:lpstr>'RES_cs-CZ'!mg01s.TTEqVar</vt:lpstr>
      <vt:lpstr>'RES_da-DK'!mg01s.TTEqVar</vt:lpstr>
      <vt:lpstr>'RES_de-DE'!mg01s.TTEqVar</vt:lpstr>
      <vt:lpstr>'RES_el-GR'!mg01s.TTEqVar</vt:lpstr>
      <vt:lpstr>'RES_en-US'!mg01s.TTEqVar</vt:lpstr>
      <vt:lpstr>'RES_es-ES'!mg01s.TTEqVar</vt:lpstr>
      <vt:lpstr>'RES_fi-FI'!mg01s.TTEqVar</vt:lpstr>
      <vt:lpstr>'RES_fr-FR'!mg01s.TTEqVar</vt:lpstr>
      <vt:lpstr>'RES_hr-HR'!mg01s.TTEqVar</vt:lpstr>
      <vt:lpstr>'RES_hu-HU'!mg01s.TTEqVar</vt:lpstr>
      <vt:lpstr>'RES_it-IT'!mg01s.TTEqVar</vt:lpstr>
      <vt:lpstr>'RES_ja-JP'!mg01s.TTEqVar</vt:lpstr>
      <vt:lpstr>'RES_ko-KR'!mg01s.TTEqVar</vt:lpstr>
      <vt:lpstr>'RES_lv-LV'!mg01s.TTEqVar</vt:lpstr>
      <vt:lpstr>'RES_nb-NO'!mg01s.TTEqVar</vt:lpstr>
      <vt:lpstr>'RES_nl-NL'!mg01s.TTEqVar</vt:lpstr>
      <vt:lpstr>'RES_pl-PL'!mg01s.TTEqVar</vt:lpstr>
      <vt:lpstr>'RES_pt-BR'!mg01s.TTEqVar</vt:lpstr>
      <vt:lpstr>'RES_pt-PT'!mg01s.TTEqVar</vt:lpstr>
      <vt:lpstr>'RES_ro-RO'!mg01s.TTEqVar</vt:lpstr>
      <vt:lpstr>'RES_ru-RU'!mg01s.TTEqVar</vt:lpstr>
      <vt:lpstr>'RES_sl-SI'!mg01s.TTEqVar</vt:lpstr>
      <vt:lpstr>'RES_sv-SE'!mg01s.TTEqVar</vt:lpstr>
      <vt:lpstr>'RES_tr-TR'!mg01s.TTEqVar</vt:lpstr>
      <vt:lpstr>'RES_zh-CN'!mg01s.TTEqVar</vt:lpstr>
      <vt:lpstr>'RES_zh-TW'!mg01s.TTEqVar</vt:lpstr>
      <vt:lpstr>'RES_cs-CZ'!mg01s.TTPaired</vt:lpstr>
      <vt:lpstr>'RES_da-DK'!mg01s.TTPaired</vt:lpstr>
      <vt:lpstr>'RES_de-DE'!mg01s.TTPaired</vt:lpstr>
      <vt:lpstr>'RES_el-GR'!mg01s.TTPaired</vt:lpstr>
      <vt:lpstr>'RES_en-US'!mg01s.TTPaired</vt:lpstr>
      <vt:lpstr>'RES_es-ES'!mg01s.TTPaired</vt:lpstr>
      <vt:lpstr>'RES_fi-FI'!mg01s.TTPaired</vt:lpstr>
      <vt:lpstr>'RES_fr-FR'!mg01s.TTPaired</vt:lpstr>
      <vt:lpstr>'RES_hr-HR'!mg01s.TTPaired</vt:lpstr>
      <vt:lpstr>'RES_hu-HU'!mg01s.TTPaired</vt:lpstr>
      <vt:lpstr>'RES_it-IT'!mg01s.TTPaired</vt:lpstr>
      <vt:lpstr>'RES_ja-JP'!mg01s.TTPaired</vt:lpstr>
      <vt:lpstr>'RES_ko-KR'!mg01s.TTPaired</vt:lpstr>
      <vt:lpstr>'RES_lv-LV'!mg01s.TTPaired</vt:lpstr>
      <vt:lpstr>'RES_nb-NO'!mg01s.TTPaired</vt:lpstr>
      <vt:lpstr>'RES_nl-NL'!mg01s.TTPaired</vt:lpstr>
      <vt:lpstr>'RES_pl-PL'!mg01s.TTPaired</vt:lpstr>
      <vt:lpstr>'RES_pt-BR'!mg01s.TTPaired</vt:lpstr>
      <vt:lpstr>'RES_pt-PT'!mg01s.TTPaired</vt:lpstr>
      <vt:lpstr>'RES_ro-RO'!mg01s.TTPaired</vt:lpstr>
      <vt:lpstr>'RES_ru-RU'!mg01s.TTPaired</vt:lpstr>
      <vt:lpstr>'RES_sl-SI'!mg01s.TTPaired</vt:lpstr>
      <vt:lpstr>'RES_sv-SE'!mg01s.TTPaired</vt:lpstr>
      <vt:lpstr>'RES_tr-TR'!mg01s.TTPaired</vt:lpstr>
      <vt:lpstr>'RES_zh-CN'!mg01s.TTPaired</vt:lpstr>
      <vt:lpstr>'RES_zh-TW'!mg01s.TTPaired</vt:lpstr>
      <vt:lpstr>'RES_cs-CZ'!mg01s.TTUEqVar</vt:lpstr>
      <vt:lpstr>'RES_da-DK'!mg01s.TTUEqVar</vt:lpstr>
      <vt:lpstr>'RES_de-DE'!mg01s.TTUEqVar</vt:lpstr>
      <vt:lpstr>'RES_el-GR'!mg01s.TTUEqVar</vt:lpstr>
      <vt:lpstr>'RES_en-US'!mg01s.TTUEqVar</vt:lpstr>
      <vt:lpstr>'RES_es-ES'!mg01s.TTUEqVar</vt:lpstr>
      <vt:lpstr>'RES_fi-FI'!mg01s.TTUEqVar</vt:lpstr>
      <vt:lpstr>'RES_fr-FR'!mg01s.TTUEqVar</vt:lpstr>
      <vt:lpstr>'RES_hr-HR'!mg01s.TTUEqVar</vt:lpstr>
      <vt:lpstr>'RES_hu-HU'!mg01s.TTUEqVar</vt:lpstr>
      <vt:lpstr>'RES_it-IT'!mg01s.TTUEqVar</vt:lpstr>
      <vt:lpstr>'RES_ja-JP'!mg01s.TTUEqVar</vt:lpstr>
      <vt:lpstr>'RES_ko-KR'!mg01s.TTUEqVar</vt:lpstr>
      <vt:lpstr>'RES_lv-LV'!mg01s.TTUEqVar</vt:lpstr>
      <vt:lpstr>'RES_nb-NO'!mg01s.TTUEqVar</vt:lpstr>
      <vt:lpstr>'RES_nl-NL'!mg01s.TTUEqVar</vt:lpstr>
      <vt:lpstr>'RES_pl-PL'!mg01s.TTUEqVar</vt:lpstr>
      <vt:lpstr>'RES_pt-BR'!mg01s.TTUEqVar</vt:lpstr>
      <vt:lpstr>'RES_pt-PT'!mg01s.TTUEqVar</vt:lpstr>
      <vt:lpstr>'RES_ro-RO'!mg01s.TTUEqVar</vt:lpstr>
      <vt:lpstr>'RES_ru-RU'!mg01s.TTUEqVar</vt:lpstr>
      <vt:lpstr>'RES_sl-SI'!mg01s.TTUEqVar</vt:lpstr>
      <vt:lpstr>'RES_sv-SE'!mg01s.TTUEqVar</vt:lpstr>
      <vt:lpstr>'RES_tr-TR'!mg01s.TTUEqVar</vt:lpstr>
      <vt:lpstr>'RES_zh-CN'!mg01s.TTUEqVar</vt:lpstr>
      <vt:lpstr>'RES_zh-TW'!mg01s.TTUEqVar</vt:lpstr>
      <vt:lpstr>'RES_cs-CZ'!mg01s.Upper</vt:lpstr>
      <vt:lpstr>'RES_da-DK'!mg01s.Upper</vt:lpstr>
      <vt:lpstr>'RES_de-DE'!mg01s.Upper</vt:lpstr>
      <vt:lpstr>'RES_el-GR'!mg01s.Upper</vt:lpstr>
      <vt:lpstr>'RES_en-US'!mg01s.Upper</vt:lpstr>
      <vt:lpstr>'RES_es-ES'!mg01s.Upper</vt:lpstr>
      <vt:lpstr>'RES_fi-FI'!mg01s.Upper</vt:lpstr>
      <vt:lpstr>'RES_fr-FR'!mg01s.Upper</vt:lpstr>
      <vt:lpstr>'RES_hr-HR'!mg01s.Upper</vt:lpstr>
      <vt:lpstr>'RES_hu-HU'!mg01s.Upper</vt:lpstr>
      <vt:lpstr>'RES_it-IT'!mg01s.Upper</vt:lpstr>
      <vt:lpstr>'RES_ja-JP'!mg01s.Upper</vt:lpstr>
      <vt:lpstr>'RES_ko-KR'!mg01s.Upper</vt:lpstr>
      <vt:lpstr>'RES_lv-LV'!mg01s.Upper</vt:lpstr>
      <vt:lpstr>'RES_nb-NO'!mg01s.Upper</vt:lpstr>
      <vt:lpstr>'RES_nl-NL'!mg01s.Upper</vt:lpstr>
      <vt:lpstr>'RES_pl-PL'!mg01s.Upper</vt:lpstr>
      <vt:lpstr>'RES_pt-BR'!mg01s.Upper</vt:lpstr>
      <vt:lpstr>'RES_pt-PT'!mg01s.Upper</vt:lpstr>
      <vt:lpstr>'RES_ro-RO'!mg01s.Upper</vt:lpstr>
      <vt:lpstr>'RES_ru-RU'!mg01s.Upper</vt:lpstr>
      <vt:lpstr>'RES_sl-SI'!mg01s.Upper</vt:lpstr>
      <vt:lpstr>'RES_sv-SE'!mg01s.Upper</vt:lpstr>
      <vt:lpstr>'RES_tr-TR'!mg01s.Upper</vt:lpstr>
      <vt:lpstr>'RES_zh-CN'!mg01s.Upper</vt:lpstr>
      <vt:lpstr>'RES_zh-TW'!mg01s.Upper</vt:lpstr>
      <vt:lpstr>'RES_cs-CZ'!mg01s.Upper95</vt:lpstr>
      <vt:lpstr>'RES_da-DK'!mg01s.Upper95</vt:lpstr>
      <vt:lpstr>'RES_de-DE'!mg01s.Upper95</vt:lpstr>
      <vt:lpstr>'RES_el-GR'!mg01s.Upper95</vt:lpstr>
      <vt:lpstr>'RES_en-US'!mg01s.Upper95</vt:lpstr>
      <vt:lpstr>'RES_es-ES'!mg01s.Upper95</vt:lpstr>
      <vt:lpstr>'RES_fi-FI'!mg01s.Upper95</vt:lpstr>
      <vt:lpstr>'RES_fr-FR'!mg01s.Upper95</vt:lpstr>
      <vt:lpstr>'RES_hr-HR'!mg01s.Upper95</vt:lpstr>
      <vt:lpstr>'RES_hu-HU'!mg01s.Upper95</vt:lpstr>
      <vt:lpstr>'RES_it-IT'!mg01s.Upper95</vt:lpstr>
      <vt:lpstr>'RES_ja-JP'!mg01s.Upper95</vt:lpstr>
      <vt:lpstr>'RES_ko-KR'!mg01s.Upper95</vt:lpstr>
      <vt:lpstr>'RES_lv-LV'!mg01s.Upper95</vt:lpstr>
      <vt:lpstr>'RES_nb-NO'!mg01s.Upper95</vt:lpstr>
      <vt:lpstr>'RES_nl-NL'!mg01s.Upper95</vt:lpstr>
      <vt:lpstr>'RES_pl-PL'!mg01s.Upper95</vt:lpstr>
      <vt:lpstr>'RES_pt-BR'!mg01s.Upper95</vt:lpstr>
      <vt:lpstr>'RES_pt-PT'!mg01s.Upper95</vt:lpstr>
      <vt:lpstr>'RES_ro-RO'!mg01s.Upper95</vt:lpstr>
      <vt:lpstr>'RES_ru-RU'!mg01s.Upper95</vt:lpstr>
      <vt:lpstr>'RES_sl-SI'!mg01s.Upper95</vt:lpstr>
      <vt:lpstr>'RES_sv-SE'!mg01s.Upper95</vt:lpstr>
      <vt:lpstr>'RES_tr-TR'!mg01s.Upper95</vt:lpstr>
      <vt:lpstr>'RES_zh-CN'!mg01s.Upper95</vt:lpstr>
      <vt:lpstr>'RES_zh-TW'!mg01s.Upper95</vt:lpstr>
      <vt:lpstr>'RES_cs-CZ'!mg01s.Value</vt:lpstr>
      <vt:lpstr>'RES_da-DK'!mg01s.Value</vt:lpstr>
      <vt:lpstr>'RES_de-DE'!mg01s.Value</vt:lpstr>
      <vt:lpstr>'RES_el-GR'!mg01s.Value</vt:lpstr>
      <vt:lpstr>'RES_en-US'!mg01s.Value</vt:lpstr>
      <vt:lpstr>'RES_es-ES'!mg01s.Value</vt:lpstr>
      <vt:lpstr>'RES_fi-FI'!mg01s.Value</vt:lpstr>
      <vt:lpstr>'RES_fr-FR'!mg01s.Value</vt:lpstr>
      <vt:lpstr>'RES_hr-HR'!mg01s.Value</vt:lpstr>
      <vt:lpstr>'RES_hu-HU'!mg01s.Value</vt:lpstr>
      <vt:lpstr>'RES_it-IT'!mg01s.Value</vt:lpstr>
      <vt:lpstr>'RES_ja-JP'!mg01s.Value</vt:lpstr>
      <vt:lpstr>'RES_ko-KR'!mg01s.Value</vt:lpstr>
      <vt:lpstr>'RES_lv-LV'!mg01s.Value</vt:lpstr>
      <vt:lpstr>'RES_nb-NO'!mg01s.Value</vt:lpstr>
      <vt:lpstr>'RES_nl-NL'!mg01s.Value</vt:lpstr>
      <vt:lpstr>'RES_pl-PL'!mg01s.Value</vt:lpstr>
      <vt:lpstr>'RES_pt-BR'!mg01s.Value</vt:lpstr>
      <vt:lpstr>'RES_pt-PT'!mg01s.Value</vt:lpstr>
      <vt:lpstr>'RES_ro-RO'!mg01s.Value</vt:lpstr>
      <vt:lpstr>'RES_ru-RU'!mg01s.Value</vt:lpstr>
      <vt:lpstr>'RES_sl-SI'!mg01s.Value</vt:lpstr>
      <vt:lpstr>'RES_sv-SE'!mg01s.Value</vt:lpstr>
      <vt:lpstr>'RES_tr-TR'!mg01s.Value</vt:lpstr>
      <vt:lpstr>'RES_zh-CN'!mg01s.Value</vt:lpstr>
      <vt:lpstr>'RES_zh-TW'!mg01s.Value</vt:lpstr>
      <vt:lpstr>'RES_cs-CZ'!mg01s.Variable1</vt:lpstr>
      <vt:lpstr>'RES_da-DK'!mg01s.Variable1</vt:lpstr>
      <vt:lpstr>'RES_de-DE'!mg01s.Variable1</vt:lpstr>
      <vt:lpstr>'RES_el-GR'!mg01s.Variable1</vt:lpstr>
      <vt:lpstr>'RES_en-US'!mg01s.Variable1</vt:lpstr>
      <vt:lpstr>'RES_es-ES'!mg01s.Variable1</vt:lpstr>
      <vt:lpstr>'RES_fi-FI'!mg01s.Variable1</vt:lpstr>
      <vt:lpstr>'RES_fr-FR'!mg01s.Variable1</vt:lpstr>
      <vt:lpstr>'RES_hr-HR'!mg01s.Variable1</vt:lpstr>
      <vt:lpstr>'RES_hu-HU'!mg01s.Variable1</vt:lpstr>
      <vt:lpstr>'RES_it-IT'!mg01s.Variable1</vt:lpstr>
      <vt:lpstr>'RES_ja-JP'!mg01s.Variable1</vt:lpstr>
      <vt:lpstr>'RES_ko-KR'!mg01s.Variable1</vt:lpstr>
      <vt:lpstr>'RES_lv-LV'!mg01s.Variable1</vt:lpstr>
      <vt:lpstr>'RES_nb-NO'!mg01s.Variable1</vt:lpstr>
      <vt:lpstr>'RES_nl-NL'!mg01s.Variable1</vt:lpstr>
      <vt:lpstr>'RES_pl-PL'!mg01s.Variable1</vt:lpstr>
      <vt:lpstr>'RES_pt-BR'!mg01s.Variable1</vt:lpstr>
      <vt:lpstr>'RES_pt-PT'!mg01s.Variable1</vt:lpstr>
      <vt:lpstr>'RES_ro-RO'!mg01s.Variable1</vt:lpstr>
      <vt:lpstr>'RES_ru-RU'!mg01s.Variable1</vt:lpstr>
      <vt:lpstr>'RES_sl-SI'!mg01s.Variable1</vt:lpstr>
      <vt:lpstr>'RES_sv-SE'!mg01s.Variable1</vt:lpstr>
      <vt:lpstr>'RES_tr-TR'!mg01s.Variable1</vt:lpstr>
      <vt:lpstr>'RES_zh-CN'!mg01s.Variable1</vt:lpstr>
      <vt:lpstr>'RES_zh-TW'!mg01s.Variable1</vt:lpstr>
      <vt:lpstr>'RES_cs-CZ'!mg01s.Variable2</vt:lpstr>
      <vt:lpstr>'RES_da-DK'!mg01s.Variable2</vt:lpstr>
      <vt:lpstr>'RES_de-DE'!mg01s.Variable2</vt:lpstr>
      <vt:lpstr>'RES_el-GR'!mg01s.Variable2</vt:lpstr>
      <vt:lpstr>'RES_en-US'!mg01s.Variable2</vt:lpstr>
      <vt:lpstr>'RES_es-ES'!mg01s.Variable2</vt:lpstr>
      <vt:lpstr>'RES_fi-FI'!mg01s.Variable2</vt:lpstr>
      <vt:lpstr>'RES_fr-FR'!mg01s.Variable2</vt:lpstr>
      <vt:lpstr>'RES_hr-HR'!mg01s.Variable2</vt:lpstr>
      <vt:lpstr>'RES_hu-HU'!mg01s.Variable2</vt:lpstr>
      <vt:lpstr>'RES_it-IT'!mg01s.Variable2</vt:lpstr>
      <vt:lpstr>'RES_ja-JP'!mg01s.Variable2</vt:lpstr>
      <vt:lpstr>'RES_ko-KR'!mg01s.Variable2</vt:lpstr>
      <vt:lpstr>'RES_lv-LV'!mg01s.Variable2</vt:lpstr>
      <vt:lpstr>'RES_nb-NO'!mg01s.Variable2</vt:lpstr>
      <vt:lpstr>'RES_nl-NL'!mg01s.Variable2</vt:lpstr>
      <vt:lpstr>'RES_pl-PL'!mg01s.Variable2</vt:lpstr>
      <vt:lpstr>'RES_pt-BR'!mg01s.Variable2</vt:lpstr>
      <vt:lpstr>'RES_pt-PT'!mg01s.Variable2</vt:lpstr>
      <vt:lpstr>'RES_ro-RO'!mg01s.Variable2</vt:lpstr>
      <vt:lpstr>'RES_ru-RU'!mg01s.Variable2</vt:lpstr>
      <vt:lpstr>'RES_sl-SI'!mg01s.Variable2</vt:lpstr>
      <vt:lpstr>'RES_sv-SE'!mg01s.Variable2</vt:lpstr>
      <vt:lpstr>'RES_tr-TR'!mg01s.Variable2</vt:lpstr>
      <vt:lpstr>'RES_zh-CN'!mg01s.Variable2</vt:lpstr>
      <vt:lpstr>'RES_zh-TW'!mg01s.Variable2</vt:lpstr>
      <vt:lpstr>'RES_cs-CZ'!mg01s.VariableX</vt:lpstr>
      <vt:lpstr>'RES_da-DK'!mg01s.VariableX</vt:lpstr>
      <vt:lpstr>'RES_de-DE'!mg01s.VariableX</vt:lpstr>
      <vt:lpstr>'RES_el-GR'!mg01s.VariableX</vt:lpstr>
      <vt:lpstr>'RES_en-US'!mg01s.VariableX</vt:lpstr>
      <vt:lpstr>'RES_es-ES'!mg01s.VariableX</vt:lpstr>
      <vt:lpstr>'RES_fi-FI'!mg01s.VariableX</vt:lpstr>
      <vt:lpstr>'RES_fr-FR'!mg01s.VariableX</vt:lpstr>
      <vt:lpstr>'RES_hr-HR'!mg01s.VariableX</vt:lpstr>
      <vt:lpstr>'RES_hu-HU'!mg01s.VariableX</vt:lpstr>
      <vt:lpstr>'RES_it-IT'!mg01s.VariableX</vt:lpstr>
      <vt:lpstr>'RES_ja-JP'!mg01s.VariableX</vt:lpstr>
      <vt:lpstr>'RES_ko-KR'!mg01s.VariableX</vt:lpstr>
      <vt:lpstr>'RES_lv-LV'!mg01s.VariableX</vt:lpstr>
      <vt:lpstr>'RES_nb-NO'!mg01s.VariableX</vt:lpstr>
      <vt:lpstr>'RES_nl-NL'!mg01s.VariableX</vt:lpstr>
      <vt:lpstr>'RES_pl-PL'!mg01s.VariableX</vt:lpstr>
      <vt:lpstr>'RES_pt-BR'!mg01s.VariableX</vt:lpstr>
      <vt:lpstr>'RES_pt-PT'!mg01s.VariableX</vt:lpstr>
      <vt:lpstr>'RES_ro-RO'!mg01s.VariableX</vt:lpstr>
      <vt:lpstr>'RES_ru-RU'!mg01s.VariableX</vt:lpstr>
      <vt:lpstr>'RES_sl-SI'!mg01s.VariableX</vt:lpstr>
      <vt:lpstr>'RES_sv-SE'!mg01s.VariableX</vt:lpstr>
      <vt:lpstr>'RES_tr-TR'!mg01s.VariableX</vt:lpstr>
      <vt:lpstr>'RES_zh-CN'!mg01s.VariableX</vt:lpstr>
      <vt:lpstr>'RES_zh-TW'!mg01s.VariableX</vt:lpstr>
      <vt:lpstr>'RES_cs-CZ'!mg01s.Variance</vt:lpstr>
      <vt:lpstr>'RES_da-DK'!mg01s.Variance</vt:lpstr>
      <vt:lpstr>'RES_de-DE'!mg01s.Variance</vt:lpstr>
      <vt:lpstr>'RES_el-GR'!mg01s.Variance</vt:lpstr>
      <vt:lpstr>'RES_en-US'!mg01s.Variance</vt:lpstr>
      <vt:lpstr>'RES_es-ES'!mg01s.Variance</vt:lpstr>
      <vt:lpstr>'RES_fi-FI'!mg01s.Variance</vt:lpstr>
      <vt:lpstr>'RES_fr-FR'!mg01s.Variance</vt:lpstr>
      <vt:lpstr>'RES_hr-HR'!mg01s.Variance</vt:lpstr>
      <vt:lpstr>'RES_hu-HU'!mg01s.Variance</vt:lpstr>
      <vt:lpstr>'RES_it-IT'!mg01s.Variance</vt:lpstr>
      <vt:lpstr>'RES_ja-JP'!mg01s.Variance</vt:lpstr>
      <vt:lpstr>'RES_ko-KR'!mg01s.Variance</vt:lpstr>
      <vt:lpstr>'RES_lv-LV'!mg01s.Variance</vt:lpstr>
      <vt:lpstr>'RES_nb-NO'!mg01s.Variance</vt:lpstr>
      <vt:lpstr>'RES_nl-NL'!mg01s.Variance</vt:lpstr>
      <vt:lpstr>'RES_pl-PL'!mg01s.Variance</vt:lpstr>
      <vt:lpstr>'RES_pt-BR'!mg01s.Variance</vt:lpstr>
      <vt:lpstr>'RES_pt-PT'!mg01s.Variance</vt:lpstr>
      <vt:lpstr>'RES_ro-RO'!mg01s.Variance</vt:lpstr>
      <vt:lpstr>'RES_ru-RU'!mg01s.Variance</vt:lpstr>
      <vt:lpstr>'RES_sl-SI'!mg01s.Variance</vt:lpstr>
      <vt:lpstr>'RES_sv-SE'!mg01s.Variance</vt:lpstr>
      <vt:lpstr>'RES_tr-TR'!mg01s.Variance</vt:lpstr>
      <vt:lpstr>'RES_zh-CN'!mg01s.Variance</vt:lpstr>
      <vt:lpstr>'RES_zh-TW'!mg01s.Variance</vt:lpstr>
      <vt:lpstr>'RES_cs-CZ'!mg01s.Within</vt:lpstr>
      <vt:lpstr>'RES_da-DK'!mg01s.Within</vt:lpstr>
      <vt:lpstr>'RES_de-DE'!mg01s.Within</vt:lpstr>
      <vt:lpstr>'RES_el-GR'!mg01s.Within</vt:lpstr>
      <vt:lpstr>'RES_en-US'!mg01s.Within</vt:lpstr>
      <vt:lpstr>'RES_es-ES'!mg01s.Within</vt:lpstr>
      <vt:lpstr>'RES_fi-FI'!mg01s.Within</vt:lpstr>
      <vt:lpstr>'RES_fr-FR'!mg01s.Within</vt:lpstr>
      <vt:lpstr>'RES_hr-HR'!mg01s.Within</vt:lpstr>
      <vt:lpstr>'RES_hu-HU'!mg01s.Within</vt:lpstr>
      <vt:lpstr>'RES_it-IT'!mg01s.Within</vt:lpstr>
      <vt:lpstr>'RES_ja-JP'!mg01s.Within</vt:lpstr>
      <vt:lpstr>'RES_ko-KR'!mg01s.Within</vt:lpstr>
      <vt:lpstr>'RES_lv-LV'!mg01s.Within</vt:lpstr>
      <vt:lpstr>'RES_nb-NO'!mg01s.Within</vt:lpstr>
      <vt:lpstr>'RES_nl-NL'!mg01s.Within</vt:lpstr>
      <vt:lpstr>'RES_pl-PL'!mg01s.Within</vt:lpstr>
      <vt:lpstr>'RES_pt-BR'!mg01s.Within</vt:lpstr>
      <vt:lpstr>'RES_pt-PT'!mg01s.Within</vt:lpstr>
      <vt:lpstr>'RES_ro-RO'!mg01s.Within</vt:lpstr>
      <vt:lpstr>'RES_ru-RU'!mg01s.Within</vt:lpstr>
      <vt:lpstr>'RES_sl-SI'!mg01s.Within</vt:lpstr>
      <vt:lpstr>'RES_sv-SE'!mg01s.Within</vt:lpstr>
      <vt:lpstr>'RES_tr-TR'!mg01s.Within</vt:lpstr>
      <vt:lpstr>'RES_zh-CN'!mg01s.Within</vt:lpstr>
      <vt:lpstr>'RES_zh-TW'!mg01s.Within</vt:lpstr>
      <vt:lpstr>'RES_cs-CZ'!mg01s.WithinGrp</vt:lpstr>
      <vt:lpstr>'RES_da-DK'!mg01s.WithinGrp</vt:lpstr>
      <vt:lpstr>'RES_de-DE'!mg01s.WithinGrp</vt:lpstr>
      <vt:lpstr>'RES_el-GR'!mg01s.WithinGrp</vt:lpstr>
      <vt:lpstr>'RES_en-US'!mg01s.WithinGrp</vt:lpstr>
      <vt:lpstr>'RES_es-ES'!mg01s.WithinGrp</vt:lpstr>
      <vt:lpstr>'RES_fi-FI'!mg01s.WithinGrp</vt:lpstr>
      <vt:lpstr>'RES_fr-FR'!mg01s.WithinGrp</vt:lpstr>
      <vt:lpstr>'RES_hr-HR'!mg01s.WithinGrp</vt:lpstr>
      <vt:lpstr>'RES_hu-HU'!mg01s.WithinGrp</vt:lpstr>
      <vt:lpstr>'RES_it-IT'!mg01s.WithinGrp</vt:lpstr>
      <vt:lpstr>'RES_ja-JP'!mg01s.WithinGrp</vt:lpstr>
      <vt:lpstr>'RES_ko-KR'!mg01s.WithinGrp</vt:lpstr>
      <vt:lpstr>'RES_lv-LV'!mg01s.WithinGrp</vt:lpstr>
      <vt:lpstr>'RES_nb-NO'!mg01s.WithinGrp</vt:lpstr>
      <vt:lpstr>'RES_nl-NL'!mg01s.WithinGrp</vt:lpstr>
      <vt:lpstr>'RES_pl-PL'!mg01s.WithinGrp</vt:lpstr>
      <vt:lpstr>'RES_pt-BR'!mg01s.WithinGrp</vt:lpstr>
      <vt:lpstr>'RES_pt-PT'!mg01s.WithinGrp</vt:lpstr>
      <vt:lpstr>'RES_ro-RO'!mg01s.WithinGrp</vt:lpstr>
      <vt:lpstr>'RES_ru-RU'!mg01s.WithinGrp</vt:lpstr>
      <vt:lpstr>'RES_sl-SI'!mg01s.WithinGrp</vt:lpstr>
      <vt:lpstr>'RES_sv-SE'!mg01s.WithinGrp</vt:lpstr>
      <vt:lpstr>'RES_tr-TR'!mg01s.WithinGrp</vt:lpstr>
      <vt:lpstr>'RES_zh-CN'!mg01s.WithinGrp</vt:lpstr>
      <vt:lpstr>'RES_zh-TW'!mg01s.WithinGrp</vt:lpstr>
      <vt:lpstr>'RES_cs-CZ'!mg01s.Y</vt:lpstr>
      <vt:lpstr>'RES_da-DK'!mg01s.Y</vt:lpstr>
      <vt:lpstr>'RES_de-DE'!mg01s.Y</vt:lpstr>
      <vt:lpstr>'RES_el-GR'!mg01s.Y</vt:lpstr>
      <vt:lpstr>'RES_en-US'!mg01s.Y</vt:lpstr>
      <vt:lpstr>'RES_es-ES'!mg01s.Y</vt:lpstr>
      <vt:lpstr>'RES_fi-FI'!mg01s.Y</vt:lpstr>
      <vt:lpstr>'RES_fr-FR'!mg01s.Y</vt:lpstr>
      <vt:lpstr>'RES_hr-HR'!mg01s.Y</vt:lpstr>
      <vt:lpstr>'RES_hu-HU'!mg01s.Y</vt:lpstr>
      <vt:lpstr>'RES_it-IT'!mg01s.Y</vt:lpstr>
      <vt:lpstr>'RES_ja-JP'!mg01s.Y</vt:lpstr>
      <vt:lpstr>'RES_ko-KR'!mg01s.Y</vt:lpstr>
      <vt:lpstr>'RES_lv-LV'!mg01s.Y</vt:lpstr>
      <vt:lpstr>'RES_nb-NO'!mg01s.Y</vt:lpstr>
      <vt:lpstr>'RES_nl-NL'!mg01s.Y</vt:lpstr>
      <vt:lpstr>'RES_pl-PL'!mg01s.Y</vt:lpstr>
      <vt:lpstr>'RES_pt-BR'!mg01s.Y</vt:lpstr>
      <vt:lpstr>'RES_pt-PT'!mg01s.Y</vt:lpstr>
      <vt:lpstr>'RES_ro-RO'!mg01s.Y</vt:lpstr>
      <vt:lpstr>'RES_ru-RU'!mg01s.Y</vt:lpstr>
      <vt:lpstr>'RES_sl-SI'!mg01s.Y</vt:lpstr>
      <vt:lpstr>'RES_sv-SE'!mg01s.Y</vt:lpstr>
      <vt:lpstr>'RES_tr-TR'!mg01s.Y</vt:lpstr>
      <vt:lpstr>'RES_zh-CN'!mg01s.Y</vt:lpstr>
      <vt:lpstr>'RES_zh-TW'!mg01s.Y</vt:lpstr>
      <vt:lpstr>'RES_cs-CZ'!mg01s.Z</vt:lpstr>
      <vt:lpstr>'RES_da-DK'!mg01s.Z</vt:lpstr>
      <vt:lpstr>'RES_de-DE'!mg01s.Z</vt:lpstr>
      <vt:lpstr>'RES_el-GR'!mg01s.Z</vt:lpstr>
      <vt:lpstr>'RES_en-US'!mg01s.Z</vt:lpstr>
      <vt:lpstr>'RES_es-ES'!mg01s.Z</vt:lpstr>
      <vt:lpstr>'RES_fi-FI'!mg01s.Z</vt:lpstr>
      <vt:lpstr>'RES_fr-FR'!mg01s.Z</vt:lpstr>
      <vt:lpstr>'RES_hr-HR'!mg01s.Z</vt:lpstr>
      <vt:lpstr>'RES_hu-HU'!mg01s.Z</vt:lpstr>
      <vt:lpstr>'RES_it-IT'!mg01s.Z</vt:lpstr>
      <vt:lpstr>'RES_ja-JP'!mg01s.Z</vt:lpstr>
      <vt:lpstr>'RES_ko-KR'!mg01s.Z</vt:lpstr>
      <vt:lpstr>'RES_lv-LV'!mg01s.Z</vt:lpstr>
      <vt:lpstr>'RES_nb-NO'!mg01s.Z</vt:lpstr>
      <vt:lpstr>'RES_nl-NL'!mg01s.Z</vt:lpstr>
      <vt:lpstr>'RES_pl-PL'!mg01s.Z</vt:lpstr>
      <vt:lpstr>'RES_pt-BR'!mg01s.Z</vt:lpstr>
      <vt:lpstr>'RES_pt-PT'!mg01s.Z</vt:lpstr>
      <vt:lpstr>'RES_ro-RO'!mg01s.Z</vt:lpstr>
      <vt:lpstr>'RES_ru-RU'!mg01s.Z</vt:lpstr>
      <vt:lpstr>'RES_sl-SI'!mg01s.Z</vt:lpstr>
      <vt:lpstr>'RES_sv-SE'!mg01s.Z</vt:lpstr>
      <vt:lpstr>'RES_tr-TR'!mg01s.Z</vt:lpstr>
      <vt:lpstr>'RES_zh-CN'!mg01s.Z</vt:lpstr>
      <vt:lpstr>'RES_zh-TW'!mg01s.Z</vt:lpstr>
      <vt:lpstr>'RES_cs-CZ'!mg01s.Z1Tail</vt:lpstr>
      <vt:lpstr>'RES_da-DK'!mg01s.Z1Tail</vt:lpstr>
      <vt:lpstr>'RES_de-DE'!mg01s.Z1Tail</vt:lpstr>
      <vt:lpstr>'RES_el-GR'!mg01s.Z1Tail</vt:lpstr>
      <vt:lpstr>'RES_en-US'!mg01s.Z1Tail</vt:lpstr>
      <vt:lpstr>'RES_es-ES'!mg01s.Z1Tail</vt:lpstr>
      <vt:lpstr>'RES_fi-FI'!mg01s.Z1Tail</vt:lpstr>
      <vt:lpstr>'RES_fr-FR'!mg01s.Z1Tail</vt:lpstr>
      <vt:lpstr>'RES_hr-HR'!mg01s.Z1Tail</vt:lpstr>
      <vt:lpstr>'RES_hu-HU'!mg01s.Z1Tail</vt:lpstr>
      <vt:lpstr>'RES_it-IT'!mg01s.Z1Tail</vt:lpstr>
      <vt:lpstr>'RES_ja-JP'!mg01s.Z1Tail</vt:lpstr>
      <vt:lpstr>'RES_ko-KR'!mg01s.Z1Tail</vt:lpstr>
      <vt:lpstr>'RES_lv-LV'!mg01s.Z1Tail</vt:lpstr>
      <vt:lpstr>'RES_nb-NO'!mg01s.Z1Tail</vt:lpstr>
      <vt:lpstr>'RES_nl-NL'!mg01s.Z1Tail</vt:lpstr>
      <vt:lpstr>'RES_pl-PL'!mg01s.Z1Tail</vt:lpstr>
      <vt:lpstr>'RES_pt-BR'!mg01s.Z1Tail</vt:lpstr>
      <vt:lpstr>'RES_pt-PT'!mg01s.Z1Tail</vt:lpstr>
      <vt:lpstr>'RES_ro-RO'!mg01s.Z1Tail</vt:lpstr>
      <vt:lpstr>'RES_ru-RU'!mg01s.Z1Tail</vt:lpstr>
      <vt:lpstr>'RES_sl-SI'!mg01s.Z1Tail</vt:lpstr>
      <vt:lpstr>'RES_sv-SE'!mg01s.Z1Tail</vt:lpstr>
      <vt:lpstr>'RES_tr-TR'!mg01s.Z1Tail</vt:lpstr>
      <vt:lpstr>'RES_zh-CN'!mg01s.Z1Tail</vt:lpstr>
      <vt:lpstr>'RES_zh-TW'!mg01s.Z1Tail</vt:lpstr>
      <vt:lpstr>'RES_cs-CZ'!mg01s.Z2Tail</vt:lpstr>
      <vt:lpstr>'RES_da-DK'!mg01s.Z2Tail</vt:lpstr>
      <vt:lpstr>'RES_de-DE'!mg01s.Z2Tail</vt:lpstr>
      <vt:lpstr>'RES_el-GR'!mg01s.Z2Tail</vt:lpstr>
      <vt:lpstr>'RES_en-US'!mg01s.Z2Tail</vt:lpstr>
      <vt:lpstr>'RES_es-ES'!mg01s.Z2Tail</vt:lpstr>
      <vt:lpstr>'RES_fi-FI'!mg01s.Z2Tail</vt:lpstr>
      <vt:lpstr>'RES_fr-FR'!mg01s.Z2Tail</vt:lpstr>
      <vt:lpstr>'RES_hr-HR'!mg01s.Z2Tail</vt:lpstr>
      <vt:lpstr>'RES_hu-HU'!mg01s.Z2Tail</vt:lpstr>
      <vt:lpstr>'RES_it-IT'!mg01s.Z2Tail</vt:lpstr>
      <vt:lpstr>'RES_ja-JP'!mg01s.Z2Tail</vt:lpstr>
      <vt:lpstr>'RES_ko-KR'!mg01s.Z2Tail</vt:lpstr>
      <vt:lpstr>'RES_lv-LV'!mg01s.Z2Tail</vt:lpstr>
      <vt:lpstr>'RES_nb-NO'!mg01s.Z2Tail</vt:lpstr>
      <vt:lpstr>'RES_nl-NL'!mg01s.Z2Tail</vt:lpstr>
      <vt:lpstr>'RES_pl-PL'!mg01s.Z2Tail</vt:lpstr>
      <vt:lpstr>'RES_pt-BR'!mg01s.Z2Tail</vt:lpstr>
      <vt:lpstr>'RES_pt-PT'!mg01s.Z2Tail</vt:lpstr>
      <vt:lpstr>'RES_ro-RO'!mg01s.Z2Tail</vt:lpstr>
      <vt:lpstr>'RES_ru-RU'!mg01s.Z2Tail</vt:lpstr>
      <vt:lpstr>'RES_sl-SI'!mg01s.Z2Tail</vt:lpstr>
      <vt:lpstr>'RES_sv-SE'!mg01s.Z2Tail</vt:lpstr>
      <vt:lpstr>'RES_tr-TR'!mg01s.Z2Tail</vt:lpstr>
      <vt:lpstr>'RES_zh-CN'!mg01s.Z2Tail</vt:lpstr>
      <vt:lpstr>'RES_zh-TW'!mg01s.Z2Tail</vt:lpstr>
      <vt:lpstr>'RES_cs-CZ'!mg01s.ZCrit1</vt:lpstr>
      <vt:lpstr>'RES_da-DK'!mg01s.ZCrit1</vt:lpstr>
      <vt:lpstr>'RES_de-DE'!mg01s.ZCrit1</vt:lpstr>
      <vt:lpstr>'RES_el-GR'!mg01s.ZCrit1</vt:lpstr>
      <vt:lpstr>'RES_en-US'!mg01s.ZCrit1</vt:lpstr>
      <vt:lpstr>'RES_es-ES'!mg01s.ZCrit1</vt:lpstr>
      <vt:lpstr>'RES_fi-FI'!mg01s.ZCrit1</vt:lpstr>
      <vt:lpstr>'RES_fr-FR'!mg01s.ZCrit1</vt:lpstr>
      <vt:lpstr>'RES_hr-HR'!mg01s.ZCrit1</vt:lpstr>
      <vt:lpstr>'RES_hu-HU'!mg01s.ZCrit1</vt:lpstr>
      <vt:lpstr>'RES_it-IT'!mg01s.ZCrit1</vt:lpstr>
      <vt:lpstr>'RES_ja-JP'!mg01s.ZCrit1</vt:lpstr>
      <vt:lpstr>'RES_ko-KR'!mg01s.ZCrit1</vt:lpstr>
      <vt:lpstr>'RES_lv-LV'!mg01s.ZCrit1</vt:lpstr>
      <vt:lpstr>'RES_nb-NO'!mg01s.ZCrit1</vt:lpstr>
      <vt:lpstr>'RES_nl-NL'!mg01s.ZCrit1</vt:lpstr>
      <vt:lpstr>'RES_pl-PL'!mg01s.ZCrit1</vt:lpstr>
      <vt:lpstr>'RES_pt-BR'!mg01s.ZCrit1</vt:lpstr>
      <vt:lpstr>'RES_pt-PT'!mg01s.ZCrit1</vt:lpstr>
      <vt:lpstr>'RES_ro-RO'!mg01s.ZCrit1</vt:lpstr>
      <vt:lpstr>'RES_ru-RU'!mg01s.ZCrit1</vt:lpstr>
      <vt:lpstr>'RES_sl-SI'!mg01s.ZCrit1</vt:lpstr>
      <vt:lpstr>'RES_sv-SE'!mg01s.ZCrit1</vt:lpstr>
      <vt:lpstr>'RES_tr-TR'!mg01s.ZCrit1</vt:lpstr>
      <vt:lpstr>'RES_zh-CN'!mg01s.ZCrit1</vt:lpstr>
      <vt:lpstr>'RES_zh-TW'!mg01s.ZCrit1</vt:lpstr>
      <vt:lpstr>'RES_cs-CZ'!mg01s.ZCrit2</vt:lpstr>
      <vt:lpstr>'RES_da-DK'!mg01s.ZCrit2</vt:lpstr>
      <vt:lpstr>'RES_de-DE'!mg01s.ZCrit2</vt:lpstr>
      <vt:lpstr>'RES_el-GR'!mg01s.ZCrit2</vt:lpstr>
      <vt:lpstr>'RES_en-US'!mg01s.ZCrit2</vt:lpstr>
      <vt:lpstr>'RES_es-ES'!mg01s.ZCrit2</vt:lpstr>
      <vt:lpstr>'RES_fi-FI'!mg01s.ZCrit2</vt:lpstr>
      <vt:lpstr>'RES_fr-FR'!mg01s.ZCrit2</vt:lpstr>
      <vt:lpstr>'RES_hr-HR'!mg01s.ZCrit2</vt:lpstr>
      <vt:lpstr>'RES_hu-HU'!mg01s.ZCrit2</vt:lpstr>
      <vt:lpstr>'RES_it-IT'!mg01s.ZCrit2</vt:lpstr>
      <vt:lpstr>'RES_ja-JP'!mg01s.ZCrit2</vt:lpstr>
      <vt:lpstr>'RES_ko-KR'!mg01s.ZCrit2</vt:lpstr>
      <vt:lpstr>'RES_lv-LV'!mg01s.ZCrit2</vt:lpstr>
      <vt:lpstr>'RES_nb-NO'!mg01s.ZCrit2</vt:lpstr>
      <vt:lpstr>'RES_nl-NL'!mg01s.ZCrit2</vt:lpstr>
      <vt:lpstr>'RES_pl-PL'!mg01s.ZCrit2</vt:lpstr>
      <vt:lpstr>'RES_pt-BR'!mg01s.ZCrit2</vt:lpstr>
      <vt:lpstr>'RES_pt-PT'!mg01s.ZCrit2</vt:lpstr>
      <vt:lpstr>'RES_ro-RO'!mg01s.ZCrit2</vt:lpstr>
      <vt:lpstr>'RES_ru-RU'!mg01s.ZCrit2</vt:lpstr>
      <vt:lpstr>'RES_sl-SI'!mg01s.ZCrit2</vt:lpstr>
      <vt:lpstr>'RES_sv-SE'!mg01s.ZCrit2</vt:lpstr>
      <vt:lpstr>'RES_tr-TR'!mg01s.ZCrit2</vt:lpstr>
      <vt:lpstr>'RES_zh-CN'!mg01s.ZCrit2</vt:lpstr>
      <vt:lpstr>'RES_zh-TW'!mg01s.ZCrit2</vt:lpstr>
      <vt:lpstr>'RES_cs-CZ'!mg01s.ZTest</vt:lpstr>
      <vt:lpstr>'RES_da-DK'!mg01s.ZTest</vt:lpstr>
      <vt:lpstr>'RES_de-DE'!mg01s.ZTest</vt:lpstr>
      <vt:lpstr>'RES_el-GR'!mg01s.ZTest</vt:lpstr>
      <vt:lpstr>'RES_en-US'!mg01s.ZTest</vt:lpstr>
      <vt:lpstr>'RES_es-ES'!mg01s.ZTest</vt:lpstr>
      <vt:lpstr>'RES_fi-FI'!mg01s.ZTest</vt:lpstr>
      <vt:lpstr>'RES_fr-FR'!mg01s.ZTest</vt:lpstr>
      <vt:lpstr>'RES_hr-HR'!mg01s.ZTest</vt:lpstr>
      <vt:lpstr>'RES_hu-HU'!mg01s.ZTest</vt:lpstr>
      <vt:lpstr>'RES_it-IT'!mg01s.ZTest</vt:lpstr>
      <vt:lpstr>'RES_ja-JP'!mg01s.ZTest</vt:lpstr>
      <vt:lpstr>'RES_ko-KR'!mg01s.ZTest</vt:lpstr>
      <vt:lpstr>'RES_lv-LV'!mg01s.ZTest</vt:lpstr>
      <vt:lpstr>'RES_nb-NO'!mg01s.ZTest</vt:lpstr>
      <vt:lpstr>'RES_nl-NL'!mg01s.ZTest</vt:lpstr>
      <vt:lpstr>'RES_pl-PL'!mg01s.ZTest</vt:lpstr>
      <vt:lpstr>'RES_pt-BR'!mg01s.ZTest</vt:lpstr>
      <vt:lpstr>'RES_pt-PT'!mg01s.ZTest</vt:lpstr>
      <vt:lpstr>'RES_ro-RO'!mg01s.ZTest</vt:lpstr>
      <vt:lpstr>'RES_ru-RU'!mg01s.ZTest</vt:lpstr>
      <vt:lpstr>'RES_sl-SI'!mg01s.ZTest</vt:lpstr>
      <vt:lpstr>'RES_sv-SE'!mg01s.ZTest</vt:lpstr>
      <vt:lpstr>'RES_tr-TR'!mg01s.ZTest</vt:lpstr>
      <vt:lpstr>'RES_zh-CN'!mg01s.ZTest</vt:lpstr>
      <vt:lpstr>'RES_zh-TW'!mg01s.ZTest</vt:lpstr>
      <vt:lpstr>'RES_cs-CZ'!mg02s.ANOVA</vt:lpstr>
      <vt:lpstr>'RES_da-DK'!mg02s.ANOVA</vt:lpstr>
      <vt:lpstr>'RES_de-DE'!mg02s.ANOVA</vt:lpstr>
      <vt:lpstr>'RES_el-GR'!mg02s.ANOVA</vt:lpstr>
      <vt:lpstr>'RES_en-US'!mg02s.ANOVA</vt:lpstr>
      <vt:lpstr>'RES_es-ES'!mg02s.ANOVA</vt:lpstr>
      <vt:lpstr>'RES_fi-FI'!mg02s.ANOVA</vt:lpstr>
      <vt:lpstr>'RES_fr-FR'!mg02s.ANOVA</vt:lpstr>
      <vt:lpstr>'RES_hr-HR'!mg02s.ANOVA</vt:lpstr>
      <vt:lpstr>'RES_hu-HU'!mg02s.ANOVA</vt:lpstr>
      <vt:lpstr>'RES_it-IT'!mg02s.ANOVA</vt:lpstr>
      <vt:lpstr>'RES_ja-JP'!mg02s.ANOVA</vt:lpstr>
      <vt:lpstr>'RES_ko-KR'!mg02s.ANOVA</vt:lpstr>
      <vt:lpstr>'RES_lv-LV'!mg02s.ANOVA</vt:lpstr>
      <vt:lpstr>'RES_nb-NO'!mg02s.ANOVA</vt:lpstr>
      <vt:lpstr>'RES_nl-NL'!mg02s.ANOVA</vt:lpstr>
      <vt:lpstr>'RES_pl-PL'!mg02s.ANOVA</vt:lpstr>
      <vt:lpstr>'RES_pt-BR'!mg02s.ANOVA</vt:lpstr>
      <vt:lpstr>'RES_pt-PT'!mg02s.ANOVA</vt:lpstr>
      <vt:lpstr>'RES_ro-RO'!mg02s.ANOVA</vt:lpstr>
      <vt:lpstr>'RES_ru-RU'!mg02s.ANOVA</vt:lpstr>
      <vt:lpstr>'RES_sl-SI'!mg02s.ANOVA</vt:lpstr>
      <vt:lpstr>'RES_sv-SE'!mg02s.ANOVA</vt:lpstr>
      <vt:lpstr>'RES_tr-TR'!mg02s.ANOVA</vt:lpstr>
      <vt:lpstr>'RES_zh-CN'!mg02s.ANOVA</vt:lpstr>
      <vt:lpstr>'RES_zh-TW'!mg02s.ANOVA</vt:lpstr>
      <vt:lpstr>'RES_cs-CZ'!misc.Calculating</vt:lpstr>
      <vt:lpstr>'RES_da-DK'!misc.Calculating</vt:lpstr>
      <vt:lpstr>'RES_de-DE'!misc.Calculating</vt:lpstr>
      <vt:lpstr>'RES_el-GR'!misc.Calculating</vt:lpstr>
      <vt:lpstr>'RES_en-US'!misc.Calculating</vt:lpstr>
      <vt:lpstr>'RES_es-ES'!misc.Calculating</vt:lpstr>
      <vt:lpstr>'RES_fi-FI'!misc.Calculating</vt:lpstr>
      <vt:lpstr>'RES_fr-FR'!misc.Calculating</vt:lpstr>
      <vt:lpstr>'RES_hr-HR'!misc.Calculating</vt:lpstr>
      <vt:lpstr>'RES_hu-HU'!misc.Calculating</vt:lpstr>
      <vt:lpstr>'RES_it-IT'!misc.Calculating</vt:lpstr>
      <vt:lpstr>'RES_ja-JP'!misc.Calculating</vt:lpstr>
      <vt:lpstr>'RES_ko-KR'!misc.Calculating</vt:lpstr>
      <vt:lpstr>'RES_lv-LV'!misc.Calculating</vt:lpstr>
      <vt:lpstr>'RES_nb-NO'!misc.Calculating</vt:lpstr>
      <vt:lpstr>'RES_nl-NL'!misc.Calculating</vt:lpstr>
      <vt:lpstr>'RES_pl-PL'!misc.Calculating</vt:lpstr>
      <vt:lpstr>'RES_pt-BR'!misc.Calculating</vt:lpstr>
      <vt:lpstr>'RES_pt-PT'!misc.Calculating</vt:lpstr>
      <vt:lpstr>'RES_ro-RO'!misc.Calculating</vt:lpstr>
      <vt:lpstr>'RES_ru-RU'!misc.Calculating</vt:lpstr>
      <vt:lpstr>'RES_sl-SI'!misc.Calculating</vt:lpstr>
      <vt:lpstr>'RES_sv-SE'!misc.Calculating</vt:lpstr>
      <vt:lpstr>'RES_tr-TR'!misc.Calculating</vt:lpstr>
      <vt:lpstr>'RES_zh-CN'!misc.Calculating</vt:lpstr>
      <vt:lpstr>'RES_zh-TW'!misc.Calculating</vt:lpstr>
      <vt:lpstr>'RES_cs-CZ'!misc.False</vt:lpstr>
      <vt:lpstr>'RES_da-DK'!misc.False</vt:lpstr>
      <vt:lpstr>'RES_de-DE'!misc.False</vt:lpstr>
      <vt:lpstr>'RES_el-GR'!misc.False</vt:lpstr>
      <vt:lpstr>'RES_en-US'!misc.False</vt:lpstr>
      <vt:lpstr>'RES_es-ES'!misc.False</vt:lpstr>
      <vt:lpstr>'RES_fi-FI'!misc.False</vt:lpstr>
      <vt:lpstr>'RES_fr-FR'!misc.False</vt:lpstr>
      <vt:lpstr>'RES_hr-HR'!misc.False</vt:lpstr>
      <vt:lpstr>'RES_hu-HU'!misc.False</vt:lpstr>
      <vt:lpstr>'RES_it-IT'!misc.False</vt:lpstr>
      <vt:lpstr>'RES_ja-JP'!misc.False</vt:lpstr>
      <vt:lpstr>'RES_ko-KR'!misc.False</vt:lpstr>
      <vt:lpstr>'RES_lv-LV'!misc.False</vt:lpstr>
      <vt:lpstr>'RES_nb-NO'!misc.False</vt:lpstr>
      <vt:lpstr>'RES_nl-NL'!misc.False</vt:lpstr>
      <vt:lpstr>'RES_pl-PL'!misc.False</vt:lpstr>
      <vt:lpstr>'RES_pt-BR'!misc.False</vt:lpstr>
      <vt:lpstr>'RES_pt-PT'!misc.False</vt:lpstr>
      <vt:lpstr>'RES_ro-RO'!misc.False</vt:lpstr>
      <vt:lpstr>'RES_ru-RU'!misc.False</vt:lpstr>
      <vt:lpstr>'RES_sl-SI'!misc.False</vt:lpstr>
      <vt:lpstr>'RES_sv-SE'!misc.False</vt:lpstr>
      <vt:lpstr>'RES_tr-TR'!misc.False</vt:lpstr>
      <vt:lpstr>'RES_zh-CN'!misc.False</vt:lpstr>
      <vt:lpstr>'RES_zh-TW'!misc.False</vt:lpstr>
      <vt:lpstr>'RES_cs-CZ'!misc.True</vt:lpstr>
      <vt:lpstr>'RES_da-DK'!misc.True</vt:lpstr>
      <vt:lpstr>'RES_de-DE'!misc.True</vt:lpstr>
      <vt:lpstr>'RES_el-GR'!misc.True</vt:lpstr>
      <vt:lpstr>'RES_en-US'!misc.True</vt:lpstr>
      <vt:lpstr>'RES_es-ES'!misc.True</vt:lpstr>
      <vt:lpstr>'RES_fi-FI'!misc.True</vt:lpstr>
      <vt:lpstr>'RES_fr-FR'!misc.True</vt:lpstr>
      <vt:lpstr>'RES_hr-HR'!misc.True</vt:lpstr>
      <vt:lpstr>'RES_hu-HU'!misc.True</vt:lpstr>
      <vt:lpstr>'RES_it-IT'!misc.True</vt:lpstr>
      <vt:lpstr>'RES_ja-JP'!misc.True</vt:lpstr>
      <vt:lpstr>'RES_ko-KR'!misc.True</vt:lpstr>
      <vt:lpstr>'RES_lv-LV'!misc.True</vt:lpstr>
      <vt:lpstr>'RES_nb-NO'!misc.True</vt:lpstr>
      <vt:lpstr>'RES_nl-NL'!misc.True</vt:lpstr>
      <vt:lpstr>'RES_pl-PL'!misc.True</vt:lpstr>
      <vt:lpstr>'RES_pt-BR'!misc.True</vt:lpstr>
      <vt:lpstr>'RES_pt-PT'!misc.True</vt:lpstr>
      <vt:lpstr>'RES_ro-RO'!misc.True</vt:lpstr>
      <vt:lpstr>'RES_ru-RU'!misc.True</vt:lpstr>
      <vt:lpstr>'RES_sl-SI'!misc.True</vt:lpstr>
      <vt:lpstr>'RES_sv-SE'!misc.True</vt:lpstr>
      <vt:lpstr>'RES_tr-TR'!misc.True</vt:lpstr>
      <vt:lpstr>'RES_zh-CN'!misc.True</vt:lpstr>
      <vt:lpstr>'RES_zh-TW'!misc.True</vt:lpstr>
      <vt:lpstr>'RES_cs-CZ'!mLabelInColumn</vt:lpstr>
      <vt:lpstr>'RES_da-DK'!mLabelInColumn</vt:lpstr>
      <vt:lpstr>'RES_de-DE'!mLabelInColumn</vt:lpstr>
      <vt:lpstr>'RES_el-GR'!mLabelInColumn</vt:lpstr>
      <vt:lpstr>'RES_en-US'!mLabelInColumn</vt:lpstr>
      <vt:lpstr>'RES_es-ES'!mLabelInColumn</vt:lpstr>
      <vt:lpstr>'RES_fi-FI'!mLabelInColumn</vt:lpstr>
      <vt:lpstr>'RES_fr-FR'!mLabelInColumn</vt:lpstr>
      <vt:lpstr>'RES_hr-HR'!mLabelInColumn</vt:lpstr>
      <vt:lpstr>'RES_hu-HU'!mLabelInColumn</vt:lpstr>
      <vt:lpstr>'RES_it-IT'!mLabelInColumn</vt:lpstr>
      <vt:lpstr>'RES_ja-JP'!mLabelInColumn</vt:lpstr>
      <vt:lpstr>'RES_ko-KR'!mLabelInColumn</vt:lpstr>
      <vt:lpstr>'RES_lv-LV'!mLabelInColumn</vt:lpstr>
      <vt:lpstr>'RES_nb-NO'!mLabelInColumn</vt:lpstr>
      <vt:lpstr>'RES_nl-NL'!mLabelInColumn</vt:lpstr>
      <vt:lpstr>'RES_pl-PL'!mLabelInColumn</vt:lpstr>
      <vt:lpstr>'RES_pt-BR'!mLabelInColumn</vt:lpstr>
      <vt:lpstr>'RES_pt-PT'!mLabelInColumn</vt:lpstr>
      <vt:lpstr>'RES_ro-RO'!mLabelInColumn</vt:lpstr>
      <vt:lpstr>'RES_ru-RU'!mLabelInColumn</vt:lpstr>
      <vt:lpstr>'RES_sl-SI'!mLabelInColumn</vt:lpstr>
      <vt:lpstr>'RES_sv-SE'!mLabelInColumn</vt:lpstr>
      <vt:lpstr>'RES_tr-TR'!mLabelInColumn</vt:lpstr>
      <vt:lpstr>'RES_zh-CN'!mLabelInColumn</vt:lpstr>
      <vt:lpstr>'RES_zh-TW'!mLabelInColumn</vt:lpstr>
      <vt:lpstr>'RES_cs-CZ'!mLabelInRow</vt:lpstr>
      <vt:lpstr>'RES_da-DK'!mLabelInRow</vt:lpstr>
      <vt:lpstr>'RES_de-DE'!mLabelInRow</vt:lpstr>
      <vt:lpstr>'RES_el-GR'!mLabelInRow</vt:lpstr>
      <vt:lpstr>'RES_en-US'!mLabelInRow</vt:lpstr>
      <vt:lpstr>'RES_es-ES'!mLabelInRow</vt:lpstr>
      <vt:lpstr>'RES_fi-FI'!mLabelInRow</vt:lpstr>
      <vt:lpstr>'RES_fr-FR'!mLabelInRow</vt:lpstr>
      <vt:lpstr>'RES_hr-HR'!mLabelInRow</vt:lpstr>
      <vt:lpstr>'RES_hu-HU'!mLabelInRow</vt:lpstr>
      <vt:lpstr>'RES_it-IT'!mLabelInRow</vt:lpstr>
      <vt:lpstr>'RES_ja-JP'!mLabelInRow</vt:lpstr>
      <vt:lpstr>'RES_ko-KR'!mLabelInRow</vt:lpstr>
      <vt:lpstr>'RES_lv-LV'!mLabelInRow</vt:lpstr>
      <vt:lpstr>'RES_nb-NO'!mLabelInRow</vt:lpstr>
      <vt:lpstr>'RES_nl-NL'!mLabelInRow</vt:lpstr>
      <vt:lpstr>'RES_pl-PL'!mLabelInRow</vt:lpstr>
      <vt:lpstr>'RES_pt-BR'!mLabelInRow</vt:lpstr>
      <vt:lpstr>'RES_pt-PT'!mLabelInRow</vt:lpstr>
      <vt:lpstr>'RES_ro-RO'!mLabelInRow</vt:lpstr>
      <vt:lpstr>'RES_ru-RU'!mLabelInRow</vt:lpstr>
      <vt:lpstr>'RES_sl-SI'!mLabelInRow</vt:lpstr>
      <vt:lpstr>'RES_sv-SE'!mLabelInRow</vt:lpstr>
      <vt:lpstr>'RES_tr-TR'!mLabelInRow</vt:lpstr>
      <vt:lpstr>'RES_zh-CN'!mLabelInRow</vt:lpstr>
      <vt:lpstr>'RES_zh-TW'!mLabelInRow</vt:lpstr>
      <vt:lpstr>'RES_cs-CZ'!ProcHelps</vt:lpstr>
      <vt:lpstr>'RES_da-DK'!ProcHelps</vt:lpstr>
      <vt:lpstr>'RES_de-DE'!ProcHelps</vt:lpstr>
      <vt:lpstr>'RES_el-GR'!ProcHelps</vt:lpstr>
      <vt:lpstr>'RES_en-US'!ProcHelps</vt:lpstr>
      <vt:lpstr>'RES_es-ES'!ProcHelps</vt:lpstr>
      <vt:lpstr>'RES_fi-FI'!ProcHelps</vt:lpstr>
      <vt:lpstr>'RES_fr-FR'!ProcHelps</vt:lpstr>
      <vt:lpstr>'RES_hr-HR'!ProcHelps</vt:lpstr>
      <vt:lpstr>'RES_hu-HU'!ProcHelps</vt:lpstr>
      <vt:lpstr>'RES_it-IT'!ProcHelps</vt:lpstr>
      <vt:lpstr>'RES_ja-JP'!ProcHelps</vt:lpstr>
      <vt:lpstr>'RES_ko-KR'!ProcHelps</vt:lpstr>
      <vt:lpstr>'RES_lv-LV'!ProcHelps</vt:lpstr>
      <vt:lpstr>'RES_nb-NO'!ProcHelps</vt:lpstr>
      <vt:lpstr>'RES_nl-NL'!ProcHelps</vt:lpstr>
      <vt:lpstr>'RES_pl-PL'!ProcHelps</vt:lpstr>
      <vt:lpstr>'RES_pt-BR'!ProcHelps</vt:lpstr>
      <vt:lpstr>'RES_pt-PT'!ProcHelps</vt:lpstr>
      <vt:lpstr>'RES_ro-RO'!ProcHelps</vt:lpstr>
      <vt:lpstr>'RES_ru-RU'!ProcHelps</vt:lpstr>
      <vt:lpstr>'RES_sl-SI'!ProcHelps</vt:lpstr>
      <vt:lpstr>'RES_sv-SE'!ProcHelps</vt:lpstr>
      <vt:lpstr>'RES_tr-TR'!ProcHelps</vt:lpstr>
      <vt:lpstr>'RES_zh-CN'!ProcHelps</vt:lpstr>
      <vt:lpstr>'RES_zh-TW'!ProcHelps</vt:lpstr>
      <vt:lpstr>'RES_cs-CZ'!ProcMap</vt:lpstr>
      <vt:lpstr>'RES_da-DK'!ProcMap</vt:lpstr>
      <vt:lpstr>'RES_de-DE'!ProcMap</vt:lpstr>
      <vt:lpstr>'RES_el-GR'!ProcMap</vt:lpstr>
      <vt:lpstr>'RES_en-US'!ProcMap</vt:lpstr>
      <vt:lpstr>'RES_es-ES'!ProcMap</vt:lpstr>
      <vt:lpstr>'RES_fi-FI'!ProcMap</vt:lpstr>
      <vt:lpstr>'RES_fr-FR'!ProcMap</vt:lpstr>
      <vt:lpstr>'RES_hr-HR'!ProcMap</vt:lpstr>
      <vt:lpstr>'RES_hu-HU'!ProcMap</vt:lpstr>
      <vt:lpstr>'RES_it-IT'!ProcMap</vt:lpstr>
      <vt:lpstr>'RES_ja-JP'!ProcMap</vt:lpstr>
      <vt:lpstr>'RES_ko-KR'!ProcMap</vt:lpstr>
      <vt:lpstr>'RES_lv-LV'!ProcMap</vt:lpstr>
      <vt:lpstr>'RES_nb-NO'!ProcMap</vt:lpstr>
      <vt:lpstr>'RES_nl-NL'!ProcMap</vt:lpstr>
      <vt:lpstr>'RES_pl-PL'!ProcMap</vt:lpstr>
      <vt:lpstr>'RES_pt-BR'!ProcMap</vt:lpstr>
      <vt:lpstr>'RES_pt-PT'!ProcMap</vt:lpstr>
      <vt:lpstr>'RES_ro-RO'!ProcMap</vt:lpstr>
      <vt:lpstr>'RES_ru-RU'!ProcMap</vt:lpstr>
      <vt:lpstr>'RES_sl-SI'!ProcMap</vt:lpstr>
      <vt:lpstr>'RES_sv-SE'!ProcMap</vt:lpstr>
      <vt:lpstr>'RES_tr-TR'!ProcMap</vt:lpstr>
      <vt:lpstr>'RES_zh-CN'!ProcMap</vt:lpstr>
      <vt:lpstr>'RES_zh-TW'!ProcMap</vt:lpstr>
      <vt:lpstr>'RES_cs-CZ'!Rows_per_sample</vt:lpstr>
      <vt:lpstr>'RES_da-DK'!Rows_per_sample</vt:lpstr>
      <vt:lpstr>'RES_de-DE'!Rows_per_sample</vt:lpstr>
      <vt:lpstr>'RES_el-GR'!Rows_per_sample</vt:lpstr>
      <vt:lpstr>'RES_en-US'!Rows_per_sample</vt:lpstr>
      <vt:lpstr>'RES_es-ES'!Rows_per_sample</vt:lpstr>
      <vt:lpstr>'RES_fi-FI'!Rows_per_sample</vt:lpstr>
      <vt:lpstr>'RES_fr-FR'!Rows_per_sample</vt:lpstr>
      <vt:lpstr>'RES_hr-HR'!Rows_per_sample</vt:lpstr>
      <vt:lpstr>'RES_hu-HU'!Rows_per_sample</vt:lpstr>
      <vt:lpstr>'RES_it-IT'!Rows_per_sample</vt:lpstr>
      <vt:lpstr>'RES_ja-JP'!Rows_per_sample</vt:lpstr>
      <vt:lpstr>'RES_ko-KR'!Rows_per_sample</vt:lpstr>
      <vt:lpstr>'RES_lv-LV'!Rows_per_sample</vt:lpstr>
      <vt:lpstr>'RES_nb-NO'!Rows_per_sample</vt:lpstr>
      <vt:lpstr>'RES_nl-NL'!Rows_per_sample</vt:lpstr>
      <vt:lpstr>'RES_pl-PL'!Rows_per_sample</vt:lpstr>
      <vt:lpstr>'RES_pt-BR'!Rows_per_sample</vt:lpstr>
      <vt:lpstr>'RES_pt-PT'!Rows_per_sample</vt:lpstr>
      <vt:lpstr>'RES_ro-RO'!Rows_per_sample</vt:lpstr>
      <vt:lpstr>'RES_ru-RU'!Rows_per_sample</vt:lpstr>
      <vt:lpstr>'RES_sl-SI'!Rows_per_sample</vt:lpstr>
      <vt:lpstr>'RES_sv-SE'!Rows_per_sample</vt:lpstr>
      <vt:lpstr>'RES_tr-TR'!Rows_per_sample</vt:lpstr>
      <vt:lpstr>'RES_zh-CN'!Rows_per_sample</vt:lpstr>
      <vt:lpstr>'RES_zh-TW'!Rows_per_sample</vt:lpstr>
      <vt:lpstr>'RES_cs-CZ'!String_table</vt:lpstr>
      <vt:lpstr>'RES_da-DK'!String_table</vt:lpstr>
      <vt:lpstr>'RES_de-DE'!String_table</vt:lpstr>
      <vt:lpstr>'RES_el-GR'!String_table</vt:lpstr>
      <vt:lpstr>'RES_en-US'!String_table</vt:lpstr>
      <vt:lpstr>'RES_es-ES'!String_table</vt:lpstr>
      <vt:lpstr>'RES_fi-FI'!String_table</vt:lpstr>
      <vt:lpstr>'RES_fr-FR'!String_table</vt:lpstr>
      <vt:lpstr>'RES_hr-HR'!String_table</vt:lpstr>
      <vt:lpstr>'RES_hu-HU'!String_table</vt:lpstr>
      <vt:lpstr>'RES_it-IT'!String_table</vt:lpstr>
      <vt:lpstr>'RES_ja-JP'!String_table</vt:lpstr>
      <vt:lpstr>'RES_ko-KR'!String_table</vt:lpstr>
      <vt:lpstr>'RES_lv-LV'!String_table</vt:lpstr>
      <vt:lpstr>'RES_nb-NO'!String_table</vt:lpstr>
      <vt:lpstr>'RES_nl-NL'!String_table</vt:lpstr>
      <vt:lpstr>'RES_pl-PL'!String_table</vt:lpstr>
      <vt:lpstr>'RES_pt-BR'!String_table</vt:lpstr>
      <vt:lpstr>'RES_pt-PT'!String_table</vt:lpstr>
      <vt:lpstr>'RES_ro-RO'!String_table</vt:lpstr>
      <vt:lpstr>'RES_ru-RU'!String_table</vt:lpstr>
      <vt:lpstr>'RES_sl-SI'!String_table</vt:lpstr>
      <vt:lpstr>'RES_sv-SE'!String_table</vt:lpstr>
      <vt:lpstr>'RES_tr-TR'!String_table</vt:lpstr>
      <vt:lpstr>'RES_zh-CN'!String_table</vt:lpstr>
      <vt:lpstr>'RES_zh-TW'!String_table</vt:lpstr>
      <vt:lpstr>'RES_cs-CZ'!uDialogList</vt:lpstr>
      <vt:lpstr>'RES_da-DK'!uDialogList</vt:lpstr>
      <vt:lpstr>'RES_de-DE'!uDialogList</vt:lpstr>
      <vt:lpstr>'RES_el-GR'!uDialogList</vt:lpstr>
      <vt:lpstr>'RES_en-US'!uDialogList</vt:lpstr>
      <vt:lpstr>'RES_es-ES'!uDialogList</vt:lpstr>
      <vt:lpstr>'RES_fi-FI'!uDialogList</vt:lpstr>
      <vt:lpstr>'RES_fr-FR'!uDialogList</vt:lpstr>
      <vt:lpstr>'RES_hr-HR'!uDialogList</vt:lpstr>
      <vt:lpstr>'RES_hu-HU'!uDialogList</vt:lpstr>
      <vt:lpstr>'RES_it-IT'!uDialogList</vt:lpstr>
      <vt:lpstr>'RES_ja-JP'!uDialogList</vt:lpstr>
      <vt:lpstr>'RES_ko-KR'!uDialogList</vt:lpstr>
      <vt:lpstr>'RES_lv-LV'!uDialogList</vt:lpstr>
      <vt:lpstr>'RES_nb-NO'!uDialogList</vt:lpstr>
      <vt:lpstr>'RES_nl-NL'!uDialogList</vt:lpstr>
      <vt:lpstr>'RES_pl-PL'!uDialogList</vt:lpstr>
      <vt:lpstr>'RES_pt-BR'!uDialogList</vt:lpstr>
      <vt:lpstr>'RES_pt-PT'!uDialogList</vt:lpstr>
      <vt:lpstr>'RES_ro-RO'!uDialogList</vt:lpstr>
      <vt:lpstr>'RES_ru-RU'!uDialogList</vt:lpstr>
      <vt:lpstr>'RES_sl-SI'!uDialogList</vt:lpstr>
      <vt:lpstr>'RES_sv-SE'!uDialogList</vt:lpstr>
      <vt:lpstr>'RES_tr-TR'!uDialogList</vt:lpstr>
      <vt:lpstr>'RES_zh-CN'!uDialogList</vt:lpstr>
      <vt:lpstr>'RES_zh-TW'!uDialogList</vt:lpstr>
      <vt:lpstr>'RES_cs-CZ'!uDialogTable</vt:lpstr>
      <vt:lpstr>'RES_da-DK'!uDialogTable</vt:lpstr>
      <vt:lpstr>'RES_de-DE'!uDialogTable</vt:lpstr>
      <vt:lpstr>'RES_el-GR'!uDialogTable</vt:lpstr>
      <vt:lpstr>'RES_en-US'!uDialogTable</vt:lpstr>
      <vt:lpstr>'RES_es-ES'!uDialogTable</vt:lpstr>
      <vt:lpstr>'RES_fi-FI'!uDialogTable</vt:lpstr>
      <vt:lpstr>'RES_fr-FR'!uDialogTable</vt:lpstr>
      <vt:lpstr>'RES_hr-HR'!uDialogTable</vt:lpstr>
      <vt:lpstr>'RES_hu-HU'!uDialogTable</vt:lpstr>
      <vt:lpstr>'RES_it-IT'!uDialogTable</vt:lpstr>
      <vt:lpstr>'RES_ja-JP'!uDialogTable</vt:lpstr>
      <vt:lpstr>'RES_ko-KR'!uDialogTable</vt:lpstr>
      <vt:lpstr>'RES_lv-LV'!uDialogTable</vt:lpstr>
      <vt:lpstr>'RES_nb-NO'!uDialogTable</vt:lpstr>
      <vt:lpstr>'RES_nl-NL'!uDialogTable</vt:lpstr>
      <vt:lpstr>'RES_pl-PL'!uDialogTable</vt:lpstr>
      <vt:lpstr>'RES_pt-BR'!uDialogTable</vt:lpstr>
      <vt:lpstr>'RES_pt-PT'!uDialogTable</vt:lpstr>
      <vt:lpstr>'RES_ro-RO'!uDialogTable</vt:lpstr>
      <vt:lpstr>'RES_ru-RU'!uDialogTable</vt:lpstr>
      <vt:lpstr>'RES_sl-SI'!uDialogTable</vt:lpstr>
      <vt:lpstr>'RES_sv-SE'!uDialogTable</vt:lpstr>
      <vt:lpstr>'RES_tr-TR'!uDialogTable</vt:lpstr>
      <vt:lpstr>'RES_zh-CN'!uDialogTable</vt:lpstr>
      <vt:lpstr>'RES_zh-TW'!uDialogTable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'</dc:title>
  <dc:creator/>
  <cp:lastModifiedBy/>
  <dcterms:created xsi:type="dcterms:W3CDTF">2009-12-02T09:40:59Z</dcterms:created>
  <dcterms:modified xsi:type="dcterms:W3CDTF">2016-08-31T19:03:22Z</dcterms:modified>
</cp:coreProperties>
</file>